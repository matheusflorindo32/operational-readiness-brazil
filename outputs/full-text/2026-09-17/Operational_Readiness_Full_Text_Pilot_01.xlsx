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b1ed64a5544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a9cdd63cdb9d43a1"/>
    <x:sheet xmlns:r="http://schemas.openxmlformats.org/officeDocument/2006/relationships" name="Registros" sheetId="2" r:id="R4b378fe21ca84de1"/>
    <x:sheet xmlns:r="http://schemas.openxmlformats.org/officeDocument/2006/relationships" name="Extração" sheetId="3" r:id="Rc06884fe001c469a"/>
    <x:sheet xmlns:r="http://schemas.openxmlformats.org/officeDocument/2006/relationships" name="Appraisal" sheetId="4" r:id="Rf057c0e0626643fb"/>
    <x:sheet xmlns:r="http://schemas.openxmlformats.org/officeDocument/2006/relationships" name="Red Team" sheetId="5" r:id="R01d86bfeca36494c"/>
    <x:sheet xmlns:r="http://schemas.openxmlformats.org/officeDocument/2006/relationships" name="Proveniência" sheetId="6" r:id="R2023e89b3b49425e"/>
    <x:sheet xmlns:r="http://schemas.openxmlformats.org/officeDocument/2006/relationships" name="Adjudicação Humana" sheetId="7" r:id="Rc53bc44d388a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4"/>
      <x:color rgb="FF215E21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42B4A"/>
      </x:patternFill>
    </x:fill>
    <x:fill>
      <x:patternFill patternType="solid">
        <x:fgColor rgb="FF1E5AA8"/>
      </x:patternFill>
    </x:fill>
    <x:fill>
      <x:patternFill patternType="solid">
        <x:fgColor rgb="FF147D7E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FFBE6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vertical="top" wrapText="1"/>
    </x:xf>
    <x:xf numFmtId="0" fontId="5" fillId="8" borderId="2" xfId="0" applyNumberFormat="1" applyFont="1" applyFill="1" applyBorder="1" applyAlignment="1">
      <x:alignment vertical="top"/>
    </x:xf>
    <x:xf numFmtId="0" fontId="5" fillId="8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423c9b28a4c53" /><Relationship Type="http://schemas.openxmlformats.org/officeDocument/2006/relationships/theme" Target="/xl/theme/theme1.xml" Id="R4915e627ee204156" /><Relationship Type="http://schemas.openxmlformats.org/officeDocument/2006/relationships/sharedStrings" Target="/xl/sharedStrings.xml" Id="Rb644a69652eb44e7" /><Relationship Type="http://schemas.openxmlformats.org/officeDocument/2006/relationships/worksheet" Target="/xl/worksheets/sheet1.xml" Id="Ra9cdd63cdb9d43a1" /><Relationship Type="http://schemas.openxmlformats.org/officeDocument/2006/relationships/worksheet" Target="/xl/worksheets/sheet2.xml" Id="R4b378fe21ca84de1" /><Relationship Type="http://schemas.openxmlformats.org/officeDocument/2006/relationships/worksheet" Target="/xl/worksheets/sheet3.xml" Id="Rc06884fe001c469a" /><Relationship Type="http://schemas.openxmlformats.org/officeDocument/2006/relationships/worksheet" Target="/xl/worksheets/sheet4.xml" Id="Rf057c0e0626643fb" /><Relationship Type="http://schemas.openxmlformats.org/officeDocument/2006/relationships/worksheet" Target="/xl/worksheets/sheet5.xml" Id="R01d86bfeca36494c" /><Relationship Type="http://schemas.openxmlformats.org/officeDocument/2006/relationships/worksheet" Target="/xl/worksheets/sheet6.xml" Id="R2023e89b3b49425e" /><Relationship Type="http://schemas.openxmlformats.org/officeDocument/2006/relationships/worksheet" Target="/xl/worksheets/sheet7.xml" Id="Rc53bc44d388a44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7D7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" t="str">
        <x:v>FULL-TEXT EVIDENCE QUALIFICATION — PILOTO 01</x:v>
      </x:c>
      <x:c r="B1" s="2"/>
      <x:c r="C1" s="2"/>
      <x:c r="D1" s="2"/>
      <x:c r="E1" s="2"/>
      <x:c r="F1" s="2"/>
      <x:c r="G1" s="2"/>
      <x:c r="H1" s="2"/>
    </x:row>
    <x:row r="3">
      <x:c r="A3" s="17" t="str">
        <x:v>Indicador</x:v>
      </x:c>
      <x:c r="B3" s="17" t="str">
        <x:v>Valor</x:v>
      </x:c>
      <x:c r="C3" s="18"/>
      <x:c r="D3" s="19" t="str">
        <x:v>DECISÃO OPERACIONAL</x:v>
      </x:c>
      <x:c r="E3" s="19"/>
      <x:c r="F3" s="19"/>
      <x:c r="G3" s="19"/>
      <x:c r="H3" s="19"/>
    </x:row>
    <x:row r="4">
      <x:c r="A4" s="18" t="str">
        <x:v>Registros no piloto</x:v>
      </x:c>
      <x:c r="B4" s="18" t="n">
        <x:v>10</x:v>
      </x:c>
      <x:c r="C4" s="18"/>
      <x:c r="D4" s="20" t="str">
        <x:v>GO_NONBLOCKING_HUMAN_REVIEW_REQUIRED</x:v>
      </x:c>
      <x:c r="E4" s="20"/>
      <x:c r="F4" s="20"/>
      <x:c r="G4" s="20"/>
      <x:c r="H4" s="20"/>
    </x:row>
    <x:row r="5">
      <x:c r="A5" s="18" t="str">
        <x:v>Full text obtido</x:v>
      </x:c>
      <x:c r="B5" s="18" t="n">
        <x:f>COUNTIF(Registros!$R$2:$R$11,"YES")</x:f>
        <x:v>10</x:v>
      </x:c>
      <x:c r="C5" s="18"/>
      <x:c r="D5" s="20"/>
      <x:c r="E5" s="20"/>
      <x:c r="F5" s="20"/>
      <x:c r="G5" s="20"/>
      <x:c r="H5" s="20"/>
    </x:row>
    <x:row r="6">
      <x:c r="A6" s="18" t="str">
        <x:v>Identidade confirmada</x:v>
      </x:c>
      <x:c r="B6" s="18" t="n">
        <x:f>COUNTIF(Registros!$S$2:$S$11,"MATCH_CONFIRMED")</x:f>
        <x:v>10</x:v>
      </x:c>
      <x:c r="C6" s="18"/>
      <x:c r="D6" s="18"/>
      <x:c r="E6" s="18"/>
      <x:c r="F6" s="18"/>
      <x:c r="G6" s="18"/>
      <x:c r="H6" s="18"/>
    </x:row>
    <x:row r="7">
      <x:c r="A7" s="18" t="str">
        <x:v>Version of Record</x:v>
      </x:c>
      <x:c r="B7" s="18" t="n">
        <x:f>COUNTIF(Registros!$T$2:$T$11,"VERSION_OF_RECORD")</x:f>
        <x:v>8</x:v>
      </x:c>
      <x:c r="C7" s="18"/>
      <x:c r="D7" s="21" t="str">
        <x:v>FAIL-CLOSED: toda decisão humana permanece vazia; Claim-Ready permanece NO. As avaliações e decisões de elegibilidade são provisórias e assistidas por IA.</x:v>
      </x:c>
      <x:c r="E7" s="21"/>
      <x:c r="F7" s="21"/>
      <x:c r="G7" s="21"/>
      <x:c r="H7" s="21"/>
    </x:row>
    <x:row r="8">
      <x:c r="A8" s="18" t="str">
        <x:v>Author Accepted Manuscript</x:v>
      </x:c>
      <x:c r="B8" s="18" t="n">
        <x:f>COUNTIF(Registros!$T$2:$T$11,"AUTHOR_ACCEPTED_MANUSCRIPT")</x:f>
        <x:v>2</x:v>
      </x:c>
      <x:c r="C8" s="18"/>
      <x:c r="D8" s="21"/>
      <x:c r="E8" s="21"/>
      <x:c r="F8" s="21"/>
      <x:c r="G8" s="21"/>
      <x:c r="H8" s="21"/>
    </x:row>
    <x:row r="9">
      <x:c r="A9" s="18" t="str">
        <x:v>Integridade sem alerta crítico atual</x:v>
      </x:c>
      <x:c r="B9" s="18" t="n">
        <x:f>COUNTIF(Registros!$V$2:$V$11,"INTEGRITY_CLEAR")</x:f>
        <x:v>10</x:v>
      </x:c>
      <x:c r="C9" s="18"/>
      <x:c r="D9" s="21"/>
      <x:c r="E9" s="21"/>
      <x:c r="F9" s="21"/>
      <x:c r="G9" s="21"/>
      <x:c r="H9" s="21"/>
    </x:row>
    <x:row r="10">
      <x:c r="A10" s="18" t="str">
        <x:v>Proposta IA: reter</x:v>
      </x:c>
      <x:c r="B10" s="18" t="n">
        <x:f>COUNTIF(Registros!$X$2:$X$11,"INCLUDE_FULL_TEXT")</x:f>
        <x:v>9</x:v>
      </x:c>
      <x:c r="C10" s="18"/>
      <x:c r="D10" s="21"/>
      <x:c r="E10" s="21"/>
      <x:c r="F10" s="21"/>
      <x:c r="G10" s="21"/>
      <x:c r="H10" s="21"/>
    </x:row>
    <x:row r="11">
      <x:c r="A11" s="18" t="str">
        <x:v>Revisão humana requerida</x:v>
      </x:c>
      <x:c r="B11" s="18" t="n">
        <x:f>COUNTIF(Registros!$X$2:$X$11,"HUMAN_REVIEW_REQUIRED")</x:f>
        <x:v>1</x:v>
      </x:c>
      <x:c r="C11" s="18"/>
      <x:c r="D11" s="18"/>
      <x:c r="E11" s="18"/>
      <x:c r="F11" s="18"/>
      <x:c r="G11" s="18"/>
      <x:c r="H11" s="18"/>
    </x:row>
    <x:row r="12">
      <x:c r="A12" s="18" t="str">
        <x:v>Decisões humanas</x:v>
      </x:c>
      <x:c r="B12" s="18" t="n">
        <x:f>COUNTA('Adjudicação Humana'!$H$2:$H$11)</x:f>
        <x:v>10</x:v>
      </x:c>
      <x:c r="C12" s="18"/>
      <x:c r="D12" s="22" t="str">
        <x:v>PASS científico: PROIBIDO nesta fase</x:v>
      </x:c>
      <x:c r="E12" s="22"/>
      <x:c r="F12" s="22"/>
      <x:c r="G12" s="22"/>
      <x:c r="H12" s="22"/>
    </x:row>
    <x:row r="13">
      <x:c r="A13" s="18" t="str">
        <x:v>Claim-Ready</x:v>
      </x:c>
      <x:c r="B13" s="18" t="n">
        <x:f>COUNTIF(Registros!$AE$2:$AE$11,"YES")</x:f>
        <x:v>0</x:v>
      </x:c>
      <x:c r="C13" s="18"/>
      <x:c r="D13" s="22"/>
      <x:c r="E13" s="22"/>
      <x:c r="F13" s="22"/>
      <x:c r="G13" s="22"/>
      <x:c r="H13" s="22"/>
    </x:row>
  </x:sheetData>
  <x:mergeCells>
    <x:mergeCell ref="A1:H1"/>
    <x:mergeCell ref="D3:H3"/>
    <x:mergeCell ref="D4:H5"/>
    <x:mergeCell ref="D7:H10"/>
    <x:mergeCell ref="D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E5AA8"/>
  </x:sheetPr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8.630000114440918" hidden="0" customWidth="1"/>
    <x:col min="2" max="2" width="7.380000114440918" hidden="0" customWidth="1"/>
    <x:col min="3" max="3" width="27.5" hidden="0" customWidth="1"/>
    <x:col min="4" max="4" width="10.5" hidden="0" customWidth="1"/>
    <x:col min="5" max="5" width="8.25" hidden="0" customWidth="1"/>
    <x:col min="6" max="6" width="48" hidden="0" customWidth="1"/>
    <x:col min="7" max="7" width="34" hidden="0" customWidth="1"/>
    <x:col min="8" max="8" width="45.380001068115234" hidden="0" customWidth="1"/>
    <x:col min="9" max="9" width="4" hidden="0" customWidth="1"/>
    <x:col min="10" max="10" width="5.880000114440918" hidden="0" customWidth="1"/>
    <x:col min="11" max="11" width="6.25" hidden="0" customWidth="1"/>
    <x:col min="12" max="12" width="13.130000114440918" hidden="0" customWidth="1"/>
    <x:col min="13" max="13" width="38" hidden="0" customWidth="1"/>
    <x:col min="14" max="14" width="5.380000114440918" hidden="0" customWidth="1"/>
    <x:col min="15" max="15" width="9.130000114440918" hidden="0" customWidth="1"/>
    <x:col min="16" max="16" width="8.380000114440918" hidden="0" customWidth="1"/>
    <x:col min="17" max="17" width="13.880000114440918" hidden="0" customWidth="1"/>
    <x:col min="18" max="18" width="11" hidden="0" customWidth="1"/>
    <x:col min="19" max="19" width="14.75" hidden="0" customWidth="1"/>
    <x:col min="20" max="20" width="24.3799991607666" hidden="0" customWidth="1"/>
    <x:col min="21" max="21" width="32" hidden="0" customWidth="1"/>
    <x:col min="22" max="22" width="32" hidden="0" customWidth="1"/>
    <x:col min="23" max="23" width="32" hidden="0" customWidth="1"/>
    <x:col min="24" max="24" width="32" hidden="0" customWidth="1"/>
    <x:col min="25" max="25" width="32" hidden="0" customWidth="1"/>
    <x:col min="26" max="26" width="45" hidden="0" customWidth="1"/>
    <x:col min="27" max="27" width="16.6299991607666" hidden="0" customWidth="1"/>
    <x:col min="28" max="28" width="14.130000114440918" hidden="0" customWidth="1"/>
    <x:col min="29" max="29" width="8.880000114440918" hidden="0" customWidth="1"/>
    <x:col min="30" max="30" width="15.380000114440918" hidden="0" customWidth="1"/>
    <x:col min="31" max="31" width="9.25" hidden="0" customWidth="1"/>
    <x:col min="32" max="32" width="20.25" hidden="0" customWidth="1"/>
  </x:cols>
  <x:sheetData>
    <x:row r="1" ht="15" hidden="0" customHeight="1">
      <x:c r="A1" s="30" t="str">
        <x:v>Evidence ID</x:v>
      </x:c>
      <x:c r="B1" s="30" t="str">
        <x:v>PMID</x:v>
      </x:c>
      <x:c r="C1" s="30" t="str">
        <x:v>DOI</x:v>
      </x:c>
      <x:c r="D1" s="30" t="str">
        <x:v>PMCID</x:v>
      </x:c>
      <x:c r="E1" s="30" t="str">
        <x:v>Zotero key</x:v>
      </x:c>
      <x:c r="F1" s="30" t="str">
        <x:v>Título</x:v>
      </x:c>
      <x:c r="G1" s="30" t="str">
        <x:v>Autores</x:v>
      </x:c>
      <x:c r="H1" s="30" t="str">
        <x:v>Periódico</x:v>
      </x:c>
      <x:c r="I1" s="30" t="str">
        <x:v>Ano</x:v>
      </x:c>
      <x:c r="J1" s="30" t="str">
        <x:v>Volume</x:v>
      </x:c>
      <x:c r="K1" s="30" t="str">
        <x:v>Número</x:v>
      </x:c>
      <x:c r="L1" s="30" t="str">
        <x:v>Páginas/eLocation</x:v>
      </x:c>
      <x:c r="M1" s="30" t="str">
        <x:v>Fonte full text</x:v>
      </x:c>
      <x:c r="N1" s="30" t="str">
        <x:v>Acesso</x:v>
      </x:c>
      <x:c r="O1" s="30" t="str">
        <x:v>Acesso lícito</x:v>
      </x:c>
      <x:c r="P1" s="30" t="str">
        <x:v>Descoberta</x:v>
      </x:c>
      <x:c r="Q1" s="30" t="str">
        <x:v>Tipo JATS</x:v>
      </x:c>
      <x:c r="R1" s="30" t="str">
        <x:v>Full text obtido</x:v>
      </x:c>
      <x:c r="S1" s="30" t="str">
        <x:v>Identidade</x:v>
      </x:c>
      <x:c r="T1" s="30" t="str">
        <x:v>Versão</x:v>
      </x:c>
      <x:c r="U1" s="30" t="str">
        <x:v>Contexto</x:v>
      </x:c>
      <x:c r="V1" s="30" t="str">
        <x:v>Integridade</x:v>
      </x:c>
      <x:c r="W1" s="30" t="str">
        <x:v>Detalhe integridade</x:v>
      </x:c>
      <x:c r="X1" s="30" t="str">
        <x:v>Decisão IA provisória</x:v>
      </x:c>
      <x:c r="Y1" s="30" t="str">
        <x:v>Justificativa</x:v>
      </x:c>
      <x:c r="Z1" s="30" t="str">
        <x:v>Desenho</x:v>
      </x:c>
      <x:c r="AA1" s="30" t="str">
        <x:v>Instrumento</x:v>
      </x:c>
      <x:c r="AB1" s="30" t="str">
        <x:v>Versão instrumento</x:v>
      </x:c>
      <x:c r="AC1" s="30" t="str">
        <x:v>Appraisal IA</x:v>
      </x:c>
      <x:c r="AD1" s="30" t="str">
        <x:v>Confirmação humana</x:v>
      </x:c>
      <x:c r="AE1" s="30" t="str">
        <x:v>Claim-Ready</x:v>
      </x:c>
      <x:c r="AF1" s="30" t="str">
        <x:v>Status</x:v>
      </x:c>
    </x:row>
    <x:row r="2" ht="15" hidden="0" customHeight="1">
      <x:c r="A2" s="32" t="str">
        <x:v>EV-0668</x:v>
      </x:c>
      <x:c r="B2" s="32" t="str">
        <x:v>36141388</x:v>
      </x:c>
      <x:c r="C2" s="32" t="str">
        <x:v>10.3390/healthcare10091777</x:v>
      </x:c>
      <x:c r="D2" s="32" t="str">
        <x:v>PMC9498760</x:v>
      </x:c>
      <x:c r="E2" s="32" t="str">
        <x:v>BHR9XD2I</x:v>
      </x:c>
      <x:c r="F2" s="32" t="str">
        <x:v>Development of an Evidence-Informed Solution to Emotional Distress in Public Safety Personnel and Healthcare Workers: The Social Support, Tracking Distress, Education, and Discussion CommunitY (STEADY) Program</x:v>
      </x:c>
      <x:c r="G2" s="32" t="str">
        <x:v>Janet Ellis; Melissa B. Korman</x:v>
      </x:c>
      <x:c r="H2" s="32" t="str">
        <x:v>Healthcare</x:v>
      </x:c>
      <x:c r="I2" s="32" t="str">
        <x:v>2022</x:v>
      </x:c>
      <x:c r="J2" s="32" t="str">
        <x:v>10</x:v>
      </x:c>
      <x:c r="K2" s="32" t="str">
        <x:v>9</x:v>
      </x:c>
      <x:c r="L2" s="32" t="str">
        <x:v>1777</x:v>
      </x:c>
      <x:c r="M2" s="32" t="str">
        <x:v>https://pmc.ncbi.nlm.nih.gov/articles/PMC9498760/</x:v>
      </x:c>
      <x:c r="N2" s="32" t="str">
        <x:v>PMC</x:v>
      </x:c>
      <x:c r="O2" s="32" t="str">
        <x:v>YES</x:v>
      </x:c>
      <x:c r="P2" s="32" t="str">
        <x:v>2026-09-17</x:v>
      </x:c>
      <x:c r="Q2" s="32" t="str">
        <x:v>review-article</x:v>
      </x:c>
      <x:c r="R2" s="32" t="str">
        <x:v>YES</x:v>
      </x:c>
      <x:c r="S2" s="32" t="str">
        <x:v>MATCH_CONFIRMED</x:v>
      </x:c>
      <x:c r="T2" s="32" t="str">
        <x:v>VERSION_OF_RECORD</x:v>
      </x:c>
      <x:c r="U2" s="32" t="str">
        <x:v>Canada; public safety personnel and healthcare workers</x:v>
      </x:c>
      <x:c r="V2" s="32" t="str">
        <x:v>INTEGRITY_CLEAR</x:v>
      </x:c>
      <x:c r="W2" s="32" t="str">
        <x:v>No correction/retraction relation found in the current PubMed record; this is not proof of absolute absence.</x:v>
      </x:c>
      <x:c r="X2" s="32" t="str">
        <x:v>INCLUDE_FULL_TEXT</x:v>
      </x:c>
      <x:c r="Y2" s="32" t="str">
        <x:v>Relevant conceptual and implementation source for occupational stress prevention, with no effectiveness evaluation.</x:v>
      </x:c>
      <x:c r="Z2" s="32" t="str">
        <x:v>narrative review / program development</x:v>
      </x:c>
      <x:c r="AA2" s="32" t="str">
        <x:v>SANRA</x:v>
      </x:c>
      <x:c r="AB2" s="32" t="str">
        <x:v>2019 six-item scale</x:v>
      </x:c>
      <x:c r="AC2" s="32" t="str">
        <x:v>YES</x:v>
      </x:c>
      <x:c r="AD2" s="32" t="str"/>
      <x:c r="AE2" s="32" t="str">
        <x:v>NO</x:v>
      </x:c>
      <x:c r="AF2" s="32" t="str">
        <x:v>HUMAN_REVIEW_REQUIRED</x:v>
      </x:c>
    </x:row>
    <x:row r="3" ht="15" hidden="0" customHeight="1">
      <x:c r="A3" s="32" t="str">
        <x:v>EV-0787</x:v>
      </x:c>
      <x:c r="B3" s="32" t="str">
        <x:v>33933923</x:v>
      </x:c>
      <x:c r="C3" s="32" t="str">
        <x:v>10.1016/j.drugpo.2021.103259</x:v>
      </x:c>
      <x:c r="D3" s="32" t="str">
        <x:v>PMC8530836</x:v>
      </x:c>
      <x:c r="E3" s="32" t="str">
        <x:v>4AXW7YEU</x:v>
      </x:c>
      <x:c r="F3" s="32" t="str">
        <x:v>Implementation of a New Hampshire community-initiated response to the opioid crisis: A mixed-methods process evaluation of Safe Station</x:v>
      </x:c>
      <x:c r="G3" s="32" t="str">
        <x:v>Sarah K. Moore; Elizabeth Saunders; Bethany McLeman; Stephen A. Metcalf; Olivia Walsh; Kathleen Bell; Andrea Meier; Lisa A. Marsch</x:v>
      </x:c>
      <x:c r="H3" s="32" t="str">
        <x:v>The International journal on drug policy</x:v>
      </x:c>
      <x:c r="I3" s="32" t="str">
        <x:v>2021</x:v>
      </x:c>
      <x:c r="J3" s="32" t="str">
        <x:v>95</x:v>
      </x:c>
      <x:c r="K3" s="32" t="str"/>
      <x:c r="L3" s="32" t="str">
        <x:v>103259</x:v>
      </x:c>
      <x:c r="M3" s="32" t="str">
        <x:v>https://pmc.ncbi.nlm.nih.gov/articles/PMC8530836/</x:v>
      </x:c>
      <x:c r="N3" s="32" t="str">
        <x:v>PMC</x:v>
      </x:c>
      <x:c r="O3" s="32" t="str">
        <x:v>YES</x:v>
      </x:c>
      <x:c r="P3" s="32" t="str">
        <x:v>2026-09-17</x:v>
      </x:c>
      <x:c r="Q3" s="32" t="str">
        <x:v>research-article</x:v>
      </x:c>
      <x:c r="R3" s="32" t="str">
        <x:v>YES</x:v>
      </x:c>
      <x:c r="S3" s="32" t="str">
        <x:v>MATCH_CONFIRMED</x:v>
      </x:c>
      <x:c r="T3" s="32" t="str">
        <x:v>AUTHOR_ACCEPTED_MANUSCRIPT</x:v>
      </x:c>
      <x:c r="U3" s="32" t="str">
        <x:v>Manchester, New Hampshire, United States; fire-department Safe Station</x:v>
      </x:c>
      <x:c r="V3" s="32" t="str">
        <x:v>INTEGRITY_CLEAR</x:v>
      </x:c>
      <x:c r="W3" s="32" t="str">
        <x:v>No correction/retraction relation found in the current PubMed record; this is not proof of absolute absence.</x:v>
      </x:c>
      <x:c r="X3" s="32" t="str">
        <x:v>INCLUDE_FULL_TEXT</x:v>
      </x:c>
      <x:c r="Y3" s="32" t="str">
        <x:v>Directly evaluates implementation determinants and metrics for a first-responder-linked access program.</x:v>
      </x:c>
      <x:c r="Z3" s="32" t="str">
        <x:v>convergent parallel mixed-methods process evaluation</x:v>
      </x:c>
      <x:c r="AA3" s="32" t="str">
        <x:v>MMAT</x:v>
      </x:c>
      <x:c r="AB3" s="32" t="str">
        <x:v>2018</x:v>
      </x:c>
      <x:c r="AC3" s="32" t="str">
        <x:v>YES</x:v>
      </x:c>
      <x:c r="AD3" s="32" t="str"/>
      <x:c r="AE3" s="32" t="str">
        <x:v>NO</x:v>
      </x:c>
      <x:c r="AF3" s="32" t="str">
        <x:v>HUMAN_REVIEW_REQUIRED</x:v>
      </x:c>
    </x:row>
    <x:row r="4" ht="15" hidden="0" customHeight="1">
      <x:c r="A4" s="32" t="str">
        <x:v>EV-0758</x:v>
      </x:c>
      <x:c r="B4" s="32" t="str">
        <x:v>34622213</x:v>
      </x:c>
      <x:c r="C4" s="32" t="str">
        <x:v>10.1007/s43477-021-00011-6</x:v>
      </x:c>
      <x:c r="D4" s="32" t="str">
        <x:v>PMC8116638</x:v>
      </x:c>
      <x:c r="E4" s="32" t="str">
        <x:v>CRYUZSIZ</x:v>
      </x:c>
      <x:c r="F4" s="32" t="str">
        <x:v>The Readiness, Resilience and Recovery Tool: An Emerging Approach to Enhance Readiness Amidst Disruption</x:v>
      </x:c>
      <x:c r="G4" s="32" t="str">
        <x:v>Jennifer Kolodny-Goetz; Debra W. Hamm; Brittany S. Cook; Abraham Wandersman</x:v>
      </x:c>
      <x:c r="H4" s="32" t="str">
        <x:v>Global Implementation Research and Applications</x:v>
      </x:c>
      <x:c r="I4" s="32" t="str">
        <x:v>2021</x:v>
      </x:c>
      <x:c r="J4" s="32" t="str">
        <x:v>1</x:v>
      </x:c>
      <x:c r="K4" s="32" t="str">
        <x:v>2</x:v>
      </x:c>
      <x:c r="L4" s="32" t="str">
        <x:v>135</x:v>
      </x:c>
      <x:c r="M4" s="32" t="str">
        <x:v>https://pmc.ncbi.nlm.nih.gov/articles/PMC8116638/</x:v>
      </x:c>
      <x:c r="N4" s="32" t="str">
        <x:v>PMC</x:v>
      </x:c>
      <x:c r="O4" s="32" t="str">
        <x:v>YES</x:v>
      </x:c>
      <x:c r="P4" s="32" t="str">
        <x:v>2026-09-17</x:v>
      </x:c>
      <x:c r="Q4" s="32" t="str">
        <x:v>research-article</x:v>
      </x:c>
      <x:c r="R4" s="32" t="str">
        <x:v>YES</x:v>
      </x:c>
      <x:c r="S4" s="32" t="str">
        <x:v>MATCH_CONFIRMED</x:v>
      </x:c>
      <x:c r="T4" s="32" t="str">
        <x:v>VERSION_OF_RECORD</x:v>
      </x:c>
      <x:c r="U4" s="32" t="str">
        <x:v>United States; five implementation-practice examples</x:v>
      </x:c>
      <x:c r="V4" s="32" t="str">
        <x:v>INTEGRITY_CLEAR</x:v>
      </x:c>
      <x:c r="W4" s="32" t="str">
        <x:v>No correction/retraction relation found in the current PubMed record; this is not proof of absolute absence.</x:v>
      </x:c>
      <x:c r="X4" s="32" t="str">
        <x:v>INCLUDE_FULL_TEXT</x:v>
      </x:c>
      <x:c r="Y4" s="32" t="str">
        <x:v>Relevant conceptual source for organizational readiness during disruption; empirical utility remains unverified.</x:v>
      </x:c>
      <x:c r="Z4" s="32" t="str">
        <x:v>conceptual implementation tool with descriptive case illustrations</x:v>
      </x:c>
      <x:c r="AA4" s="32" t="str">
        <x:v>JBI Text and Opinion</x:v>
      </x:c>
      <x:c r="AB4" s="32" t="str">
        <x:v>2017</x:v>
      </x:c>
      <x:c r="AC4" s="32" t="str">
        <x:v>YES</x:v>
      </x:c>
      <x:c r="AD4" s="32" t="str"/>
      <x:c r="AE4" s="32" t="str">
        <x:v>NO</x:v>
      </x:c>
      <x:c r="AF4" s="32" t="str">
        <x:v>HUMAN_REVIEW_REQUIRED</x:v>
      </x:c>
    </x:row>
    <x:row r="5" ht="15" hidden="0" customHeight="1">
      <x:c r="A5" s="32" t="str">
        <x:v>EV-0753</x:v>
      </x:c>
      <x:c r="B5" s="32" t="str">
        <x:v>34665820</x:v>
      </x:c>
      <x:c r="C5" s="32" t="str">
        <x:v>10.1371/journal.pone.0258547</x:v>
      </x:c>
      <x:c r="D5" s="32" t="str">
        <x:v>PMC8525775</x:v>
      </x:c>
      <x:c r="E5" s="32" t="str">
        <x:v>NAFL5D8I</x:v>
      </x:c>
      <x:c r="F5" s="32" t="str">
        <x:v>Implementation and perceived effectiveness of gun violence restraining orders in California: A qualitative evaluation</x:v>
      </x:c>
      <x:c r="G5" s="32" t="str">
        <x:v>Veronica A. Pear; Julia P. Schleimer; Elizabeth Tomsich; Rocco Pallin; Amanda Charbonneau; Garen J. Wintemute; Christopher E. Knoepke</x:v>
      </x:c>
      <x:c r="H5" s="32" t="str">
        <x:v>PLoS ONE</x:v>
      </x:c>
      <x:c r="I5" s="32" t="str">
        <x:v>2021</x:v>
      </x:c>
      <x:c r="J5" s="32" t="str">
        <x:v>16</x:v>
      </x:c>
      <x:c r="K5" s="32" t="str">
        <x:v>10</x:v>
      </x:c>
      <x:c r="L5" s="32" t="str">
        <x:v>e0258547</x:v>
      </x:c>
      <x:c r="M5" s="32" t="str">
        <x:v>https://pmc.ncbi.nlm.nih.gov/articles/PMC8525775/</x:v>
      </x:c>
      <x:c r="N5" s="32" t="str">
        <x:v>PMC</x:v>
      </x:c>
      <x:c r="O5" s="32" t="str">
        <x:v>YES</x:v>
      </x:c>
      <x:c r="P5" s="32" t="str">
        <x:v>2026-09-17</x:v>
      </x:c>
      <x:c r="Q5" s="32" t="str">
        <x:v>research-article</x:v>
      </x:c>
      <x:c r="R5" s="32" t="str">
        <x:v>YES</x:v>
      </x:c>
      <x:c r="S5" s="32" t="str">
        <x:v>MATCH_CONFIRMED</x:v>
      </x:c>
      <x:c r="T5" s="32" t="str">
        <x:v>VERSION_OF_RECORD</x:v>
      </x:c>
      <x:c r="U5" s="32" t="str">
        <x:v>California, United States; firearm policy implementation</x:v>
      </x:c>
      <x:c r="V5" s="32" t="str">
        <x:v>INTEGRITY_CLEAR</x:v>
      </x:c>
      <x:c r="W5" s="32" t="str">
        <x:v>No correction/retraction relation found in the current PubMed record; this is not proof of absolute absence.</x:v>
      </x:c>
      <x:c r="X5" s="32" t="str">
        <x:v>INCLUDE_FULL_TEXT</x:v>
      </x:c>
      <x:c r="Y5" s="32" t="str">
        <x:v>Direct implementation study involving law enforcement and policy actors.</x:v>
      </x:c>
      <x:c r="Z5" s="32" t="str">
        <x:v>qualitative grounded-theory/CFIR evaluation</x:v>
      </x:c>
      <x:c r="AA5" s="32" t="str">
        <x:v>JBI Qualitative Research</x:v>
      </x:c>
      <x:c r="AB5" s="32" t="str">
        <x:v>2017</x:v>
      </x:c>
      <x:c r="AC5" s="32" t="str">
        <x:v>YES</x:v>
      </x:c>
      <x:c r="AD5" s="32" t="str"/>
      <x:c r="AE5" s="32" t="str">
        <x:v>NO</x:v>
      </x:c>
      <x:c r="AF5" s="32" t="str">
        <x:v>HUMAN_REVIEW_REQUIRED</x:v>
      </x:c>
    </x:row>
    <x:row r="6" ht="15" hidden="0" customHeight="1">
      <x:c r="A6" s="32" t="str">
        <x:v>EV-0727</x:v>
      </x:c>
      <x:c r="B6" s="32" t="str">
        <x:v>35076700</x:v>
      </x:c>
      <x:c r="C6" s="32" t="str">
        <x:v>10.1001/jamanetworkopen.2021.44955</x:v>
      </x:c>
      <x:c r="D6" s="32" t="str">
        <x:v>PMC8790663</x:v>
      </x:c>
      <x:c r="E6" s="32" t="str">
        <x:v>H7XKJIDC</x:v>
      </x:c>
      <x:c r="F6" s="32" t="str">
        <x:v>Perspectives About Emergency Department Care Encounters Among Adults With Opioid Use Disorder</x:v>
      </x:c>
      <x:c r="G6" s="32" t="str">
        <x:v>Kathryn Hawk; Ryan McCormack; E. Jennifer Edelman; Edouard Coupet; Nicolle Toledo; Phoebe Gauthier; John Rotrosen; Marek Chawarski; Shara Martel; Patricia Owens; Michael V. Pantalon; Patrick O’Connor; Lauren K. Whiteside; Ethan Cowan; Lynne D. Richardson; Michael S. Lyons; Richard Rothman; Lisa Marsch; David A. Fiellin; Gail D’Onofrio</x:v>
      </x:c>
      <x:c r="H6" s="32" t="str">
        <x:v>JAMA Network Open</x:v>
      </x:c>
      <x:c r="I6" s="32" t="str">
        <x:v>2022</x:v>
      </x:c>
      <x:c r="J6" s="32" t="str">
        <x:v>5</x:v>
      </x:c>
      <x:c r="K6" s="32" t="str">
        <x:v>1</x:v>
      </x:c>
      <x:c r="L6" s="32" t="str">
        <x:v>e2144955</x:v>
      </x:c>
      <x:c r="M6" s="32" t="str">
        <x:v>https://pmc.ncbi.nlm.nih.gov/articles/PMC8790663/</x:v>
      </x:c>
      <x:c r="N6" s="32" t="str">
        <x:v>PMC</x:v>
      </x:c>
      <x:c r="O6" s="32" t="str">
        <x:v>YES</x:v>
      </x:c>
      <x:c r="P6" s="32" t="str">
        <x:v>2026-09-17</x:v>
      </x:c>
      <x:c r="Q6" s="32" t="str">
        <x:v>research-article</x:v>
      </x:c>
      <x:c r="R6" s="32" t="str">
        <x:v>YES</x:v>
      </x:c>
      <x:c r="S6" s="32" t="str">
        <x:v>MATCH_CONFIRMED</x:v>
      </x:c>
      <x:c r="T6" s="32" t="str">
        <x:v>VERSION_OF_RECORD</x:v>
      </x:c>
      <x:c r="U6" s="32" t="str">
        <x:v>Six emergency departments in the United States</x:v>
      </x:c>
      <x:c r="V6" s="32" t="str">
        <x:v>INTEGRITY_CLEAR</x:v>
      </x:c>
      <x:c r="W6" s="32" t="str">
        <x:v>No correction/retraction relation found in the current PubMed record; this is not proof of absolute absence.</x:v>
      </x:c>
      <x:c r="X6" s="32" t="str">
        <x:v>INCLUDE_FULL_TEXT</x:v>
      </x:c>
      <x:c r="Y6" s="32" t="str">
        <x:v>Implementation-relevant patient perspectives on emergency care and treatment access.</x:v>
      </x:c>
      <x:c r="Z6" s="32" t="str">
        <x:v>multisite qualitative focus-group study</x:v>
      </x:c>
      <x:c r="AA6" s="32" t="str">
        <x:v>JBI Qualitative Research</x:v>
      </x:c>
      <x:c r="AB6" s="32" t="str">
        <x:v>2017</x:v>
      </x:c>
      <x:c r="AC6" s="32" t="str">
        <x:v>YES</x:v>
      </x:c>
      <x:c r="AD6" s="32" t="str"/>
      <x:c r="AE6" s="32" t="str">
        <x:v>NO</x:v>
      </x:c>
      <x:c r="AF6" s="32" t="str">
        <x:v>HUMAN_REVIEW_REQUIRED</x:v>
      </x:c>
    </x:row>
    <x:row r="7" ht="15" hidden="0" customHeight="1">
      <x:c r="A7" s="32" t="str">
        <x:v>EV-0593</x:v>
      </x:c>
      <x:c r="B7" s="32" t="str">
        <x:v>37297641</x:v>
      </x:c>
      <x:c r="C7" s="32" t="str">
        <x:v>10.3390/ijerph20116037</x:v>
      </x:c>
      <x:c r="D7" s="32" t="str">
        <x:v>PMC10252876</x:v>
      </x:c>
      <x:c r="E7" s="32" t="str">
        <x:v>57HE5M3N</x:v>
      </x:c>
      <x:c r="F7" s="32" t="str">
        <x:v>How Do We Keep our Heads above Water? An Embedded Mixed-Methods Study Exploring Implementation of a Workplace Reintegration Program for Nurses Affected by Operational Stress Injury</x:v>
      </x:c>
      <x:c r="G7" s="32" t="str">
        <x:v>Chelsea Jones; Elly O’Greysik; Brenda Juby; Shaylee Spencer; Michelle Vincent; Lorraine Smith-MacDonald; Colleen Mooney; Suzette Brémault-Phillips</x:v>
      </x:c>
      <x:c r="H7" s="32" t="str">
        <x:v>International Journal of Environmental Research and Public Health</x:v>
      </x:c>
      <x:c r="I7" s="32" t="str">
        <x:v>2023</x:v>
      </x:c>
      <x:c r="J7" s="32" t="str">
        <x:v>20</x:v>
      </x:c>
      <x:c r="K7" s="32" t="str">
        <x:v>11</x:v>
      </x:c>
      <x:c r="L7" s="32" t="str">
        <x:v>6037</x:v>
      </x:c>
      <x:c r="M7" s="32" t="str">
        <x:v>https://pmc.ncbi.nlm.nih.gov/articles/PMC10252876/</x:v>
      </x:c>
      <x:c r="N7" s="32" t="str">
        <x:v>PMC</x:v>
      </x:c>
      <x:c r="O7" s="32" t="str">
        <x:v>YES</x:v>
      </x:c>
      <x:c r="P7" s="32" t="str">
        <x:v>2026-09-17</x:v>
      </x:c>
      <x:c r="Q7" s="32" t="str">
        <x:v>research-article</x:v>
      </x:c>
      <x:c r="R7" s="32" t="str">
        <x:v>YES</x:v>
      </x:c>
      <x:c r="S7" s="32" t="str">
        <x:v>MATCH_CONFIRMED</x:v>
      </x:c>
      <x:c r="T7" s="32" t="str">
        <x:v>VERSION_OF_RECORD</x:v>
      </x:c>
      <x:c r="U7" s="32" t="str">
        <x:v>Urban Alberta, Canada; emergency and critical-care nurses</x:v>
      </x:c>
      <x:c r="V7" s="32" t="str">
        <x:v>INTEGRITY_CLEAR</x:v>
      </x:c>
      <x:c r="W7" s="32" t="str">
        <x:v>No correction/retraction relation found in the current PubMed record; this is not proof of absolute absence.</x:v>
      </x:c>
      <x:c r="X7" s="32" t="str">
        <x:v>INCLUDE_FULL_TEXT</x:v>
      </x:c>
      <x:c r="Y7" s="32" t="str">
        <x:v>Relevant implementation evidence for workplace reintegration, with indirect occupational transferability.</x:v>
      </x:c>
      <x:c r="Z7" s="32" t="str">
        <x:v>embedded mixed-methods implementation study</x:v>
      </x:c>
      <x:c r="AA7" s="32" t="str">
        <x:v>MMAT</x:v>
      </x:c>
      <x:c r="AB7" s="32" t="str">
        <x:v>2018</x:v>
      </x:c>
      <x:c r="AC7" s="32" t="str">
        <x:v>YES</x:v>
      </x:c>
      <x:c r="AD7" s="32" t="str"/>
      <x:c r="AE7" s="32" t="str">
        <x:v>NO</x:v>
      </x:c>
      <x:c r="AF7" s="32" t="str">
        <x:v>HUMAN_REVIEW_REQUIRED</x:v>
      </x:c>
    </x:row>
    <x:row r="8" ht="15" hidden="0" customHeight="1">
      <x:c r="A8" s="32" t="str">
        <x:v>EV-0523</x:v>
      </x:c>
      <x:c r="B8" s="32" t="str">
        <x:v>38115970</x:v>
      </x:c>
      <x:c r="C8" s="32" t="str">
        <x:v>10.1136/tsaco-2023-001292</x:v>
      </x:c>
      <x:c r="D8" s="32" t="str">
        <x:v>PMC10729156</x:v>
      </x:c>
      <x:c r="E8" s="32" t="str">
        <x:v>45XR289H</x:v>
      </x:c>
      <x:c r="F8" s="32" t="str">
        <x:v>Implementation science in action: national organization of an ambitious first responder training program</x:v>
      </x:c>
      <x:c r="G8" s="32" t="str">
        <x:v>Lacey LaGrone</x:v>
      </x:c>
      <x:c r="H8" s="32" t="str">
        <x:v>Trauma Surgery &amp; Acute Care Open</x:v>
      </x:c>
      <x:c r="I8" s="32" t="str">
        <x:v>2023</x:v>
      </x:c>
      <x:c r="J8" s="32" t="str">
        <x:v>8</x:v>
      </x:c>
      <x:c r="K8" s="32" t="str">
        <x:v>1</x:v>
      </x:c>
      <x:c r="L8" s="32" t="str">
        <x:v>e001292</x:v>
      </x:c>
      <x:c r="M8" s="32" t="str">
        <x:v>https://pmc.ncbi.nlm.nih.gov/articles/PMC10729156/</x:v>
      </x:c>
      <x:c r="N8" s="32" t="str">
        <x:v>PMC</x:v>
      </x:c>
      <x:c r="O8" s="32" t="str">
        <x:v>YES</x:v>
      </x:c>
      <x:c r="P8" s="32" t="str">
        <x:v>2026-09-17</x:v>
      </x:c>
      <x:c r="Q8" s="32" t="str">
        <x:v>article-commentary</x:v>
      </x:c>
      <x:c r="R8" s="32" t="str">
        <x:v>YES</x:v>
      </x:c>
      <x:c r="S8" s="32" t="str">
        <x:v>MATCH_CONFIRMED</x:v>
      </x:c>
      <x:c r="T8" s="32" t="str">
        <x:v>VERSION_OF_RECORD</x:v>
      </x:c>
      <x:c r="U8" s="32" t="str">
        <x:v>Commentary on a national first-responder training initiative in Pakistan</x:v>
      </x:c>
      <x:c r="V8" s="32" t="str">
        <x:v>INTEGRITY_CLEAR</x:v>
      </x:c>
      <x:c r="W8" s="32" t="str">
        <x:v>CommentOn:38020852; non-integrity editorial relation retained</x:v>
      </x:c>
      <x:c r="X8" s="32" t="str">
        <x:v>HUMAN_REVIEW_REQUIRED</x:v>
      </x:c>
      <x:c r="Y8" s="32" t="str">
        <x:v>Full text is commentary without original methods or outcomes; a human must decide contextual-source eligibility.</x:v>
      </x:c>
      <x:c r="Z8" s="32" t="str">
        <x:v>editorial commentary</x:v>
      </x:c>
      <x:c r="AA8" s="32" t="str">
        <x:v>JBI Text and Opinion</x:v>
      </x:c>
      <x:c r="AB8" s="32" t="str">
        <x:v>2017</x:v>
      </x:c>
      <x:c r="AC8" s="32" t="str">
        <x:v>YES</x:v>
      </x:c>
      <x:c r="AD8" s="32" t="str"/>
      <x:c r="AE8" s="32" t="str">
        <x:v>NO</x:v>
      </x:c>
      <x:c r="AF8" s="32" t="str">
        <x:v>HUMAN_REVIEW_REQUIRED</x:v>
      </x:c>
    </x:row>
    <x:row r="9" ht="15" hidden="0" customHeight="1">
      <x:c r="A9" s="32" t="str">
        <x:v>EV-0503</x:v>
      </x:c>
      <x:c r="B9" s="32" t="str">
        <x:v>38322801</x:v>
      </x:c>
      <x:c r="C9" s="32" t="str">
        <x:v>10.1177/26334895231220259</x:v>
      </x:c>
      <x:c r="D9" s="32" t="str">
        <x:v>PMC10775732</x:v>
      </x:c>
      <x:c r="E9" s="32" t="str">
        <x:v>7Q3Z785H</x:v>
      </x:c>
      <x:c r="F9" s="32" t="str">
        <x:v>Barriers and enablers to implementing police mental health co-responder programs: A qualitative study using the consolidated framework for implementation research</x:v>
      </x:c>
      <x:c r="G9" s="32" t="str">
        <x:v>O. J. Fisher; C. Donahoo; E. Bosley; R. du Cloux; S. Garner; S. Powell; J. Pickard; N. Grevis-James; M. Wyder</x:v>
      </x:c>
      <x:c r="H9" s="32" t="str">
        <x:v>Implementation Research and Practice</x:v>
      </x:c>
      <x:c r="I9" s="32" t="str">
        <x:v>2024</x:v>
      </x:c>
      <x:c r="J9" s="32" t="str">
        <x:v>5</x:v>
      </x:c>
      <x:c r="K9" s="32" t="str"/>
      <x:c r="L9" s="32" t="str">
        <x:v>26334895231220259</x:v>
      </x:c>
      <x:c r="M9" s="32" t="str">
        <x:v>https://pmc.ncbi.nlm.nih.gov/articles/PMC10775732/</x:v>
      </x:c>
      <x:c r="N9" s="32" t="str">
        <x:v>PMC</x:v>
      </x:c>
      <x:c r="O9" s="32" t="str">
        <x:v>YES</x:v>
      </x:c>
      <x:c r="P9" s="32" t="str">
        <x:v>2026-09-17</x:v>
      </x:c>
      <x:c r="Q9" s="32" t="str">
        <x:v>research-article</x:v>
      </x:c>
      <x:c r="R9" s="32" t="str">
        <x:v>YES</x:v>
      </x:c>
      <x:c r="S9" s="32" t="str">
        <x:v>MATCH_CONFIRMED</x:v>
      </x:c>
      <x:c r="T9" s="32" t="str">
        <x:v>VERSION_OF_RECORD</x:v>
      </x:c>
      <x:c r="U9" s="32" t="str">
        <x:v>Queensland, Australia; police mental-health co-responder program</x:v>
      </x:c>
      <x:c r="V9" s="32" t="str">
        <x:v>INTEGRITY_CLEAR</x:v>
      </x:c>
      <x:c r="W9" s="32" t="str">
        <x:v>No correction/retraction relation found in the current PubMed record; this is not proof of absolute absence.</x:v>
      </x:c>
      <x:c r="X9" s="32" t="str">
        <x:v>INCLUDE_FULL_TEXT</x:v>
      </x:c>
      <x:c r="Y9" s="32" t="str">
        <x:v>Direct police implementation study with clearly bounded qualitative outcomes.</x:v>
      </x:c>
      <x:c r="Z9" s="32" t="str">
        <x:v>qualitative service evaluation using post hoc CFIR analysis</x:v>
      </x:c>
      <x:c r="AA9" s="32" t="str">
        <x:v>JBI Qualitative Research</x:v>
      </x:c>
      <x:c r="AB9" s="32" t="str">
        <x:v>2017</x:v>
      </x:c>
      <x:c r="AC9" s="32" t="str">
        <x:v>YES</x:v>
      </x:c>
      <x:c r="AD9" s="32" t="str"/>
      <x:c r="AE9" s="32" t="str">
        <x:v>NO</x:v>
      </x:c>
      <x:c r="AF9" s="32" t="str">
        <x:v>HUMAN_REVIEW_REQUIRED</x:v>
      </x:c>
    </x:row>
    <x:row r="10" ht="15" hidden="0" customHeight="1">
      <x:c r="A10" s="32" t="str">
        <x:v>EV-0447</x:v>
      </x:c>
      <x:c r="B10" s="32" t="str">
        <x:v>39028235</x:v>
      </x:c>
      <x:c r="C10" s="32" t="str">
        <x:v>10.5811/westjem.18033</x:v>
      </x:c>
      <x:c r="D10" s="32" t="str">
        <x:v>PMC11254139</x:v>
      </x:c>
      <x:c r="E10" s="32" t="str">
        <x:v>5H6N3ED3</x:v>
      </x:c>
      <x:c r="F10" s="32" t="str">
        <x:v>Harm Reduction in the Field: First Responders’ Perceptions of Opioid Overdose Interventions</x:v>
      </x:c>
      <x:c r="G10" s="32" t="str">
        <x:v>Callan Elswick Fockele; Tessa Frohe; Owen McBride; David L. Perlmutter; Brenda Goh; Grover Williams; Courteney Wettemann; Nathan Holland; Brad Finegood; Thea Oliphant-Wells; Emily C. Williams; Jenna van Draanen</x:v>
      </x:c>
      <x:c r="H10" s="32" t="str">
        <x:v>Western Journal of Emergency Medicine</x:v>
      </x:c>
      <x:c r="I10" s="32" t="str">
        <x:v>2024</x:v>
      </x:c>
      <x:c r="J10" s="32" t="str">
        <x:v>25</x:v>
      </x:c>
      <x:c r="K10" s="32" t="str">
        <x:v>4</x:v>
      </x:c>
      <x:c r="L10" s="32" t="str">
        <x:v>490</x:v>
      </x:c>
      <x:c r="M10" s="32" t="str">
        <x:v>https://pmc.ncbi.nlm.nih.gov/articles/PMC11254139/</x:v>
      </x:c>
      <x:c r="N10" s="32" t="str">
        <x:v>PMC</x:v>
      </x:c>
      <x:c r="O10" s="32" t="str">
        <x:v>YES</x:v>
      </x:c>
      <x:c r="P10" s="32" t="str">
        <x:v>2026-09-17</x:v>
      </x:c>
      <x:c r="Q10" s="32" t="str">
        <x:v>research-article</x:v>
      </x:c>
      <x:c r="R10" s="32" t="str">
        <x:v>YES</x:v>
      </x:c>
      <x:c r="S10" s="32" t="str">
        <x:v>MATCH_CONFIRMED</x:v>
      </x:c>
      <x:c r="T10" s="32" t="str">
        <x:v>VERSION_OF_RECORD</x:v>
      </x:c>
      <x:c r="U10" s="32" t="str">
        <x:v>King County, Washington, United States; first responders and mobile health staff</x:v>
      </x:c>
      <x:c r="V10" s="32" t="str">
        <x:v>INTEGRITY_CLEAR</x:v>
      </x:c>
      <x:c r="W10" s="32" t="str">
        <x:v>No correction/retraction relation found in the current PubMed record; this is not proof of absolute absence.</x:v>
      </x:c>
      <x:c r="X10" s="32" t="str">
        <x:v>INCLUDE_FULL_TEXT</x:v>
      </x:c>
      <x:c r="Y10" s="32" t="str">
        <x:v>Direct implementation study of first-responder overdose interventions.</x:v>
      </x:c>
      <x:c r="Z10" s="32" t="str">
        <x:v>community-engaged qualitative interview study</x:v>
      </x:c>
      <x:c r="AA10" s="32" t="str">
        <x:v>JBI Qualitative Research</x:v>
      </x:c>
      <x:c r="AB10" s="32" t="str">
        <x:v>2017</x:v>
      </x:c>
      <x:c r="AC10" s="32" t="str">
        <x:v>YES</x:v>
      </x:c>
      <x:c r="AD10" s="32" t="str"/>
      <x:c r="AE10" s="32" t="str">
        <x:v>NO</x:v>
      </x:c>
      <x:c r="AF10" s="32" t="str">
        <x:v>HUMAN_REVIEW_REQUIRED</x:v>
      </x:c>
    </x:row>
    <x:row r="11" ht="15" hidden="0" customHeight="1">
      <x:c r="A11" s="32" t="str">
        <x:v>EV-0425</x:v>
      </x:c>
      <x:c r="B11" s="32" t="str">
        <x:v>39205432</x:v>
      </x:c>
      <x:c r="C11" s="32" t="str">
        <x:v>10.1111/dar.13926</x:v>
      </x:c>
      <x:c r="D11" s="32" t="str">
        <x:v>PMC12372593</x:v>
      </x:c>
      <x:c r="E11" s="32" t="str">
        <x:v>96HF9IFT</x:v>
      </x:c>
      <x:c r="F11" s="32" t="str">
        <x:v>“You might be nice, but where you take me, they’re not gonna be”: Preferences for field-based post-overdose interventions</x:v>
      </x:c>
      <x:c r="G11" s="32" t="str">
        <x:v>Jenna van Draanen; Addy Adwell; Courteney Wettemann; Callan Elswick Fockele; Brenda Goh; David L. Perlmutter; Grover “Will” Williams; Nathan Holland; Tessa Frohe</x:v>
      </x:c>
      <x:c r="H11" s="32" t="str">
        <x:v>Drug and alcohol review</x:v>
      </x:c>
      <x:c r="I11" s="32" t="str">
        <x:v>2024</x:v>
      </x:c>
      <x:c r="J11" s="32" t="str">
        <x:v>43</x:v>
      </x:c>
      <x:c r="K11" s="32" t="str">
        <x:v>7</x:v>
      </x:c>
      <x:c r="L11" s="32" t="str">
        <x:v>1865</x:v>
      </x:c>
      <x:c r="M11" s="32" t="str">
        <x:v>https://pmc.ncbi.nlm.nih.gov/articles/PMC12372593/</x:v>
      </x:c>
      <x:c r="N11" s="32" t="str">
        <x:v>PMC</x:v>
      </x:c>
      <x:c r="O11" s="32" t="str">
        <x:v>YES</x:v>
      </x:c>
      <x:c r="P11" s="32" t="str">
        <x:v>2026-09-17</x:v>
      </x:c>
      <x:c r="Q11" s="32" t="str">
        <x:v>research-article</x:v>
      </x:c>
      <x:c r="R11" s="32" t="str">
        <x:v>YES</x:v>
      </x:c>
      <x:c r="S11" s="32" t="str">
        <x:v>MATCH_CONFIRMED</x:v>
      </x:c>
      <x:c r="T11" s="32" t="str">
        <x:v>AUTHOR_ACCEPTED_MANUSCRIPT</x:v>
      </x:c>
      <x:c r="U11" s="32" t="str">
        <x:v>King County, Washington, United States; people who use drugs</x:v>
      </x:c>
      <x:c r="V11" s="32" t="str">
        <x:v>INTEGRITY_CLEAR</x:v>
      </x:c>
      <x:c r="W11" s="32" t="str">
        <x:v>No correction/retraction relation found in the current PubMed record; this is not proof of absolute absence.</x:v>
      </x:c>
      <x:c r="X11" s="32" t="str">
        <x:v>INCLUDE_FULL_TEXT</x:v>
      </x:c>
      <x:c r="Y11" s="32" t="str">
        <x:v>Implementation-relevant service-user perspectives for field overdose care.</x:v>
      </x:c>
      <x:c r="Z11" s="32" t="str">
        <x:v>community-engaged qualitative interview study</x:v>
      </x:c>
      <x:c r="AA11" s="32" t="str">
        <x:v>JBI Qualitative Research</x:v>
      </x:c>
      <x:c r="AB11" s="32" t="str">
        <x:v>2017</x:v>
      </x:c>
      <x:c r="AC11" s="32" t="str">
        <x:v>YES</x:v>
      </x:c>
      <x:c r="AD11" s="32" t="str"/>
      <x:c r="AE11" s="32" t="str">
        <x:v>NO</x:v>
      </x:c>
      <x:c r="AF11" s="32" t="str">
        <x:v>HUMAN_REVIEW_REQUIRED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E5AA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630000114440918" hidden="0" customWidth="1"/>
    <x:col min="2" max="2" width="7.380000114440918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</x:cols>
  <x:sheetData>
    <x:row r="1" ht="15" hidden="0" customHeight="1">
      <x:c r="A1" s="30" t="str">
        <x:v>Evidence ID</x:v>
      </x:c>
      <x:c r="B1" s="30" t="str">
        <x:v>PMID</x:v>
      </x:c>
      <x:c r="C1" s="30" t="str">
        <x:v>Título</x:v>
      </x:c>
      <x:c r="D1" s="30" t="str">
        <x:v>População/amostra</x:v>
      </x:c>
      <x:c r="E1" s="30" t="str">
        <x:v>Desenho</x:v>
      </x:c>
      <x:c r="F1" s="30" t="str">
        <x:v>Extração verificável</x:v>
      </x:c>
      <x:c r="G1" s="30" t="str">
        <x:v>Resultado verificável</x:v>
      </x:c>
      <x:c r="H1" s="30" t="str">
        <x:v>Localização exata</x:v>
      </x:c>
      <x:c r="I1" s="30" t="str">
        <x:v>SUPPORTED_CLAIMS</x:v>
      </x:c>
      <x:c r="J1" s="30" t="str">
        <x:v>UNSUPPORTED_CLAIMS</x:v>
      </x:c>
      <x:c r="K1" s="30" t="str">
        <x:v>TRANSFERABILITY_LIMITS</x:v>
      </x:c>
      <x:c r="L1" s="30" t="str">
        <x:v>Red Team</x:v>
      </x:c>
    </x:row>
    <x:row r="2" ht="15" hidden="0" customHeight="1">
      <x:c r="A2" s="32" t="str">
        <x:v>EV-0668</x:v>
      </x:c>
      <x:c r="B2" s="32" t="str">
        <x:v>36141388</x:v>
      </x:c>
      <x:c r="C2" s="32" t="str">
        <x:v>Development of an Evidence-Informed Solution to Emotional Distress in Public Safety Personnel and Healthcare Workers: The Social Support, Tracking Distress, Education, and Discussion CommunitY (STEADY) Program</x:v>
      </x:c>
      <x:c r="D2" s="32" t="str">
        <x:v>No empirical sample; narrative review and program-development article</x:v>
      </x:c>
      <x:c r="E2" s="32" t="str">
        <x:v>narrative review / program development</x:v>
      </x:c>
      <x:c r="F2" s="32" t="str">
        <x:v>STEADY combines social support, distress tracking, education, discussion and community-building; KTA and CFIR informed development.</x:v>
      </x:c>
      <x:c r="G2" s="32" t="str">
        <x:v>The paper describes program components and planned implementation; it explicitly does not report a STEADY evaluation.</x:v>
      </x:c>
      <x:c r="H2" s="32" t="str">
        <x:v>The STEADY Program ¶1–2; Key Components ¶1–8; What Does STEADY Add? ¶10; Next Steps and Implications for Practice ¶1–2</x:v>
      </x:c>
      <x:c r="I2" s="32" t="str">
        <x:v>The authors developed and described the five-component STEADY program and its proposed implementation basis.</x:v>
      </x:c>
      <x:c r="J2" s="32" t="str">
        <x:v>The article does not establish STEADY effectiveness, causal mental-health benefit, long-term outcomes or superiority to other programs.</x:v>
      </x:c>
      <x:c r="K2" s="32" t="str">
        <x:v>Canadian program-development context; mixed PSP/healthcare target; no Brazilian implementation or outcome data.</x:v>
      </x:c>
      <x:c r="L2" s="32" t="str">
        <x:v>Program description could be misread as effectiveness evidence; retained only as conceptual/implementation evidence.</x:v>
      </x:c>
    </x:row>
    <x:row r="3" ht="15" hidden="0" customHeight="1">
      <x:c r="A3" s="32" t="str">
        <x:v>EV-0787</x:v>
      </x:c>
      <x:c r="B3" s="32" t="str">
        <x:v>33933923</x:v>
      </x:c>
      <x:c r="C3" s="32" t="str">
        <x:v>Implementation of a New Hampshire community-initiated response to the opioid crisis: A mixed-methods process evaluation of Safe Station</x:v>
      </x:c>
      <x:c r="D3" s="32" t="str">
        <x:v>Safe Station clients (n=49), fire staff/leadership (n=29), ED staff (n=6), ambulance partner staff (n=4), recovery partner staff (n=6)</x:v>
      </x:c>
      <x:c r="E3" s="32" t="str">
        <x:v>convergent parallel mixed-methods process evaluation</x:v>
      </x:c>
      <x:c r="F3" s="32" t="str">
        <x:v>Observations, interviews and implementation measures were integrated using CFIR; stigma, funding, treatment availability, staffing and communication affected implementation.</x:v>
      </x:c>
      <x:c r="G3" s="32" t="str">
        <x:v>Implementation scores were descriptive; small samples precluded significance testing, and staff adoption/acceptability appeared lower than client and leadership ratings.</x:v>
      </x:c>
      <x:c r="H3" s="32" t="str">
        <x:v>Methods—Design ¶1; Participants ¶1; Analysis Plan ¶1–2; Results—Participant Characteristics ¶1; Quantitative Metrics ¶1; Study Strengths and Limitations ¶1</x:v>
      </x:c>
      <x:c r="I3" s="32" t="str">
        <x:v>In this local evaluation, participating stakeholder groups identified specific facilitators and barriers to Safe Station implementation.</x:v>
      </x:c>
      <x:c r="J3" s="32" t="str">
        <x:v>The study does not prove program effectiveness, mortality reduction, causal benefit, sustainability or transportability to Brazil.</x:v>
      </x:c>
      <x:c r="K3" s="32" t="str">
        <x:v>Single US city, self-selected small stakeholder samples, local fire/health partnerships and no inferential testing.</x:v>
      </x:c>
      <x:c r="L3" s="32" t="str">
        <x:v>Effectiveness language in participant perceptions must not be converted into measured clinical effectiveness.</x:v>
      </x:c>
    </x:row>
    <x:row r="4" ht="15" hidden="0" customHeight="1">
      <x:c r="A4" s="32" t="str">
        <x:v>EV-0758</x:v>
      </x:c>
      <x:c r="B4" s="32" t="str">
        <x:v>34622213</x:v>
      </x:c>
      <x:c r="C4" s="32" t="str">
        <x:v>The Readiness, Resilience and Recovery Tool: An Emerging Approach to Enhance Readiness Amidst Disruption</x:v>
      </x:c>
      <x:c r="D4" s="32" t="str">
        <x:v>No formal study sample; illustrative applications across five organizations/projects</x:v>
      </x:c>
      <x:c r="E4" s="32" t="str">
        <x:v>conceptual implementation tool with descriptive case illustrations</x:v>
      </x:c>
      <x:c r="F4" s="32" t="str">
        <x:v>RRR extends R=MC² readiness thinking by considering an innovation and a disruption simultaneously; five applications are described.</x:v>
      </x:c>
      <x:c r="G4" s="32" t="str">
        <x:v>Authors report preliminary user experience and explicitly state that structured qualitative and quantitative evaluation is still needed.</x:v>
      </x:c>
      <x:c r="H4" s="32" t="str">
        <x:v>Enhancing the Readiness Building System with RRR Tools and Approaches ¶1–5; RRR in Practice; Next Steps for RRR ¶1–5; Conclusions ¶1–4</x:v>
      </x:c>
      <x:c r="I4" s="32" t="str">
        <x:v>The article describes the RRR tool, its conceptual basis and five early applications.</x:v>
      </x:c>
      <x:c r="J4" s="32" t="str">
        <x:v>It does not validate the tool, establish psychometric properties, prove effectiveness or demonstrate generalizability.</x:v>
      </x:c>
      <x:c r="K4" s="32" t="str">
        <x:v>Heterogeneous US examples; no Brazilian public-safety application; authors characterize validity support as anecdotal.</x:v>
      </x:c>
      <x:c r="L4" s="32" t="str">
        <x:v>Early applications and author conclusions were bounded as descriptive; no effectiveness claim was retained.</x:v>
      </x:c>
    </x:row>
    <x:row r="5" ht="15" hidden="0" customHeight="1">
      <x:c r="A5" s="32" t="str">
        <x:v>EV-0753</x:v>
      </x:c>
      <x:c r="B5" s="32" t="str">
        <x:v>34665820</x:v>
      </x:c>
      <x:c r="C5" s="32" t="str">
        <x:v>Implementation and perceived effectiveness of gun violence restraining orders in California: A qualitative evaluation</x:v>
      </x:c>
      <x:c r="D5" s="32" t="str">
        <x:v>21 interviews with 27 judges, law-enforcement officers, attorneys, policy experts, advocates and a researcher</x:v>
      </x:c>
      <x:c r="E5" s="32" t="str">
        <x:v>qualitative grounded-theory/CFIR evaluation</x:v>
      </x:c>
      <x:c r="F5" s="32" t="str">
        <x:v>Informants described funding, planning, interagency coordination, training, local ideology and organizational culture as implementation determinants.</x:v>
      </x:c>
      <x:c r="G5" s="32" t="str">
        <x:v>Perceived effectiveness was favorable but informants and authors stated that outcome evidence remained incomplete.</x:v>
      </x:c>
      <x:c r="H5" s="32" t="str">
        <x:v>Materials and methods—Study sample ¶1–2; Analytic approach ¶2–3; Results ¶1; Implementation sections; Evidence strength and quality ¶1–4; Limitations ¶1–2</x:v>
      </x:c>
      <x:c r="I5" s="32" t="str">
        <x:v>Interviewed California stakeholders identified barriers, facilitators and perceived outcomes of GVRO implementation.</x:v>
      </x:c>
      <x:c r="J5" s="32" t="str">
        <x:v>The interviews do not establish that GVROs reduce violence or suicide, quantify causal effects, or resolve equity impacts.</x:v>
      </x:c>
      <x:c r="K5" s="32" t="str">
        <x:v>California law and institutions differ from Brazil; participating counties had used GVROs and informants may have been more supportive.</x:v>
      </x:c>
      <x:c r="L5" s="32" t="str">
        <x:v>Perceived effectiveness was separated from actual outcome effectiveness and causal inference.</x:v>
      </x:c>
    </x:row>
    <x:row r="6" ht="15" hidden="0" customHeight="1">
      <x:c r="A6" s="32" t="str">
        <x:v>EV-0727</x:v>
      </x:c>
      <x:c r="B6" s="32" t="str">
        <x:v>35076700</x:v>
      </x:c>
      <x:c r="C6" s="32" t="str">
        <x:v>Perspectives About Emergency Department Care Encounters Among Adults With Opioid Use Disorder</x:v>
      </x:c>
      <x:c r="D6" s="32" t="str">
        <x:v>31 adults with untreated opioid use disorder in six focus groups</x:v>
      </x:c>
      <x:c r="E6" s="32" t="str">
        <x:v>multisite qualitative focus-group study</x:v>
      </x:c>
      <x:c r="F6" s="32" t="str">
        <x:v>Themes included stigma, pain minimization, lack of OUD treatment expectations, time-sensitive readiness, on-demand treatment and staff training.</x:v>
      </x:c>
      <x:c r="G6" s="32" t="str">
        <x:v>The study reports participant experiences and implementation needs; it did not test an intervention effect.</x:v>
      </x:c>
      <x:c r="H6" s="32" t="str">
        <x:v>Methods—Selection of Participants ¶1; Data Collection ¶1; Data Analysis ¶1; Results—Participant Characteristics ¶1; Themes ¶1; Discussion—Limitations ¶1; Conclusions ¶1</x:v>
      </x:c>
      <x:c r="I6" s="32" t="str">
        <x:v>Participants in these focus groups reported stigma and identified opportunities to improve ED care and treatment linkage.</x:v>
      </x:c>
      <x:c r="J6" s="32" t="str">
        <x:v>The study does not quantify prevalence, prove intervention effectiveness, establish causality or represent all people with OUD.</x:v>
      </x:c>
      <x:c r="K6" s="32" t="str">
        <x:v>US ED and addiction-care context; selected English-speaking participants; no Brazilian public-safety workforce sample.</x:v>
      </x:c>
      <x:c r="L6" s="32" t="str">
        <x:v>Patient reports were preserved as qualitative findings, not prevalence estimates or causal effects.</x:v>
      </x:c>
    </x:row>
    <x:row r="7" ht="15" hidden="0" customHeight="1">
      <x:c r="A7" s="32" t="str">
        <x:v>EV-0593</x:v>
      </x:c>
      <x:c r="B7" s="32" t="str">
        <x:v>37297641</x:v>
      </x:c>
      <x:c r="C7" s="32" t="str">
        <x:v>How Do We Keep our Heads above Water? An Embedded Mixed-Methods Study Exploring Implementation of a Workplace Reintegration Program for Nurses Affected by Operational Stress Injury</x:v>
      </x:c>
      <x:c r="D7" s="32" t="str">
        <x:v>19 questionnaire respondents; 12 focus-group participants, all women</x:v>
      </x:c>
      <x:c r="E7" s="32" t="str">
        <x:v>embedded mixed-methods implementation study</x:v>
      </x:c>
      <x:c r="F7" s="32" t="str">
        <x:v>Participants reported traumatic exposure and implementation needs including education, buy-in, resources, support and adaptation of a reintegration program.</x:v>
      </x:c>
      <x:c r="G7" s="32" t="str">
        <x:v>Among 19 respondents, 89% reported psychological distress, 63% sought mental health care and 42% required time away; findings are descriptive and self-reported.</x:v>
      </x:c>
      <x:c r="H7" s="32" t="str">
        <x:v>Materials and Methods—Study Design ¶1–3; Participants ¶1; Data Collection ¶1–4; Data Analysis ¶1–2; Results—Questionnaire ¶1 and Thematic Analysis ¶1; Limitations ¶1</x:v>
      </x:c>
      <x:c r="I7" s="32" t="str">
        <x:v>This small sample identified perceived needs and contextual barriers for a nurse workplace-reintegration program.</x:v>
      </x:c>
      <x:c r="J7" s="32" t="str">
        <x:v>The study does not establish program effectiveness, population prevalence, causal benefit or direct applicability to police in Brazil.</x:v>
      </x:c>
      <x:c r="K7" s="32" t="str">
        <x:v>Canadian nurses, all-women sample, one health system, small self-selected groups and no implemented intervention outcome.</x:v>
      </x:c>
      <x:c r="L7" s="32" t="str">
        <x:v>Percentages were tied to denominator 19 and not generalized to nurses or public-safety personnel.</x:v>
      </x:c>
    </x:row>
    <x:row r="8" ht="15" hidden="0" customHeight="1">
      <x:c r="A8" s="32" t="str">
        <x:v>EV-0523</x:v>
      </x:c>
      <x:c r="B8" s="32" t="str">
        <x:v>38115970</x:v>
      </x:c>
      <x:c r="C8" s="32" t="str">
        <x:v>Implementation science in action: national organization of an ambitious first responder training program</x:v>
      </x:c>
      <x:c r="D8" s="32" t="str">
        <x:v>No original sample or data</x:v>
      </x:c>
      <x:c r="E8" s="32" t="str">
        <x:v>editorial commentary</x:v>
      </x:c>
      <x:c r="F8" s="32" t="str">
        <x:v>The author comments that EPIS structured reporting of a large CPR/bleeding-control initiative and highlights sustainability planning.</x:v>
      </x:c>
      <x:c r="G8" s="32" t="str">
        <x:v>No original effectiveness, training-target attainment or lives-saved result is reported.</x:v>
      </x:c>
      <x:c r="H8" s="32" t="str">
        <x:v>Body ¶1–3</x:v>
      </x:c>
      <x:c r="I8" s="32" t="str">
        <x:v>The commentary describes the author's interpretation of another implementation report and its use of EPIS.</x:v>
      </x:c>
      <x:c r="J8" s="32" t="str">
        <x:v>It cannot establish training effectiveness, lives saved, fidelity, sustainability or national generalizability.</x:v>
      </x:c>
      <x:c r="K8" s="32" t="str">
        <x:v>Opinion about a Pakistan initiative; no original data; different institutions, curriculum and health-system context.</x:v>
      </x:c>
      <x:c r="L8" s="32" t="str">
        <x:v>PMC article type is article-commentary; the queue's generic Journal Article label must not imply an empirical study.</x:v>
      </x:c>
    </x:row>
    <x:row r="9" ht="15" hidden="0" customHeight="1">
      <x:c r="A9" s="32" t="str">
        <x:v>EV-0503</x:v>
      </x:c>
      <x:c r="B9" s="32" t="str">
        <x:v>38322801</x:v>
      </x:c>
      <x:c r="C9" s="32" t="str">
        <x:v>Barriers and enablers to implementing police mental health co-responder programs: A qualitative study using the consolidated framework for implementation research</x:v>
      </x:c>
      <x:c r="D9" s="32" t="str">
        <x:v>6 clinicians, 2 clinician managers, 15 police officers and 7 station officers in charge</x:v>
      </x:c>
      <x:c r="E9" s="32" t="str">
        <x:v>qualitative service evaluation using post hoc CFIR analysis</x:v>
      </x:c>
      <x:c r="F9" s="32" t="str">
        <x:v>Data sharing, leadership, complementary skills and learning culture enabled implementation; staffing, governance, legislation and interagency differences constrained it.</x:v>
      </x:c>
      <x:c r="G9" s="32" t="str">
        <x:v>Participants perceived the program favorably; no cost-benefit, consumer outcome or causal effectiveness evaluation was conducted.</x:v>
      </x:c>
      <x:c r="H9" s="32" t="str">
        <x:v>Method—Design ¶1; Participants ¶1; Interviews ¶1–2; Analysis ¶1; Results—Participants ¶1–2 and Overall Findings ¶1–4; Strengths and Limitations ¶1–2</x:v>
      </x:c>
      <x:c r="I9" s="32" t="str">
        <x:v>Participating Queensland police and mental-health staff identified contextual barriers and enablers to this co-responder model.</x:v>
      </x:c>
      <x:c r="J9" s="32" t="str">
        <x:v>The study does not prove clinical effectiveness, cost-effectiveness, reduced detention or transport, or success in other jurisdictions.</x:v>
      </x:c>
      <x:c r="K9" s="32" t="str">
        <x:v>Queensland legal/data-sharing context, post hoc evaluation and uncertain police participation denominator differ from Brazil.</x:v>
      </x:c>
      <x:c r="L9" s="32" t="str">
        <x:v>Perceived better outcomes were not treated as measured consumer outcomes or cost-effectiveness.</x:v>
      </x:c>
    </x:row>
    <x:row r="10" ht="15" hidden="0" customHeight="1">
      <x:c r="A10" s="32" t="str">
        <x:v>EV-0447</x:v>
      </x:c>
      <x:c r="B10" s="32" t="str">
        <x:v>39028235</x:v>
      </x:c>
      <x:c r="C10" s="32" t="str">
        <x:v>Harm Reduction in the Field: First Responders’ Perceptions of Opioid Overdose Interventions</x:v>
      </x:c>
      <x:c r="D10" s="32" t="str">
        <x:v>32 first responders, mobile medical clinicians and EMS leaders</x:v>
      </x:c>
      <x:c r="E10" s="32" t="str">
        <x:v>community-engaged qualitative interview study</x:v>
      </x:c>
      <x:c r="F10" s="32" t="str">
        <x:v>Participants perceived leave-behind naloxone as most compatible; field buprenorphine raised workflow concerns; HIV/HCV testing was often considered unsuitable for rapid response.</x:v>
      </x:c>
      <x:c r="G10" s="32" t="str">
        <x:v>The study identifies perceived facilitators and barriers; it does not evaluate patient health impact.</x:v>
      </x:c>
      <x:c r="H10" s="32" t="str">
        <x:v>Methods—Study Design ¶1; Reflexivity ¶1; Recruitment ¶1; Data Collection ¶1; Thematic Analysis ¶1–2; Results—Participant Demographics ¶1 and Qualitative Results; Limitations ¶1</x:v>
      </x:c>
      <x:c r="I10" s="32" t="str">
        <x:v>Interviewed first responders and leaders identified local implementation barriers and facilitators for three overdose interventions.</x:v>
      </x:c>
      <x:c r="J10" s="32" t="str">
        <x:v>The study does not demonstrate intervention efficacy, safety, cost-effectiveness, adoption rates or patient outcomes.</x:v>
      </x:c>
      <x:c r="K10" s="32" t="str">
        <x:v>Single US county, convenience/snowball sample, limited racial/ethnic diversity and opioid-policy context unlike Brazil.</x:v>
      </x:c>
      <x:c r="L10" s="32" t="str">
        <x:v>Participant endorsement was retained as perception and not upgraded to effectiveness evidence.</x:v>
      </x:c>
    </x:row>
    <x:row r="11" ht="15" hidden="0" customHeight="1">
      <x:c r="A11" s="32" t="str">
        <x:v>EV-0425</x:v>
      </x:c>
      <x:c r="B11" s="32" t="str">
        <x:v>39205432</x:v>
      </x:c>
      <x:c r="C11" s="32" t="str">
        <x:v>“You might be nice, but where you take me, they’re not gonna be”: Preferences for field-based post-overdose interventions</x:v>
      </x:c>
      <x:c r="D11" s="32" t="str">
        <x:v>13 adults with opioid-use experience and a recent EMS encounter</x:v>
      </x:c>
      <x:c r="E11" s="32" t="str">
        <x:v>community-engaged qualitative interview study</x:v>
      </x:c>
      <x:c r="F11" s="32" t="str">
        <x:v>Participants generally favored leave-behind naloxone and field buprenorphine, were less interested in field HIV/HCV testing, and emphasized compassionate care and reduced police visibility.</x:v>
      </x:c>
      <x:c r="G11" s="32" t="str">
        <x:v>Findings describe preferences and experiences, not clinical or implementation effectiveness.</x:v>
      </x:c>
      <x:c r="H11" s="32" t="str">
        <x:v>Methods—Community-engaged approach ¶1; Recruitment ¶1; Data Collection ¶1; Analysis ¶1; Results ¶1–3 and thematic sections; Limitations ¶1</x:v>
      </x:c>
      <x:c r="I11" s="32" t="str">
        <x:v>These 13 participants described preferences and concerns about post-overdose interventions in their local EMS context.</x:v>
      </x:c>
      <x:c r="J11" s="32" t="str">
        <x:v>The study does not establish population-wide acceptability, intervention effectiveness, safety, treatment uptake or causal outcomes.</x:v>
      </x:c>
      <x:c r="K11" s="32" t="str">
        <x:v>Small convenience sample from service-connected Seattle locations; highly regional overdose and policing context.</x:v>
      </x:c>
      <x:c r="L11" s="32" t="str">
        <x:v>Preferences were not converted into evidence that the interventions improve health or implementation outcomes.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E5AA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630000114440918" hidden="0" customWidth="1"/>
    <x:col min="2" max="2" width="16.6299991607666" hidden="0" customWidth="1"/>
    <x:col min="3" max="3" width="42" hidden="0" customWidth="1"/>
    <x:col min="4" max="4" width="42" hidden="0" customWidth="1"/>
    <x:col min="5" max="5" width="42" hidden="0" customWidth="1"/>
    <x:col min="6" max="6" width="15.380000114440918" hidden="0" customWidth="1"/>
  </x:cols>
  <x:sheetData>
    <x:row r="1" ht="15" hidden="0" customHeight="1">
      <x:c r="A1" s="30" t="str">
        <x:v>Evidence ID</x:v>
      </x:c>
      <x:c r="B1" s="30" t="str">
        <x:v>Instrumento</x:v>
      </x:c>
      <x:c r="C1" s="30" t="str">
        <x:v>Domínio</x:v>
      </x:c>
      <x:c r="D1" s="30" t="str">
        <x:v>Julgamento IA provisório</x:v>
      </x:c>
      <x:c r="E1" s="30" t="str">
        <x:v>Base no texto</x:v>
      </x:c>
      <x:c r="F1" s="30" t="str">
        <x:v>Confirmação humana</x:v>
      </x:c>
    </x:row>
    <x:row r="2" ht="15" hidden="0" customHeight="1">
      <x:c r="A2" s="32" t="str">
        <x:v>EV-0668</x:v>
      </x:c>
      <x:c r="B2" s="32" t="str">
        <x:v>SANRA</x:v>
      </x:c>
      <x:c r="C2" s="32" t="str">
        <x:v>importance justified</x:v>
      </x:c>
      <x:c r="D2" s="32" t="str">
        <x:v>2</x:v>
      </x:c>
      <x:c r="E2" s="32" t="str">
        <x:v>The STEADY Program ¶1–2; Key Components ¶1–8; What Does STEADY Add? ¶10; Next Steps and Implications for Practice ¶1–2</x:v>
      </x:c>
      <x:c r="F2" s="32" t="str"/>
    </x:row>
    <x:row r="3" ht="15" hidden="0" customHeight="1">
      <x:c r="A3" s="32" t="str">
        <x:v>EV-0668</x:v>
      </x:c>
      <x:c r="B3" s="32" t="str">
        <x:v>SANRA</x:v>
      </x:c>
      <x:c r="C3" s="32" t="str">
        <x:v>aims stated</x:v>
      </x:c>
      <x:c r="D3" s="32" t="str">
        <x:v>2</x:v>
      </x:c>
      <x:c r="E3" s="32" t="str">
        <x:v>The STEADY Program ¶1–2; Key Components ¶1–8; What Does STEADY Add? ¶10; Next Steps and Implications for Practice ¶1–2</x:v>
      </x:c>
      <x:c r="F3" s="32" t="str"/>
    </x:row>
    <x:row r="4" ht="15" hidden="0" customHeight="1">
      <x:c r="A4" s="32" t="str">
        <x:v>EV-0668</x:v>
      </x:c>
      <x:c r="B4" s="32" t="str">
        <x:v>SANRA</x:v>
      </x:c>
      <x:c r="C4" s="32" t="str">
        <x:v>literature search described</x:v>
      </x:c>
      <x:c r="D4" s="32" t="str">
        <x:v>0</x:v>
      </x:c>
      <x:c r="E4" s="32" t="str">
        <x:v>The STEADY Program ¶1–2; Key Components ¶1–8; What Does STEADY Add? ¶10; Next Steps and Implications for Practice ¶1–2</x:v>
      </x:c>
      <x:c r="F4" s="32" t="str"/>
    </x:row>
    <x:row r="5" ht="15" hidden="0" customHeight="1">
      <x:c r="A5" s="32" t="str">
        <x:v>EV-0668</x:v>
      </x:c>
      <x:c r="B5" s="32" t="str">
        <x:v>SANRA</x:v>
      </x:c>
      <x:c r="C5" s="32" t="str">
        <x:v>referencing</x:v>
      </x:c>
      <x:c r="D5" s="32" t="str">
        <x:v>2</x:v>
      </x:c>
      <x:c r="E5" s="32" t="str">
        <x:v>The STEADY Program ¶1–2; Key Components ¶1–8; What Does STEADY Add? ¶10; Next Steps and Implications for Practice ¶1–2</x:v>
      </x:c>
      <x:c r="F5" s="32" t="str"/>
    </x:row>
    <x:row r="6" ht="15" hidden="0" customHeight="1">
      <x:c r="A6" s="32" t="str">
        <x:v>EV-0668</x:v>
      </x:c>
      <x:c r="B6" s="32" t="str">
        <x:v>SANRA</x:v>
      </x:c>
      <x:c r="C6" s="32" t="str">
        <x:v>scientific reasoning</x:v>
      </x:c>
      <x:c r="D6" s="32" t="str">
        <x:v>1</x:v>
      </x:c>
      <x:c r="E6" s="32" t="str">
        <x:v>The STEADY Program ¶1–2; Key Components ¶1–8; What Does STEADY Add? ¶10; Next Steps and Implications for Practice ¶1–2</x:v>
      </x:c>
      <x:c r="F6" s="32" t="str"/>
    </x:row>
    <x:row r="7" ht="15" hidden="0" customHeight="1">
      <x:c r="A7" s="32" t="str">
        <x:v>EV-0668</x:v>
      </x:c>
      <x:c r="B7" s="32" t="str">
        <x:v>SANRA</x:v>
      </x:c>
      <x:c r="C7" s="32" t="str">
        <x:v>endpoint data</x:v>
      </x:c>
      <x:c r="D7" s="32" t="str">
        <x:v>1</x:v>
      </x:c>
      <x:c r="E7" s="32" t="str">
        <x:v>The STEADY Program ¶1–2; Key Components ¶1–8; What Does STEADY Add? ¶10; Next Steps and Implications for Practice ¶1–2</x:v>
      </x:c>
      <x:c r="F7" s="32" t="str"/>
    </x:row>
    <x:row r="8" ht="15" hidden="0" customHeight="1">
      <x:c r="A8" s="32" t="str">
        <x:v>EV-0753</x:v>
      </x:c>
      <x:c r="B8" s="32" t="str">
        <x:v>JBI Qualitative Research</x:v>
      </x:c>
      <x:c r="C8" s="32" t="str">
        <x:v>methodology/philosophical perspective congruity</x:v>
      </x:c>
      <x:c r="D8" s="32" t="str">
        <x:v>UNCLEAR</x:v>
      </x:c>
      <x:c r="E8" s="32" t="str">
        <x:v>Materials and methods—Study sample ¶1–2; Analytic approach ¶2–3; Results ¶1; Implementation sections; Evidence strength and quality ¶1–4; Limitations ¶1–2</x:v>
      </x:c>
      <x:c r="F8" s="32" t="str"/>
    </x:row>
    <x:row r="9" ht="15" hidden="0" customHeight="1">
      <x:c r="A9" s="32" t="str">
        <x:v>EV-0753</x:v>
      </x:c>
      <x:c r="B9" s="32" t="str">
        <x:v>JBI Qualitative Research</x:v>
      </x:c>
      <x:c r="C9" s="32" t="str">
        <x:v>methodology/research question congruity</x:v>
      </x:c>
      <x:c r="D9" s="32" t="str">
        <x:v>YES</x:v>
      </x:c>
      <x:c r="E9" s="32" t="str">
        <x:v>Materials and methods—Study sample ¶1–2; Analytic approach ¶2–3; Results ¶1; Implementation sections; Evidence strength and quality ¶1–4; Limitations ¶1–2</x:v>
      </x:c>
      <x:c r="F9" s="32" t="str"/>
    </x:row>
    <x:row r="10" ht="15" hidden="0" customHeight="1">
      <x:c r="A10" s="32" t="str">
        <x:v>EV-0753</x:v>
      </x:c>
      <x:c r="B10" s="32" t="str">
        <x:v>JBI Qualitative Research</x:v>
      </x:c>
      <x:c r="C10" s="32" t="str">
        <x:v>methodology/data collection congruity</x:v>
      </x:c>
      <x:c r="D10" s="32" t="str">
        <x:v>YES</x:v>
      </x:c>
      <x:c r="E10" s="32" t="str">
        <x:v>Materials and methods—Study sample ¶1–2; Analytic approach ¶2–3; Results ¶1; Implementation sections; Evidence strength and quality ¶1–4; Limitations ¶1–2</x:v>
      </x:c>
      <x:c r="F10" s="32" t="str"/>
    </x:row>
    <x:row r="11" ht="15" hidden="0" customHeight="1">
      <x:c r="A11" s="32" t="str">
        <x:v>EV-0753</x:v>
      </x:c>
      <x:c r="B11" s="32" t="str">
        <x:v>JBI Qualitative Research</x:v>
      </x:c>
      <x:c r="C11" s="32" t="str">
        <x:v>methodology/data representation/analysis congruity</x:v>
      </x:c>
      <x:c r="D11" s="32" t="str">
        <x:v>YES</x:v>
      </x:c>
      <x:c r="E11" s="32" t="str">
        <x:v>Materials and methods—Study sample ¶1–2; Analytic approach ¶2–3; Results ¶1; Implementation sections; Evidence strength and quality ¶1–4; Limitations ¶1–2</x:v>
      </x:c>
      <x:c r="F11" s="32" t="str"/>
    </x:row>
    <x:row r="12" ht="15" hidden="0" customHeight="1">
      <x:c r="A12" s="32" t="str">
        <x:v>EV-0753</x:v>
      </x:c>
      <x:c r="B12" s="32" t="str">
        <x:v>JBI Qualitative Research</x:v>
      </x:c>
      <x:c r="C12" s="32" t="str">
        <x:v>methodology/interpretation congruity</x:v>
      </x:c>
      <x:c r="D12" s="32" t="str">
        <x:v>YES</x:v>
      </x:c>
      <x:c r="E12" s="32" t="str">
        <x:v>Materials and methods—Study sample ¶1–2; Analytic approach ¶2–3; Results ¶1; Implementation sections; Evidence strength and quality ¶1–4; Limitations ¶1–2</x:v>
      </x:c>
      <x:c r="F12" s="32" t="str"/>
    </x:row>
    <x:row r="13" ht="15" hidden="0" customHeight="1">
      <x:c r="A13" s="32" t="str">
        <x:v>EV-0753</x:v>
      </x:c>
      <x:c r="B13" s="32" t="str">
        <x:v>JBI Qualitative Research</x:v>
      </x:c>
      <x:c r="C13" s="32" t="str">
        <x:v>researcher culturally/theoretically located</x:v>
      </x:c>
      <x:c r="D13" s="32" t="str">
        <x:v>UNCLEAR</x:v>
      </x:c>
      <x:c r="E13" s="32" t="str">
        <x:v>Materials and methods—Study sample ¶1–2; Analytic approach ¶2–3; Results ¶1; Implementation sections; Evidence strength and quality ¶1–4; Limitations ¶1–2</x:v>
      </x:c>
      <x:c r="F13" s="32" t="str"/>
    </x:row>
    <x:row r="14" ht="15" hidden="0" customHeight="1">
      <x:c r="A14" s="32" t="str">
        <x:v>EV-0753</x:v>
      </x:c>
      <x:c r="B14" s="32" t="str">
        <x:v>JBI Qualitative Research</x:v>
      </x:c>
      <x:c r="C14" s="32" t="str">
        <x:v>researcher influence addressed</x:v>
      </x:c>
      <x:c r="D14" s="32" t="str">
        <x:v>UNCLEAR</x:v>
      </x:c>
      <x:c r="E14" s="32" t="str">
        <x:v>Materials and methods—Study sample ¶1–2; Analytic approach ¶2–3; Results ¶1; Implementation sections; Evidence strength and quality ¶1–4; Limitations ¶1–2</x:v>
      </x:c>
      <x:c r="F14" s="32" t="str"/>
    </x:row>
    <x:row r="15" ht="15" hidden="0" customHeight="1">
      <x:c r="A15" s="32" t="str">
        <x:v>EV-0753</x:v>
      </x:c>
      <x:c r="B15" s="32" t="str">
        <x:v>JBI Qualitative Research</x:v>
      </x:c>
      <x:c r="C15" s="32" t="str">
        <x:v>participants and voices represented</x:v>
      </x:c>
      <x:c r="D15" s="32" t="str">
        <x:v>YES</x:v>
      </x:c>
      <x:c r="E15" s="32" t="str">
        <x:v>Materials and methods—Study sample ¶1–2; Analytic approach ¶2–3; Results ¶1; Implementation sections; Evidence strength and quality ¶1–4; Limitations ¶1–2</x:v>
      </x:c>
      <x:c r="F15" s="32" t="str"/>
    </x:row>
    <x:row r="16" ht="15" hidden="0" customHeight="1">
      <x:c r="A16" s="32" t="str">
        <x:v>EV-0753</x:v>
      </x:c>
      <x:c r="B16" s="32" t="str">
        <x:v>JBI Qualitative Research</x:v>
      </x:c>
      <x:c r="C16" s="32" t="str">
        <x:v>ethics approval</x:v>
      </x:c>
      <x:c r="D16" s="32" t="str">
        <x:v>YES</x:v>
      </x:c>
      <x:c r="E16" s="32" t="str">
        <x:v>Materials and methods—Study sample ¶1–2; Analytic approach ¶2–3; Results ¶1; Implementation sections; Evidence strength and quality ¶1–4; Limitations ¶1–2</x:v>
      </x:c>
      <x:c r="F16" s="32" t="str"/>
    </x:row>
    <x:row r="17" ht="15" hidden="0" customHeight="1">
      <x:c r="A17" s="32" t="str">
        <x:v>EV-0753</x:v>
      </x:c>
      <x:c r="B17" s="32" t="str">
        <x:v>JBI Qualitative Research</x:v>
      </x:c>
      <x:c r="C17" s="32" t="str">
        <x:v>conclusions flow from analysis</x:v>
      </x:c>
      <x:c r="D17" s="32" t="str">
        <x:v>YES</x:v>
      </x:c>
      <x:c r="E17" s="32" t="str">
        <x:v>Materials and methods—Study sample ¶1–2; Analytic approach ¶2–3; Results ¶1; Implementation sections; Evidence strength and quality ¶1–4; Limitations ¶1–2</x:v>
      </x:c>
      <x:c r="F17" s="32" t="str"/>
    </x:row>
    <x:row r="18" ht="15" hidden="0" customHeight="1">
      <x:c r="A18" s="32" t="str">
        <x:v>EV-0727</x:v>
      </x:c>
      <x:c r="B18" s="32" t="str">
        <x:v>JBI Qualitative Research</x:v>
      </x:c>
      <x:c r="C18" s="32" t="str">
        <x:v>methodology/philosophical perspective congruity</x:v>
      </x:c>
      <x:c r="D18" s="32" t="str">
        <x:v>UNCLEAR</x:v>
      </x:c>
      <x:c r="E18" s="32" t="str">
        <x:v>Methods—Selection of Participants ¶1; Data Collection ¶1; Data Analysis ¶1; Results—Participant Characteristics ¶1; Themes ¶1; Discussion—Limitations ¶1; Conclusions ¶1</x:v>
      </x:c>
      <x:c r="F18" s="32" t="str"/>
    </x:row>
    <x:row r="19" ht="15" hidden="0" customHeight="1">
      <x:c r="A19" s="32" t="str">
        <x:v>EV-0727</x:v>
      </x:c>
      <x:c r="B19" s="32" t="str">
        <x:v>JBI Qualitative Research</x:v>
      </x:c>
      <x:c r="C19" s="32" t="str">
        <x:v>methodology/research question congruity</x:v>
      </x:c>
      <x:c r="D19" s="32" t="str">
        <x:v>YES</x:v>
      </x:c>
      <x:c r="E19" s="32" t="str">
        <x:v>Methods—Selection of Participants ¶1; Data Collection ¶1; Data Analysis ¶1; Results—Participant Characteristics ¶1; Themes ¶1; Discussion—Limitations ¶1; Conclusions ¶1</x:v>
      </x:c>
      <x:c r="F19" s="32" t="str"/>
    </x:row>
    <x:row r="20" ht="15" hidden="0" customHeight="1">
      <x:c r="A20" s="32" t="str">
        <x:v>EV-0727</x:v>
      </x:c>
      <x:c r="B20" s="32" t="str">
        <x:v>JBI Qualitative Research</x:v>
      </x:c>
      <x:c r="C20" s="32" t="str">
        <x:v>methodology/data collection congruity</x:v>
      </x:c>
      <x:c r="D20" s="32" t="str">
        <x:v>YES</x:v>
      </x:c>
      <x:c r="E20" s="32" t="str">
        <x:v>Methods—Selection of Participants ¶1; Data Collection ¶1; Data Analysis ¶1; Results—Participant Characteristics ¶1; Themes ¶1; Discussion—Limitations ¶1; Conclusions ¶1</x:v>
      </x:c>
      <x:c r="F20" s="32" t="str"/>
    </x:row>
    <x:row r="21" ht="15" hidden="0" customHeight="1">
      <x:c r="A21" s="32" t="str">
        <x:v>EV-0727</x:v>
      </x:c>
      <x:c r="B21" s="32" t="str">
        <x:v>JBI Qualitative Research</x:v>
      </x:c>
      <x:c r="C21" s="32" t="str">
        <x:v>methodology/data representation/analysis congruity</x:v>
      </x:c>
      <x:c r="D21" s="32" t="str">
        <x:v>YES</x:v>
      </x:c>
      <x:c r="E21" s="32" t="str">
        <x:v>Methods—Selection of Participants ¶1; Data Collection ¶1; Data Analysis ¶1; Results—Participant Characteristics ¶1; Themes ¶1; Discussion—Limitations ¶1; Conclusions ¶1</x:v>
      </x:c>
      <x:c r="F21" s="32" t="str"/>
    </x:row>
    <x:row r="22" ht="15" hidden="0" customHeight="1">
      <x:c r="A22" s="32" t="str">
        <x:v>EV-0727</x:v>
      </x:c>
      <x:c r="B22" s="32" t="str">
        <x:v>JBI Qualitative Research</x:v>
      </x:c>
      <x:c r="C22" s="32" t="str">
        <x:v>methodology/interpretation congruity</x:v>
      </x:c>
      <x:c r="D22" s="32" t="str">
        <x:v>YES</x:v>
      </x:c>
      <x:c r="E22" s="32" t="str">
        <x:v>Methods—Selection of Participants ¶1; Data Collection ¶1; Data Analysis ¶1; Results—Participant Characteristics ¶1; Themes ¶1; Discussion—Limitations ¶1; Conclusions ¶1</x:v>
      </x:c>
      <x:c r="F22" s="32" t="str"/>
    </x:row>
    <x:row r="23" ht="15" hidden="0" customHeight="1">
      <x:c r="A23" s="32" t="str">
        <x:v>EV-0727</x:v>
      </x:c>
      <x:c r="B23" s="32" t="str">
        <x:v>JBI Qualitative Research</x:v>
      </x:c>
      <x:c r="C23" s="32" t="str">
        <x:v>researcher culturally/theoretically located</x:v>
      </x:c>
      <x:c r="D23" s="32" t="str">
        <x:v>UNCLEAR</x:v>
      </x:c>
      <x:c r="E23" s="32" t="str">
        <x:v>Methods—Selection of Participants ¶1; Data Collection ¶1; Data Analysis ¶1; Results—Participant Characteristics ¶1; Themes ¶1; Discussion—Limitations ¶1; Conclusions ¶1</x:v>
      </x:c>
      <x:c r="F23" s="32" t="str"/>
    </x:row>
    <x:row r="24" ht="15" hidden="0" customHeight="1">
      <x:c r="A24" s="32" t="str">
        <x:v>EV-0727</x:v>
      </x:c>
      <x:c r="B24" s="32" t="str">
        <x:v>JBI Qualitative Research</x:v>
      </x:c>
      <x:c r="C24" s="32" t="str">
        <x:v>researcher influence addressed</x:v>
      </x:c>
      <x:c r="D24" s="32" t="str">
        <x:v>UNCLEAR</x:v>
      </x:c>
      <x:c r="E24" s="32" t="str">
        <x:v>Methods—Selection of Participants ¶1; Data Collection ¶1; Data Analysis ¶1; Results—Participant Characteristics ¶1; Themes ¶1; Discussion—Limitations ¶1; Conclusions ¶1</x:v>
      </x:c>
      <x:c r="F24" s="32" t="str"/>
    </x:row>
    <x:row r="25" ht="15" hidden="0" customHeight="1">
      <x:c r="A25" s="32" t="str">
        <x:v>EV-0727</x:v>
      </x:c>
      <x:c r="B25" s="32" t="str">
        <x:v>JBI Qualitative Research</x:v>
      </x:c>
      <x:c r="C25" s="32" t="str">
        <x:v>participants and voices represented</x:v>
      </x:c>
      <x:c r="D25" s="32" t="str">
        <x:v>YES</x:v>
      </x:c>
      <x:c r="E25" s="32" t="str">
        <x:v>Methods—Selection of Participants ¶1; Data Collection ¶1; Data Analysis ¶1; Results—Participant Characteristics ¶1; Themes ¶1; Discussion—Limitations ¶1; Conclusions ¶1</x:v>
      </x:c>
      <x:c r="F25" s="32" t="str"/>
    </x:row>
    <x:row r="26" ht="15" hidden="0" customHeight="1">
      <x:c r="A26" s="32" t="str">
        <x:v>EV-0727</x:v>
      </x:c>
      <x:c r="B26" s="32" t="str">
        <x:v>JBI Qualitative Research</x:v>
      </x:c>
      <x:c r="C26" s="32" t="str">
        <x:v>ethics approval</x:v>
      </x:c>
      <x:c r="D26" s="32" t="str">
        <x:v>YES</x:v>
      </x:c>
      <x:c r="E26" s="32" t="str">
        <x:v>Methods—Selection of Participants ¶1; Data Collection ¶1; Data Analysis ¶1; Results—Participant Characteristics ¶1; Themes ¶1; Discussion—Limitations ¶1; Conclusions ¶1</x:v>
      </x:c>
      <x:c r="F26" s="32" t="str"/>
    </x:row>
    <x:row r="27" ht="15" hidden="0" customHeight="1">
      <x:c r="A27" s="32" t="str">
        <x:v>EV-0727</x:v>
      </x:c>
      <x:c r="B27" s="32" t="str">
        <x:v>JBI Qualitative Research</x:v>
      </x:c>
      <x:c r="C27" s="32" t="str">
        <x:v>conclusions flow from analysis</x:v>
      </x:c>
      <x:c r="D27" s="32" t="str">
        <x:v>YES</x:v>
      </x:c>
      <x:c r="E27" s="32" t="str">
        <x:v>Methods—Selection of Participants ¶1; Data Collection ¶1; Data Analysis ¶1; Results—Participant Characteristics ¶1; Themes ¶1; Discussion—Limitations ¶1; Conclusions ¶1</x:v>
      </x:c>
      <x:c r="F27" s="32" t="str"/>
    </x:row>
    <x:row r="28" ht="15" hidden="0" customHeight="1">
      <x:c r="A28" s="32" t="str">
        <x:v>EV-0503</x:v>
      </x:c>
      <x:c r="B28" s="32" t="str">
        <x:v>JBI Qualitative Research</x:v>
      </x:c>
      <x:c r="C28" s="32" t="str">
        <x:v>methodology/philosophical perspective congruity</x:v>
      </x:c>
      <x:c r="D28" s="32" t="str">
        <x:v>UNCLEAR</x:v>
      </x:c>
      <x:c r="E28" s="32" t="str">
        <x:v>Method—Design ¶1; Participants ¶1; Interviews ¶1–2; Analysis ¶1; Results—Participants ¶1–2 and Overall Findings ¶1–4; Strengths and Limitations ¶1–2</x:v>
      </x:c>
      <x:c r="F28" s="32" t="str"/>
    </x:row>
    <x:row r="29" ht="15" hidden="0" customHeight="1">
      <x:c r="A29" s="32" t="str">
        <x:v>EV-0503</x:v>
      </x:c>
      <x:c r="B29" s="32" t="str">
        <x:v>JBI Qualitative Research</x:v>
      </x:c>
      <x:c r="C29" s="32" t="str">
        <x:v>methodology/research question congruity</x:v>
      </x:c>
      <x:c r="D29" s="32" t="str">
        <x:v>YES</x:v>
      </x:c>
      <x:c r="E29" s="32" t="str">
        <x:v>Method—Design ¶1; Participants ¶1; Interviews ¶1–2; Analysis ¶1; Results—Participants ¶1–2 and Overall Findings ¶1–4; Strengths and Limitations ¶1–2</x:v>
      </x:c>
      <x:c r="F29" s="32" t="str"/>
    </x:row>
    <x:row r="30" ht="15" hidden="0" customHeight="1">
      <x:c r="A30" s="32" t="str">
        <x:v>EV-0503</x:v>
      </x:c>
      <x:c r="B30" s="32" t="str">
        <x:v>JBI Qualitative Research</x:v>
      </x:c>
      <x:c r="C30" s="32" t="str">
        <x:v>methodology/data collection congruity</x:v>
      </x:c>
      <x:c r="D30" s="32" t="str">
        <x:v>YES</x:v>
      </x:c>
      <x:c r="E30" s="32" t="str">
        <x:v>Method—Design ¶1; Participants ¶1; Interviews ¶1–2; Analysis ¶1; Results—Participants ¶1–2 and Overall Findings ¶1–4; Strengths and Limitations ¶1–2</x:v>
      </x:c>
      <x:c r="F30" s="32" t="str"/>
    </x:row>
    <x:row r="31" ht="15" hidden="0" customHeight="1">
      <x:c r="A31" s="32" t="str">
        <x:v>EV-0503</x:v>
      </x:c>
      <x:c r="B31" s="32" t="str">
        <x:v>JBI Qualitative Research</x:v>
      </x:c>
      <x:c r="C31" s="32" t="str">
        <x:v>methodology/data representation/analysis congruity</x:v>
      </x:c>
      <x:c r="D31" s="32" t="str">
        <x:v>YES</x:v>
      </x:c>
      <x:c r="E31" s="32" t="str">
        <x:v>Method—Design ¶1; Participants ¶1; Interviews ¶1–2; Analysis ¶1; Results—Participants ¶1–2 and Overall Findings ¶1–4; Strengths and Limitations ¶1–2</x:v>
      </x:c>
      <x:c r="F31" s="32" t="str"/>
    </x:row>
    <x:row r="32" ht="15" hidden="0" customHeight="1">
      <x:c r="A32" s="32" t="str">
        <x:v>EV-0503</x:v>
      </x:c>
      <x:c r="B32" s="32" t="str">
        <x:v>JBI Qualitative Research</x:v>
      </x:c>
      <x:c r="C32" s="32" t="str">
        <x:v>methodology/interpretation congruity</x:v>
      </x:c>
      <x:c r="D32" s="32" t="str">
        <x:v>YES</x:v>
      </x:c>
      <x:c r="E32" s="32" t="str">
        <x:v>Method—Design ¶1; Participants ¶1; Interviews ¶1–2; Analysis ¶1; Results—Participants ¶1–2 and Overall Findings ¶1–4; Strengths and Limitations ¶1–2</x:v>
      </x:c>
      <x:c r="F32" s="32" t="str"/>
    </x:row>
    <x:row r="33" ht="15" hidden="0" customHeight="1">
      <x:c r="A33" s="32" t="str">
        <x:v>EV-0503</x:v>
      </x:c>
      <x:c r="B33" s="32" t="str">
        <x:v>JBI Qualitative Research</x:v>
      </x:c>
      <x:c r="C33" s="32" t="str">
        <x:v>researcher culturally/theoretically located</x:v>
      </x:c>
      <x:c r="D33" s="32" t="str">
        <x:v>UNCLEAR</x:v>
      </x:c>
      <x:c r="E33" s="32" t="str">
        <x:v>Method—Design ¶1; Participants ¶1; Interviews ¶1–2; Analysis ¶1; Results—Participants ¶1–2 and Overall Findings ¶1–4; Strengths and Limitations ¶1–2</x:v>
      </x:c>
      <x:c r="F33" s="32" t="str"/>
    </x:row>
    <x:row r="34" ht="15" hidden="0" customHeight="1">
      <x:c r="A34" s="32" t="str">
        <x:v>EV-0503</x:v>
      </x:c>
      <x:c r="B34" s="32" t="str">
        <x:v>JBI Qualitative Research</x:v>
      </x:c>
      <x:c r="C34" s="32" t="str">
        <x:v>researcher influence addressed</x:v>
      </x:c>
      <x:c r="D34" s="32" t="str">
        <x:v>UNCLEAR</x:v>
      </x:c>
      <x:c r="E34" s="32" t="str">
        <x:v>Method—Design ¶1; Participants ¶1; Interviews ¶1–2; Analysis ¶1; Results—Participants ¶1–2 and Overall Findings ¶1–4; Strengths and Limitations ¶1–2</x:v>
      </x:c>
      <x:c r="F34" s="32" t="str"/>
    </x:row>
    <x:row r="35" ht="15" hidden="0" customHeight="1">
      <x:c r="A35" s="32" t="str">
        <x:v>EV-0503</x:v>
      </x:c>
      <x:c r="B35" s="32" t="str">
        <x:v>JBI Qualitative Research</x:v>
      </x:c>
      <x:c r="C35" s="32" t="str">
        <x:v>participants and voices represented</x:v>
      </x:c>
      <x:c r="D35" s="32" t="str">
        <x:v>YES</x:v>
      </x:c>
      <x:c r="E35" s="32" t="str">
        <x:v>Method—Design ¶1; Participants ¶1; Interviews ¶1–2; Analysis ¶1; Results—Participants ¶1–2 and Overall Findings ¶1–4; Strengths and Limitations ¶1–2</x:v>
      </x:c>
      <x:c r="F35" s="32" t="str"/>
    </x:row>
    <x:row r="36" ht="15" hidden="0" customHeight="1">
      <x:c r="A36" s="32" t="str">
        <x:v>EV-0503</x:v>
      </x:c>
      <x:c r="B36" s="32" t="str">
        <x:v>JBI Qualitative Research</x:v>
      </x:c>
      <x:c r="C36" s="32" t="str">
        <x:v>ethics approval</x:v>
      </x:c>
      <x:c r="D36" s="32" t="str">
        <x:v>YES</x:v>
      </x:c>
      <x:c r="E36" s="32" t="str">
        <x:v>Method—Design ¶1; Participants ¶1; Interviews ¶1–2; Analysis ¶1; Results—Participants ¶1–2 and Overall Findings ¶1–4; Strengths and Limitations ¶1–2</x:v>
      </x:c>
      <x:c r="F36" s="32" t="str"/>
    </x:row>
    <x:row r="37" ht="15" hidden="0" customHeight="1">
      <x:c r="A37" s="32" t="str">
        <x:v>EV-0503</x:v>
      </x:c>
      <x:c r="B37" s="32" t="str">
        <x:v>JBI Qualitative Research</x:v>
      </x:c>
      <x:c r="C37" s="32" t="str">
        <x:v>conclusions flow from analysis</x:v>
      </x:c>
      <x:c r="D37" s="32" t="str">
        <x:v>YES</x:v>
      </x:c>
      <x:c r="E37" s="32" t="str">
        <x:v>Method—Design ¶1; Participants ¶1; Interviews ¶1–2; Analysis ¶1; Results—Participants ¶1–2 and Overall Findings ¶1–4; Strengths and Limitations ¶1–2</x:v>
      </x:c>
      <x:c r="F37" s="32" t="str"/>
    </x:row>
    <x:row r="38" ht="15" hidden="0" customHeight="1">
      <x:c r="A38" s="32" t="str">
        <x:v>EV-0447</x:v>
      </x:c>
      <x:c r="B38" s="32" t="str">
        <x:v>JBI Qualitative Research</x:v>
      </x:c>
      <x:c r="C38" s="32" t="str">
        <x:v>methodology/philosophical perspective congruity</x:v>
      </x:c>
      <x:c r="D38" s="32" t="str">
        <x:v>YES</x:v>
      </x:c>
      <x:c r="E38" s="32" t="str">
        <x:v>Methods—Study Design ¶1; Reflexivity ¶1; Recruitment ¶1; Data Collection ¶1; Thematic Analysis ¶1–2; Results—Participant Demographics ¶1 and Qualitative Results; Limitations ¶1</x:v>
      </x:c>
      <x:c r="F38" s="32" t="str"/>
    </x:row>
    <x:row r="39" ht="15" hidden="0" customHeight="1">
      <x:c r="A39" s="32" t="str">
        <x:v>EV-0447</x:v>
      </x:c>
      <x:c r="B39" s="32" t="str">
        <x:v>JBI Qualitative Research</x:v>
      </x:c>
      <x:c r="C39" s="32" t="str">
        <x:v>methodology/research question congruity</x:v>
      </x:c>
      <x:c r="D39" s="32" t="str">
        <x:v>YES</x:v>
      </x:c>
      <x:c r="E39" s="32" t="str">
        <x:v>Methods—Study Design ¶1; Reflexivity ¶1; Recruitment ¶1; Data Collection ¶1; Thematic Analysis ¶1–2; Results—Participant Demographics ¶1 and Qualitative Results; Limitations ¶1</x:v>
      </x:c>
      <x:c r="F39" s="32" t="str"/>
    </x:row>
    <x:row r="40" ht="15" hidden="0" customHeight="1">
      <x:c r="A40" s="32" t="str">
        <x:v>EV-0447</x:v>
      </x:c>
      <x:c r="B40" s="32" t="str">
        <x:v>JBI Qualitative Research</x:v>
      </x:c>
      <x:c r="C40" s="32" t="str">
        <x:v>methodology/data collection congruity</x:v>
      </x:c>
      <x:c r="D40" s="32" t="str">
        <x:v>YES</x:v>
      </x:c>
      <x:c r="E40" s="32" t="str">
        <x:v>Methods—Study Design ¶1; Reflexivity ¶1; Recruitment ¶1; Data Collection ¶1; Thematic Analysis ¶1–2; Results—Participant Demographics ¶1 and Qualitative Results; Limitations ¶1</x:v>
      </x:c>
      <x:c r="F40" s="32" t="str"/>
    </x:row>
    <x:row r="41" ht="15" hidden="0" customHeight="1">
      <x:c r="A41" s="32" t="str">
        <x:v>EV-0447</x:v>
      </x:c>
      <x:c r="B41" s="32" t="str">
        <x:v>JBI Qualitative Research</x:v>
      </x:c>
      <x:c r="C41" s="32" t="str">
        <x:v>methodology/data representation/analysis congruity</x:v>
      </x:c>
      <x:c r="D41" s="32" t="str">
        <x:v>YES</x:v>
      </x:c>
      <x:c r="E41" s="32" t="str">
        <x:v>Methods—Study Design ¶1; Reflexivity ¶1; Recruitment ¶1; Data Collection ¶1; Thematic Analysis ¶1–2; Results—Participant Demographics ¶1 and Qualitative Results; Limitations ¶1</x:v>
      </x:c>
      <x:c r="F41" s="32" t="str"/>
    </x:row>
    <x:row r="42" ht="15" hidden="0" customHeight="1">
      <x:c r="A42" s="32" t="str">
        <x:v>EV-0447</x:v>
      </x:c>
      <x:c r="B42" s="32" t="str">
        <x:v>JBI Qualitative Research</x:v>
      </x:c>
      <x:c r="C42" s="32" t="str">
        <x:v>methodology/interpretation congruity</x:v>
      </x:c>
      <x:c r="D42" s="32" t="str">
        <x:v>YES</x:v>
      </x:c>
      <x:c r="E42" s="32" t="str">
        <x:v>Methods—Study Design ¶1; Reflexivity ¶1; Recruitment ¶1; Data Collection ¶1; Thematic Analysis ¶1–2; Results—Participant Demographics ¶1 and Qualitative Results; Limitations ¶1</x:v>
      </x:c>
      <x:c r="F42" s="32" t="str"/>
    </x:row>
    <x:row r="43" ht="15" hidden="0" customHeight="1">
      <x:c r="A43" s="32" t="str">
        <x:v>EV-0447</x:v>
      </x:c>
      <x:c r="B43" s="32" t="str">
        <x:v>JBI Qualitative Research</x:v>
      </x:c>
      <x:c r="C43" s="32" t="str">
        <x:v>researcher culturally/theoretically located</x:v>
      </x:c>
      <x:c r="D43" s="32" t="str">
        <x:v>YES</x:v>
      </x:c>
      <x:c r="E43" s="32" t="str">
        <x:v>Methods—Study Design ¶1; Reflexivity ¶1; Recruitment ¶1; Data Collection ¶1; Thematic Analysis ¶1–2; Results—Participant Demographics ¶1 and Qualitative Results; Limitations ¶1</x:v>
      </x:c>
      <x:c r="F43" s="32" t="str"/>
    </x:row>
    <x:row r="44" ht="15" hidden="0" customHeight="1">
      <x:c r="A44" s="32" t="str">
        <x:v>EV-0447</x:v>
      </x:c>
      <x:c r="B44" s="32" t="str">
        <x:v>JBI Qualitative Research</x:v>
      </x:c>
      <x:c r="C44" s="32" t="str">
        <x:v>researcher influence addressed</x:v>
      </x:c>
      <x:c r="D44" s="32" t="str">
        <x:v>YES</x:v>
      </x:c>
      <x:c r="E44" s="32" t="str">
        <x:v>Methods—Study Design ¶1; Reflexivity ¶1; Recruitment ¶1; Data Collection ¶1; Thematic Analysis ¶1–2; Results—Participant Demographics ¶1 and Qualitative Results; Limitations ¶1</x:v>
      </x:c>
      <x:c r="F44" s="32" t="str"/>
    </x:row>
    <x:row r="45" ht="15" hidden="0" customHeight="1">
      <x:c r="A45" s="32" t="str">
        <x:v>EV-0447</x:v>
      </x:c>
      <x:c r="B45" s="32" t="str">
        <x:v>JBI Qualitative Research</x:v>
      </x:c>
      <x:c r="C45" s="32" t="str">
        <x:v>participants and voices represented</x:v>
      </x:c>
      <x:c r="D45" s="32" t="str">
        <x:v>YES</x:v>
      </x:c>
      <x:c r="E45" s="32" t="str">
        <x:v>Methods—Study Design ¶1; Reflexivity ¶1; Recruitment ¶1; Data Collection ¶1; Thematic Analysis ¶1–2; Results—Participant Demographics ¶1 and Qualitative Results; Limitations ¶1</x:v>
      </x:c>
      <x:c r="F45" s="32" t="str"/>
    </x:row>
    <x:row r="46" ht="15" hidden="0" customHeight="1">
      <x:c r="A46" s="32" t="str">
        <x:v>EV-0447</x:v>
      </x:c>
      <x:c r="B46" s="32" t="str">
        <x:v>JBI Qualitative Research</x:v>
      </x:c>
      <x:c r="C46" s="32" t="str">
        <x:v>ethics approval</x:v>
      </x:c>
      <x:c r="D46" s="32" t="str">
        <x:v>YES</x:v>
      </x:c>
      <x:c r="E46" s="32" t="str">
        <x:v>Methods—Study Design ¶1; Reflexivity ¶1; Recruitment ¶1; Data Collection ¶1; Thematic Analysis ¶1–2; Results—Participant Demographics ¶1 and Qualitative Results; Limitations ¶1</x:v>
      </x:c>
      <x:c r="F46" s="32" t="str"/>
    </x:row>
    <x:row r="47" ht="15" hidden="0" customHeight="1">
      <x:c r="A47" s="32" t="str">
        <x:v>EV-0447</x:v>
      </x:c>
      <x:c r="B47" s="32" t="str">
        <x:v>JBI Qualitative Research</x:v>
      </x:c>
      <x:c r="C47" s="32" t="str">
        <x:v>conclusions flow from analysis</x:v>
      </x:c>
      <x:c r="D47" s="32" t="str">
        <x:v>YES</x:v>
      </x:c>
      <x:c r="E47" s="32" t="str">
        <x:v>Methods—Study Design ¶1; Reflexivity ¶1; Recruitment ¶1; Data Collection ¶1; Thematic Analysis ¶1–2; Results—Participant Demographics ¶1 and Qualitative Results; Limitations ¶1</x:v>
      </x:c>
      <x:c r="F47" s="32" t="str"/>
    </x:row>
    <x:row r="48" ht="15" hidden="0" customHeight="1">
      <x:c r="A48" s="32" t="str">
        <x:v>EV-0425</x:v>
      </x:c>
      <x:c r="B48" s="32" t="str">
        <x:v>JBI Qualitative Research</x:v>
      </x:c>
      <x:c r="C48" s="32" t="str">
        <x:v>methodology/philosophical perspective congruity</x:v>
      </x:c>
      <x:c r="D48" s="32" t="str">
        <x:v>YES</x:v>
      </x:c>
      <x:c r="E48" s="32" t="str">
        <x:v>Methods—Community-engaged approach ¶1; Recruitment ¶1; Data Collection ¶1; Analysis ¶1; Results ¶1–3 and thematic sections; Limitations ¶1</x:v>
      </x:c>
      <x:c r="F48" s="32" t="str"/>
    </x:row>
    <x:row r="49" ht="15" hidden="0" customHeight="1">
      <x:c r="A49" s="32" t="str">
        <x:v>EV-0425</x:v>
      </x:c>
      <x:c r="B49" s="32" t="str">
        <x:v>JBI Qualitative Research</x:v>
      </x:c>
      <x:c r="C49" s="32" t="str">
        <x:v>methodology/research question congruity</x:v>
      </x:c>
      <x:c r="D49" s="32" t="str">
        <x:v>YES</x:v>
      </x:c>
      <x:c r="E49" s="32" t="str">
        <x:v>Methods—Community-engaged approach ¶1; Recruitment ¶1; Data Collection ¶1; Analysis ¶1; Results ¶1–3 and thematic sections; Limitations ¶1</x:v>
      </x:c>
      <x:c r="F49" s="32" t="str"/>
    </x:row>
    <x:row r="50" ht="15" hidden="0" customHeight="1">
      <x:c r="A50" s="32" t="str">
        <x:v>EV-0425</x:v>
      </x:c>
      <x:c r="B50" s="32" t="str">
        <x:v>JBI Qualitative Research</x:v>
      </x:c>
      <x:c r="C50" s="32" t="str">
        <x:v>methodology/data collection congruity</x:v>
      </x:c>
      <x:c r="D50" s="32" t="str">
        <x:v>YES</x:v>
      </x:c>
      <x:c r="E50" s="32" t="str">
        <x:v>Methods—Community-engaged approach ¶1; Recruitment ¶1; Data Collection ¶1; Analysis ¶1; Results ¶1–3 and thematic sections; Limitations ¶1</x:v>
      </x:c>
      <x:c r="F50" s="32" t="str"/>
    </x:row>
    <x:row r="51" ht="15" hidden="0" customHeight="1">
      <x:c r="A51" s="32" t="str">
        <x:v>EV-0425</x:v>
      </x:c>
      <x:c r="B51" s="32" t="str">
        <x:v>JBI Qualitative Research</x:v>
      </x:c>
      <x:c r="C51" s="32" t="str">
        <x:v>methodology/data representation/analysis congruity</x:v>
      </x:c>
      <x:c r="D51" s="32" t="str">
        <x:v>YES</x:v>
      </x:c>
      <x:c r="E51" s="32" t="str">
        <x:v>Methods—Community-engaged approach ¶1; Recruitment ¶1; Data Collection ¶1; Analysis ¶1; Results ¶1–3 and thematic sections; Limitations ¶1</x:v>
      </x:c>
      <x:c r="F51" s="32" t="str"/>
    </x:row>
    <x:row r="52" ht="15" hidden="0" customHeight="1">
      <x:c r="A52" s="32" t="str">
        <x:v>EV-0425</x:v>
      </x:c>
      <x:c r="B52" s="32" t="str">
        <x:v>JBI Qualitative Research</x:v>
      </x:c>
      <x:c r="C52" s="32" t="str">
        <x:v>methodology/interpretation congruity</x:v>
      </x:c>
      <x:c r="D52" s="32" t="str">
        <x:v>YES</x:v>
      </x:c>
      <x:c r="E52" s="32" t="str">
        <x:v>Methods—Community-engaged approach ¶1; Recruitment ¶1; Data Collection ¶1; Analysis ¶1; Results ¶1–3 and thematic sections; Limitations ¶1</x:v>
      </x:c>
      <x:c r="F52" s="32" t="str"/>
    </x:row>
    <x:row r="53" ht="15" hidden="0" customHeight="1">
      <x:c r="A53" s="32" t="str">
        <x:v>EV-0425</x:v>
      </x:c>
      <x:c r="B53" s="32" t="str">
        <x:v>JBI Qualitative Research</x:v>
      </x:c>
      <x:c r="C53" s="32" t="str">
        <x:v>researcher culturally/theoretically located</x:v>
      </x:c>
      <x:c r="D53" s="32" t="str">
        <x:v>YES</x:v>
      </x:c>
      <x:c r="E53" s="32" t="str">
        <x:v>Methods—Community-engaged approach ¶1; Recruitment ¶1; Data Collection ¶1; Analysis ¶1; Results ¶1–3 and thematic sections; Limitations ¶1</x:v>
      </x:c>
      <x:c r="F53" s="32" t="str"/>
    </x:row>
    <x:row r="54" ht="15" hidden="0" customHeight="1">
      <x:c r="A54" s="32" t="str">
        <x:v>EV-0425</x:v>
      </x:c>
      <x:c r="B54" s="32" t="str">
        <x:v>JBI Qualitative Research</x:v>
      </x:c>
      <x:c r="C54" s="32" t="str">
        <x:v>researcher influence addressed</x:v>
      </x:c>
      <x:c r="D54" s="32" t="str">
        <x:v>YES</x:v>
      </x:c>
      <x:c r="E54" s="32" t="str">
        <x:v>Methods—Community-engaged approach ¶1; Recruitment ¶1; Data Collection ¶1; Analysis ¶1; Results ¶1–3 and thematic sections; Limitations ¶1</x:v>
      </x:c>
      <x:c r="F54" s="32" t="str"/>
    </x:row>
    <x:row r="55" ht="15" hidden="0" customHeight="1">
      <x:c r="A55" s="32" t="str">
        <x:v>EV-0425</x:v>
      </x:c>
      <x:c r="B55" s="32" t="str">
        <x:v>JBI Qualitative Research</x:v>
      </x:c>
      <x:c r="C55" s="32" t="str">
        <x:v>participants and voices represented</x:v>
      </x:c>
      <x:c r="D55" s="32" t="str">
        <x:v>YES</x:v>
      </x:c>
      <x:c r="E55" s="32" t="str">
        <x:v>Methods—Community-engaged approach ¶1; Recruitment ¶1; Data Collection ¶1; Analysis ¶1; Results ¶1–3 and thematic sections; Limitations ¶1</x:v>
      </x:c>
      <x:c r="F55" s="32" t="str"/>
    </x:row>
    <x:row r="56" ht="15" hidden="0" customHeight="1">
      <x:c r="A56" s="32" t="str">
        <x:v>EV-0425</x:v>
      </x:c>
      <x:c r="B56" s="32" t="str">
        <x:v>JBI Qualitative Research</x:v>
      </x:c>
      <x:c r="C56" s="32" t="str">
        <x:v>ethics approval</x:v>
      </x:c>
      <x:c r="D56" s="32" t="str">
        <x:v>YES</x:v>
      </x:c>
      <x:c r="E56" s="32" t="str">
        <x:v>Methods—Community-engaged approach ¶1; Recruitment ¶1; Data Collection ¶1; Analysis ¶1; Results ¶1–3 and thematic sections; Limitations ¶1</x:v>
      </x:c>
      <x:c r="F56" s="32" t="str"/>
    </x:row>
    <x:row r="57" ht="15" hidden="0" customHeight="1">
      <x:c r="A57" s="32" t="str">
        <x:v>EV-0425</x:v>
      </x:c>
      <x:c r="B57" s="32" t="str">
        <x:v>JBI Qualitative Research</x:v>
      </x:c>
      <x:c r="C57" s="32" t="str">
        <x:v>conclusions flow from analysis</x:v>
      </x:c>
      <x:c r="D57" s="32" t="str">
        <x:v>YES</x:v>
      </x:c>
      <x:c r="E57" s="32" t="str">
        <x:v>Methods—Community-engaged approach ¶1; Recruitment ¶1; Data Collection ¶1; Analysis ¶1; Results ¶1–3 and thematic sections; Limitations ¶1</x:v>
      </x:c>
      <x:c r="F57" s="32" t="str"/>
    </x:row>
    <x:row r="58" ht="15" hidden="0" customHeight="1">
      <x:c r="A58" s="32" t="str">
        <x:v>EV-0787</x:v>
      </x:c>
      <x:c r="B58" s="32" t="str">
        <x:v>MMAT 2018</x:v>
      </x:c>
      <x:c r="C58" s="32" t="str">
        <x:v>clear research questions</x:v>
      </x:c>
      <x:c r="D58" s="32" t="str">
        <x:v>YES</x:v>
      </x:c>
      <x:c r="E58" s="32" t="str">
        <x:v>Methods—Design ¶1; Participants ¶1; Analysis Plan ¶1–2; Results—Participant Characteristics ¶1; Quantitative Metrics ¶1; Study Strengths and Limitations ¶1</x:v>
      </x:c>
      <x:c r="F58" s="32" t="str"/>
    </x:row>
    <x:row r="59" ht="15" hidden="0" customHeight="1">
      <x:c r="A59" s="32" t="str">
        <x:v>EV-0787</x:v>
      </x:c>
      <x:c r="B59" s="32" t="str">
        <x:v>MMAT 2018</x:v>
      </x:c>
      <x:c r="C59" s="32" t="str">
        <x:v>data address research questions</x:v>
      </x:c>
      <x:c r="D59" s="32" t="str">
        <x:v>YES</x:v>
      </x:c>
      <x:c r="E59" s="32" t="str">
        <x:v>Methods—Design ¶1; Participants ¶1; Analysis Plan ¶1–2; Results—Participant Characteristics ¶1; Quantitative Metrics ¶1; Study Strengths and Limitations ¶1</x:v>
      </x:c>
      <x:c r="F59" s="32" t="str"/>
    </x:row>
    <x:row r="60" ht="15" hidden="0" customHeight="1">
      <x:c r="A60" s="32" t="str">
        <x:v>EV-0787</x:v>
      </x:c>
      <x:c r="B60" s="32" t="str">
        <x:v>MMAT 2018</x:v>
      </x:c>
      <x:c r="C60" s="32" t="str">
        <x:v>rationale for mixed methods</x:v>
      </x:c>
      <x:c r="D60" s="32" t="str">
        <x:v>YES</x:v>
      </x:c>
      <x:c r="E60" s="32" t="str">
        <x:v>Methods—Design ¶1; Participants ¶1; Analysis Plan ¶1–2; Results—Participant Characteristics ¶1; Quantitative Metrics ¶1; Study Strengths and Limitations ¶1</x:v>
      </x:c>
      <x:c r="F60" s="32" t="str"/>
    </x:row>
    <x:row r="61" ht="15" hidden="0" customHeight="1">
      <x:c r="A61" s="32" t="str">
        <x:v>EV-0787</x:v>
      </x:c>
      <x:c r="B61" s="32" t="str">
        <x:v>MMAT 2018</x:v>
      </x:c>
      <x:c r="C61" s="32" t="str">
        <x:v>components effectively integrated</x:v>
      </x:c>
      <x:c r="D61" s="32" t="str">
        <x:v>YES</x:v>
      </x:c>
      <x:c r="E61" s="32" t="str">
        <x:v>Methods—Design ¶1; Participants ¶1; Analysis Plan ¶1–2; Results—Participant Characteristics ¶1; Quantitative Metrics ¶1; Study Strengths and Limitations ¶1</x:v>
      </x:c>
      <x:c r="F61" s="32" t="str"/>
    </x:row>
    <x:row r="62" ht="15" hidden="0" customHeight="1">
      <x:c r="A62" s="32" t="str">
        <x:v>EV-0787</x:v>
      </x:c>
      <x:c r="B62" s="32" t="str">
        <x:v>MMAT 2018</x:v>
      </x:c>
      <x:c r="C62" s="32" t="str">
        <x:v>integrated outputs interpreted</x:v>
      </x:c>
      <x:c r="D62" s="32" t="str">
        <x:v>YES</x:v>
      </x:c>
      <x:c r="E62" s="32" t="str">
        <x:v>Methods—Design ¶1; Participants ¶1; Analysis Plan ¶1–2; Results—Participant Characteristics ¶1; Quantitative Metrics ¶1; Study Strengths and Limitations ¶1</x:v>
      </x:c>
      <x:c r="F62" s="32" t="str"/>
    </x:row>
    <x:row r="63" ht="15" hidden="0" customHeight="1">
      <x:c r="A63" s="32" t="str">
        <x:v>EV-0787</x:v>
      </x:c>
      <x:c r="B63" s="32" t="str">
        <x:v>MMAT 2018</x:v>
      </x:c>
      <x:c r="C63" s="32" t="str">
        <x:v>divergence/inconsistency addressed</x:v>
      </x:c>
      <x:c r="D63" s="32" t="str">
        <x:v>UNCLEAR</x:v>
      </x:c>
      <x:c r="E63" s="32" t="str">
        <x:v>Methods—Design ¶1; Participants ¶1; Analysis Plan ¶1–2; Results—Participant Characteristics ¶1; Quantitative Metrics ¶1; Study Strengths and Limitations ¶1</x:v>
      </x:c>
      <x:c r="F63" s="32" t="str"/>
    </x:row>
    <x:row r="64" ht="15" hidden="0" customHeight="1">
      <x:c r="A64" s="32" t="str">
        <x:v>EV-0787</x:v>
      </x:c>
      <x:c r="B64" s="32" t="str">
        <x:v>MMAT 2018</x:v>
      </x:c>
      <x:c r="C64" s="32" t="str">
        <x:v>component quality adequate</x:v>
      </x:c>
      <x:c r="D64" s="32" t="str">
        <x:v>UNCLEAR</x:v>
      </x:c>
      <x:c r="E64" s="32" t="str">
        <x:v>Methods—Design ¶1; Participants ¶1; Analysis Plan ¶1–2; Results—Participant Characteristics ¶1; Quantitative Metrics ¶1; Study Strengths and Limitations ¶1</x:v>
      </x:c>
      <x:c r="F64" s="32" t="str"/>
    </x:row>
    <x:row r="65" ht="15" hidden="0" customHeight="1">
      <x:c r="A65" s="32" t="str">
        <x:v>EV-0593</x:v>
      </x:c>
      <x:c r="B65" s="32" t="str">
        <x:v>MMAT 2018</x:v>
      </x:c>
      <x:c r="C65" s="32" t="str">
        <x:v>clear research questions</x:v>
      </x:c>
      <x:c r="D65" s="32" t="str">
        <x:v>YES</x:v>
      </x:c>
      <x:c r="E65" s="32" t="str">
        <x:v>Materials and Methods—Study Design ¶1–3; Participants ¶1; Data Collection ¶1–4; Data Analysis ¶1–2; Results—Questionnaire ¶1 and Thematic Analysis ¶1; Limitations ¶1</x:v>
      </x:c>
      <x:c r="F65" s="32" t="str"/>
    </x:row>
    <x:row r="66" ht="15" hidden="0" customHeight="1">
      <x:c r="A66" s="32" t="str">
        <x:v>EV-0593</x:v>
      </x:c>
      <x:c r="B66" s="32" t="str">
        <x:v>MMAT 2018</x:v>
      </x:c>
      <x:c r="C66" s="32" t="str">
        <x:v>data address research questions</x:v>
      </x:c>
      <x:c r="D66" s="32" t="str">
        <x:v>YES</x:v>
      </x:c>
      <x:c r="E66" s="32" t="str">
        <x:v>Materials and Methods—Study Design ¶1–3; Participants ¶1; Data Collection ¶1–4; Data Analysis ¶1–2; Results—Questionnaire ¶1 and Thematic Analysis ¶1; Limitations ¶1</x:v>
      </x:c>
      <x:c r="F66" s="32" t="str"/>
    </x:row>
    <x:row r="67" ht="15" hidden="0" customHeight="1">
      <x:c r="A67" s="32" t="str">
        <x:v>EV-0593</x:v>
      </x:c>
      <x:c r="B67" s="32" t="str">
        <x:v>MMAT 2018</x:v>
      </x:c>
      <x:c r="C67" s="32" t="str">
        <x:v>rationale for mixed methods</x:v>
      </x:c>
      <x:c r="D67" s="32" t="str">
        <x:v>YES</x:v>
      </x:c>
      <x:c r="E67" s="32" t="str">
        <x:v>Materials and Methods—Study Design ¶1–3; Participants ¶1; Data Collection ¶1–4; Data Analysis ¶1–2; Results—Questionnaire ¶1 and Thematic Analysis ¶1; Limitations ¶1</x:v>
      </x:c>
      <x:c r="F67" s="32" t="str"/>
    </x:row>
    <x:row r="68" ht="15" hidden="0" customHeight="1">
      <x:c r="A68" s="32" t="str">
        <x:v>EV-0593</x:v>
      </x:c>
      <x:c r="B68" s="32" t="str">
        <x:v>MMAT 2018</x:v>
      </x:c>
      <x:c r="C68" s="32" t="str">
        <x:v>components effectively integrated</x:v>
      </x:c>
      <x:c r="D68" s="32" t="str">
        <x:v>YES</x:v>
      </x:c>
      <x:c r="E68" s="32" t="str">
        <x:v>Materials and Methods—Study Design ¶1–3; Participants ¶1; Data Collection ¶1–4; Data Analysis ¶1–2; Results—Questionnaire ¶1 and Thematic Analysis ¶1; Limitations ¶1</x:v>
      </x:c>
      <x:c r="F68" s="32" t="str"/>
    </x:row>
    <x:row r="69" ht="15" hidden="0" customHeight="1">
      <x:c r="A69" s="32" t="str">
        <x:v>EV-0593</x:v>
      </x:c>
      <x:c r="B69" s="32" t="str">
        <x:v>MMAT 2018</x:v>
      </x:c>
      <x:c r="C69" s="32" t="str">
        <x:v>integrated outputs interpreted</x:v>
      </x:c>
      <x:c r="D69" s="32" t="str">
        <x:v>YES</x:v>
      </x:c>
      <x:c r="E69" s="32" t="str">
        <x:v>Materials and Methods—Study Design ¶1–3; Participants ¶1; Data Collection ¶1–4; Data Analysis ¶1–2; Results—Questionnaire ¶1 and Thematic Analysis ¶1; Limitations ¶1</x:v>
      </x:c>
      <x:c r="F69" s="32" t="str"/>
    </x:row>
    <x:row r="70" ht="15" hidden="0" customHeight="1">
      <x:c r="A70" s="32" t="str">
        <x:v>EV-0593</x:v>
      </x:c>
      <x:c r="B70" s="32" t="str">
        <x:v>MMAT 2018</x:v>
      </x:c>
      <x:c r="C70" s="32" t="str">
        <x:v>divergence/inconsistency addressed</x:v>
      </x:c>
      <x:c r="D70" s="32" t="str">
        <x:v>UNCLEAR</x:v>
      </x:c>
      <x:c r="E70" s="32" t="str">
        <x:v>Materials and Methods—Study Design ¶1–3; Participants ¶1; Data Collection ¶1–4; Data Analysis ¶1–2; Results—Questionnaire ¶1 and Thematic Analysis ¶1; Limitations ¶1</x:v>
      </x:c>
      <x:c r="F70" s="32" t="str"/>
    </x:row>
    <x:row r="71" ht="15" hidden="0" customHeight="1">
      <x:c r="A71" s="32" t="str">
        <x:v>EV-0593</x:v>
      </x:c>
      <x:c r="B71" s="32" t="str">
        <x:v>MMAT 2018</x:v>
      </x:c>
      <x:c r="C71" s="32" t="str">
        <x:v>component quality adequate</x:v>
      </x:c>
      <x:c r="D71" s="32" t="str">
        <x:v>UNCLEAR</x:v>
      </x:c>
      <x:c r="E71" s="32" t="str">
        <x:v>Materials and Methods—Study Design ¶1–3; Participants ¶1; Data Collection ¶1–4; Data Analysis ¶1–2; Results—Questionnaire ¶1 and Thematic Analysis ¶1; Limitations ¶1</x:v>
      </x:c>
      <x:c r="F71" s="32" t="str"/>
    </x:row>
    <x:row r="72" ht="15" hidden="0" customHeight="1">
      <x:c r="A72" s="32" t="str">
        <x:v>EV-0758</x:v>
      </x:c>
      <x:c r="B72" s="32" t="str">
        <x:v>JBI Text and Opinion</x:v>
      </x:c>
      <x:c r="C72" s="32" t="str">
        <x:v>source identified</x:v>
      </x:c>
      <x:c r="D72" s="32" t="str">
        <x:v>YES</x:v>
      </x:c>
      <x:c r="E72" s="32" t="str">
        <x:v>Enhancing the Readiness Building System with RRR Tools and Approaches ¶1–5; RRR in Practice; Next Steps for RRR ¶1–5; Conclusions ¶1–4</x:v>
      </x:c>
      <x:c r="F72" s="32" t="str"/>
    </x:row>
    <x:row r="73" ht="15" hidden="0" customHeight="1">
      <x:c r="A73" s="32" t="str">
        <x:v>EV-0758</x:v>
      </x:c>
      <x:c r="B73" s="32" t="str">
        <x:v>JBI Text and Opinion</x:v>
      </x:c>
      <x:c r="C73" s="32" t="str">
        <x:v>expertise/standing</x:v>
      </x:c>
      <x:c r="D73" s="32" t="str">
        <x:v>YES</x:v>
      </x:c>
      <x:c r="E73" s="32" t="str">
        <x:v>Enhancing the Readiness Building System with RRR Tools and Approaches ¶1–5; RRR in Practice; Next Steps for RRR ¶1–5; Conclusions ¶1–4</x:v>
      </x:c>
      <x:c r="F73" s="32" t="str"/>
    </x:row>
    <x:row r="74" ht="15" hidden="0" customHeight="1">
      <x:c r="A74" s="32" t="str">
        <x:v>EV-0758</x:v>
      </x:c>
      <x:c r="B74" s="32" t="str">
        <x:v>JBI Text and Opinion</x:v>
      </x:c>
      <x:c r="C74" s="32" t="str">
        <x:v>interests central to population</x:v>
      </x:c>
      <x:c r="D74" s="32" t="str">
        <x:v>UNCLEAR</x:v>
      </x:c>
      <x:c r="E74" s="32" t="str">
        <x:v>Enhancing the Readiness Building System with RRR Tools and Approaches ¶1–5; RRR in Practice; Next Steps for RRR ¶1–5; Conclusions ¶1–4</x:v>
      </x:c>
      <x:c r="F74" s="32" t="str"/>
    </x:row>
    <x:row r="75" ht="15" hidden="0" customHeight="1">
      <x:c r="A75" s="32" t="str">
        <x:v>EV-0758</x:v>
      </x:c>
      <x:c r="B75" s="32" t="str">
        <x:v>JBI Text and Opinion</x:v>
      </x:c>
      <x:c r="C75" s="32" t="str">
        <x:v>logical basis</x:v>
      </x:c>
      <x:c r="D75" s="32" t="str">
        <x:v>YES</x:v>
      </x:c>
      <x:c r="E75" s="32" t="str">
        <x:v>Enhancing the Readiness Building System with RRR Tools and Approaches ¶1–5; RRR in Practice; Next Steps for RRR ¶1–5; Conclusions ¶1–4</x:v>
      </x:c>
      <x:c r="F75" s="32" t="str"/>
    </x:row>
    <x:row r="76" ht="15" hidden="0" customHeight="1">
      <x:c r="A76" s="32" t="str">
        <x:v>EV-0758</x:v>
      </x:c>
      <x:c r="B76" s="32" t="str">
        <x:v>JBI Text and Opinion</x:v>
      </x:c>
      <x:c r="C76" s="32" t="str">
        <x:v>reference to extant literature</x:v>
      </x:c>
      <x:c r="D76" s="32" t="str">
        <x:v>YES</x:v>
      </x:c>
      <x:c r="E76" s="32" t="str">
        <x:v>Enhancing the Readiness Building System with RRR Tools and Approaches ¶1–5; RRR in Practice; Next Steps for RRR ¶1–5; Conclusions ¶1–4</x:v>
      </x:c>
      <x:c r="F76" s="32" t="str"/>
    </x:row>
    <x:row r="77" ht="15" hidden="0" customHeight="1">
      <x:c r="A77" s="32" t="str">
        <x:v>EV-0758</x:v>
      </x:c>
      <x:c r="B77" s="32" t="str">
        <x:v>JBI Text and Opinion</x:v>
      </x:c>
      <x:c r="C77" s="32" t="str">
        <x:v>incongruence defended</x:v>
      </x:c>
      <x:c r="D77" s="32" t="str">
        <x:v>UNCLEAR</x:v>
      </x:c>
      <x:c r="E77" s="32" t="str">
        <x:v>Enhancing the Readiness Building System with RRR Tools and Approaches ¶1–5; RRR in Practice; Next Steps for RRR ¶1–5; Conclusions ¶1–4</x:v>
      </x:c>
      <x:c r="F77" s="32" t="str"/>
    </x:row>
    <x:row r="78" ht="15" hidden="0" customHeight="1">
      <x:c r="A78" s="32" t="str">
        <x:v>EV-0523</x:v>
      </x:c>
      <x:c r="B78" s="32" t="str">
        <x:v>JBI Text and Opinion</x:v>
      </x:c>
      <x:c r="C78" s="32" t="str">
        <x:v>source identified</x:v>
      </x:c>
      <x:c r="D78" s="32" t="str">
        <x:v>YES</x:v>
      </x:c>
      <x:c r="E78" s="32" t="str">
        <x:v>Body ¶1–3</x:v>
      </x:c>
      <x:c r="F78" s="32" t="str"/>
    </x:row>
    <x:row r="79" ht="15" hidden="0" customHeight="1">
      <x:c r="A79" s="32" t="str">
        <x:v>EV-0523</x:v>
      </x:c>
      <x:c r="B79" s="32" t="str">
        <x:v>JBI Text and Opinion</x:v>
      </x:c>
      <x:c r="C79" s="32" t="str">
        <x:v>expertise/standing</x:v>
      </x:c>
      <x:c r="D79" s="32" t="str">
        <x:v>YES</x:v>
      </x:c>
      <x:c r="E79" s="32" t="str">
        <x:v>Body ¶1–3</x:v>
      </x:c>
      <x:c r="F79" s="32" t="str"/>
    </x:row>
    <x:row r="80" ht="15" hidden="0" customHeight="1">
      <x:c r="A80" s="32" t="str">
        <x:v>EV-0523</x:v>
      </x:c>
      <x:c r="B80" s="32" t="str">
        <x:v>JBI Text and Opinion</x:v>
      </x:c>
      <x:c r="C80" s="32" t="str">
        <x:v>interests central to population</x:v>
      </x:c>
      <x:c r="D80" s="32" t="str">
        <x:v>UNCLEAR</x:v>
      </x:c>
      <x:c r="E80" s="32" t="str">
        <x:v>Body ¶1–3</x:v>
      </x:c>
      <x:c r="F80" s="32" t="str"/>
    </x:row>
    <x:row r="81" ht="15" hidden="0" customHeight="1">
      <x:c r="A81" s="32" t="str">
        <x:v>EV-0523</x:v>
      </x:c>
      <x:c r="B81" s="32" t="str">
        <x:v>JBI Text and Opinion</x:v>
      </x:c>
      <x:c r="C81" s="32" t="str">
        <x:v>logical basis</x:v>
      </x:c>
      <x:c r="D81" s="32" t="str">
        <x:v>YES</x:v>
      </x:c>
      <x:c r="E81" s="32" t="str">
        <x:v>Body ¶1–3</x:v>
      </x:c>
      <x:c r="F81" s="32" t="str"/>
    </x:row>
    <x:row r="82" ht="15" hidden="0" customHeight="1">
      <x:c r="A82" s="32" t="str">
        <x:v>EV-0523</x:v>
      </x:c>
      <x:c r="B82" s="32" t="str">
        <x:v>JBI Text and Opinion</x:v>
      </x:c>
      <x:c r="C82" s="32" t="str">
        <x:v>reference to extant literature</x:v>
      </x:c>
      <x:c r="D82" s="32" t="str">
        <x:v>YES</x:v>
      </x:c>
      <x:c r="E82" s="32" t="str">
        <x:v>Body ¶1–3</x:v>
      </x:c>
      <x:c r="F82" s="32" t="str"/>
    </x:row>
    <x:row r="83" ht="15" hidden="0" customHeight="1">
      <x:c r="A83" s="32" t="str">
        <x:v>EV-0523</x:v>
      </x:c>
      <x:c r="B83" s="32" t="str">
        <x:v>JBI Text and Opinion</x:v>
      </x:c>
      <x:c r="C83" s="32" t="str">
        <x:v>incongruence defended</x:v>
      </x:c>
      <x:c r="D83" s="32" t="str">
        <x:v>NOT_APPLICABLE</x:v>
      </x:c>
      <x:c r="E83" s="32" t="str">
        <x:v>Body ¶1–3</x:v>
      </x:c>
      <x:c r="F83" s="3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E5AA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.880000114440918" hidden="0" customWidth="1"/>
    <x:col min="2" max="2" width="5.880000114440918" hidden="0" customWidth="1"/>
    <x:col min="3" max="3" width="3.75" hidden="0" customWidth="1"/>
    <x:col min="4" max="4" width="16.3799991607666" hidden="0" customWidth="1"/>
    <x:col min="5" max="5" width="12.630000114440918" hidden="0" customWidth="1"/>
    <x:col min="6" max="6" width="7.380000114440918" hidden="0" customWidth="1"/>
    <x:col min="7" max="7" width="7" hidden="0" customWidth="1"/>
    <x:col min="8" max="8" width="8.380000114440918" hidden="0" customWidth="1"/>
    <x:col min="9" max="9" width="16.75" hidden="0" customWidth="1"/>
    <x:col min="10" max="10" width="12.380000114440918" hidden="0" customWidth="1"/>
    <x:col min="11" max="11" width="9.630000114440918" hidden="0" customWidth="1"/>
    <x:col min="12" max="12" width="14.630000114440918" hidden="0" customWidth="1"/>
    <x:col min="13" max="13" width="20.8799991607666" hidden="0" customWidth="1"/>
    <x:col min="14" max="14" width="15.130000114440918" hidden="0" customWidth="1"/>
    <x:col min="15" max="15" width="12.630000114440918" hidden="0" customWidth="1"/>
    <x:col min="16" max="16" width="18.75" hidden="0" customWidth="1"/>
    <x:col min="17" max="17" width="11.75" hidden="0" customWidth="1"/>
    <x:col min="18" max="18" width="58" hidden="0" customWidth="1"/>
  </x:cols>
  <x:sheetData>
    <x:row r="1" ht="15" hidden="0" customHeight="1">
      <x:c r="A1" s="30" t="str">
        <x:v>evidence_id</x:v>
      </x:c>
      <x:c r="B1" s="30" t="str">
        <x:v>identity</x:v>
      </x:c>
      <x:c r="C1" s="30" t="str">
        <x:v>doi</x:v>
      </x:c>
      <x:c r="D1" s="30" t="str">
        <x:v>supplement_confusion</x:v>
      </x:c>
      <x:c r="E1" s="30" t="str">
        <x:v>editorial_relation</x:v>
      </x:c>
      <x:c r="F1" s="30" t="str">
        <x:v>retraction</x:v>
      </x:c>
      <x:c r="G1" s="30" t="str">
        <x:v>duplicate</x:v>
      </x:c>
      <x:c r="H1" s="30" t="str">
        <x:v>design</x:v>
      </x:c>
      <x:c r="I1" s="30" t="str">
        <x:v>appraisal_compatibility</x:v>
      </x:c>
      <x:c r="J1" s="30" t="str">
        <x:v>result_extraction</x:v>
      </x:c>
      <x:c r="K1" s="30" t="str">
        <x:v>denominator</x:v>
      </x:c>
      <x:c r="L1" s="30" t="str">
        <x:v>table_interpretation</x:v>
      </x:c>
      <x:c r="M1" s="30" t="str">
        <x:v>primary_secondary_outcome</x:v>
      </x:c>
      <x:c r="N1" s="30" t="str">
        <x:v>adjusted_unadjusted</x:v>
      </x:c>
      <x:c r="O1" s="30" t="str">
        <x:v>causal_overreach</x:v>
      </x:c>
      <x:c r="P1" s="30" t="str">
        <x:v>population_generalization</x:v>
      </x:c>
      <x:c r="Q1" s="30" t="str">
        <x:v>claim_boundary</x:v>
      </x:c>
      <x:c r="R1" s="30" t="str">
        <x:v>finding_and_correction</x:v>
      </x:c>
    </x:row>
    <x:row r="2" ht="15" hidden="0" customHeight="1">
      <x:c r="A2" s="32" t="str">
        <x:v>EV-0668</x:v>
      </x:c>
      <x:c r="B2" s="32" t="str">
        <x:v>PASS</x:v>
      </x:c>
      <x:c r="C2" s="32" t="str">
        <x:v>PASS</x:v>
      </x:c>
      <x:c r="D2" s="32" t="str">
        <x:v>PASS</x:v>
      </x:c>
      <x:c r="E2" s="32" t="str">
        <x:v>PASS</x:v>
      </x:c>
      <x:c r="F2" s="32" t="str">
        <x:v>PASS</x:v>
      </x:c>
      <x:c r="G2" s="32" t="str">
        <x:v>PASS</x:v>
      </x:c>
      <x:c r="H2" s="32" t="str">
        <x:v>ATTENTION</x:v>
      </x:c>
      <x:c r="I2" s="32" t="str">
        <x:v>PASS</x:v>
      </x:c>
      <x:c r="J2" s="32" t="str">
        <x:v>PASS</x:v>
      </x:c>
      <x:c r="K2" s="32" t="str">
        <x:v>PASS</x:v>
      </x:c>
      <x:c r="L2" s="32" t="str">
        <x:v>PASS</x:v>
      </x:c>
      <x:c r="M2" s="32" t="str">
        <x:v>PASS</x:v>
      </x:c>
      <x:c r="N2" s="32" t="str">
        <x:v>PASS</x:v>
      </x:c>
      <x:c r="O2" s="32" t="str">
        <x:v>PASS</x:v>
      </x:c>
      <x:c r="P2" s="32" t="str">
        <x:v>PASS</x:v>
      </x:c>
      <x:c r="Q2" s="32" t="str">
        <x:v>PASS</x:v>
      </x:c>
      <x:c r="R2" s="32" t="str">
        <x:v>Program description could be misread as effectiveness evidence; retained only as conceptual/implementation evidence.</x:v>
      </x:c>
    </x:row>
    <x:row r="3" ht="15" hidden="0" customHeight="1">
      <x:c r="A3" s="32" t="str">
        <x:v>EV-0787</x:v>
      </x:c>
      <x:c r="B3" s="32" t="str">
        <x:v>PASS</x:v>
      </x:c>
      <x:c r="C3" s="32" t="str">
        <x:v>PASS</x:v>
      </x:c>
      <x:c r="D3" s="32" t="str">
        <x:v>PASS</x:v>
      </x:c>
      <x:c r="E3" s="32" t="str">
        <x:v>PASS</x:v>
      </x:c>
      <x:c r="F3" s="32" t="str">
        <x:v>PASS</x:v>
      </x:c>
      <x:c r="G3" s="32" t="str">
        <x:v>PASS</x:v>
      </x:c>
      <x:c r="H3" s="32" t="str">
        <x:v>PASS</x:v>
      </x:c>
      <x:c r="I3" s="32" t="str">
        <x:v>PASS</x:v>
      </x:c>
      <x:c r="J3" s="32" t="str">
        <x:v>PASS</x:v>
      </x:c>
      <x:c r="K3" s="32" t="str">
        <x:v>PASS</x:v>
      </x:c>
      <x:c r="L3" s="32" t="str">
        <x:v>PASS</x:v>
      </x:c>
      <x:c r="M3" s="32" t="str">
        <x:v>PASS</x:v>
      </x:c>
      <x:c r="N3" s="32" t="str">
        <x:v>PASS</x:v>
      </x:c>
      <x:c r="O3" s="32" t="str">
        <x:v>PASS</x:v>
      </x:c>
      <x:c r="P3" s="32" t="str">
        <x:v>PASS</x:v>
      </x:c>
      <x:c r="Q3" s="32" t="str">
        <x:v>PASS</x:v>
      </x:c>
      <x:c r="R3" s="32" t="str">
        <x:v>Effectiveness language in participant perceptions must not be converted into measured clinical effectiveness.</x:v>
      </x:c>
    </x:row>
    <x:row r="4" ht="15" hidden="0" customHeight="1">
      <x:c r="A4" s="32" t="str">
        <x:v>EV-0758</x:v>
      </x:c>
      <x:c r="B4" s="32" t="str">
        <x:v>PASS</x:v>
      </x:c>
      <x:c r="C4" s="32" t="str">
        <x:v>PASS</x:v>
      </x:c>
      <x:c r="D4" s="32" t="str">
        <x:v>PASS</x:v>
      </x:c>
      <x:c r="E4" s="32" t="str">
        <x:v>PASS</x:v>
      </x:c>
      <x:c r="F4" s="32" t="str">
        <x:v>PASS</x:v>
      </x:c>
      <x:c r="G4" s="32" t="str">
        <x:v>PASS</x:v>
      </x:c>
      <x:c r="H4" s="32" t="str">
        <x:v>ATTENTION</x:v>
      </x:c>
      <x:c r="I4" s="32" t="str">
        <x:v>PASS</x:v>
      </x:c>
      <x:c r="J4" s="32" t="str">
        <x:v>PASS</x:v>
      </x:c>
      <x:c r="K4" s="32" t="str">
        <x:v>PASS</x:v>
      </x:c>
      <x:c r="L4" s="32" t="str">
        <x:v>PASS</x:v>
      </x:c>
      <x:c r="M4" s="32" t="str">
        <x:v>PASS</x:v>
      </x:c>
      <x:c r="N4" s="32" t="str">
        <x:v>PASS</x:v>
      </x:c>
      <x:c r="O4" s="32" t="str">
        <x:v>PASS</x:v>
      </x:c>
      <x:c r="P4" s="32" t="str">
        <x:v>PASS</x:v>
      </x:c>
      <x:c r="Q4" s="32" t="str">
        <x:v>PASS</x:v>
      </x:c>
      <x:c r="R4" s="32" t="str">
        <x:v>Early applications and author conclusions were bounded as descriptive; no effectiveness claim was retained.</x:v>
      </x:c>
    </x:row>
    <x:row r="5" ht="15" hidden="0" customHeight="1">
      <x:c r="A5" s="32" t="str">
        <x:v>EV-0753</x:v>
      </x:c>
      <x:c r="B5" s="32" t="str">
        <x:v>PASS</x:v>
      </x:c>
      <x:c r="C5" s="32" t="str">
        <x:v>PASS</x:v>
      </x:c>
      <x:c r="D5" s="32" t="str">
        <x:v>PASS</x:v>
      </x:c>
      <x:c r="E5" s="32" t="str">
        <x:v>PASS</x:v>
      </x:c>
      <x:c r="F5" s="32" t="str">
        <x:v>PASS</x:v>
      </x:c>
      <x:c r="G5" s="32" t="str">
        <x:v>PASS</x:v>
      </x:c>
      <x:c r="H5" s="32" t="str">
        <x:v>PASS</x:v>
      </x:c>
      <x:c r="I5" s="32" t="str">
        <x:v>PASS</x:v>
      </x:c>
      <x:c r="J5" s="32" t="str">
        <x:v>PASS</x:v>
      </x:c>
      <x:c r="K5" s="32" t="str">
        <x:v>PASS</x:v>
      </x:c>
      <x:c r="L5" s="32" t="str">
        <x:v>PASS</x:v>
      </x:c>
      <x:c r="M5" s="32" t="str">
        <x:v>PASS</x:v>
      </x:c>
      <x:c r="N5" s="32" t="str">
        <x:v>PASS</x:v>
      </x:c>
      <x:c r="O5" s="32" t="str">
        <x:v>PASS</x:v>
      </x:c>
      <x:c r="P5" s="32" t="str">
        <x:v>PASS</x:v>
      </x:c>
      <x:c r="Q5" s="32" t="str">
        <x:v>PASS</x:v>
      </x:c>
      <x:c r="R5" s="32" t="str">
        <x:v>Perceived effectiveness was separated from actual outcome effectiveness and causal inference.</x:v>
      </x:c>
    </x:row>
    <x:row r="6" ht="15" hidden="0" customHeight="1">
      <x:c r="A6" s="32" t="str">
        <x:v>EV-0727</x:v>
      </x:c>
      <x:c r="B6" s="32" t="str">
        <x:v>PASS</x:v>
      </x:c>
      <x:c r="C6" s="32" t="str">
        <x:v>PASS</x:v>
      </x:c>
      <x:c r="D6" s="32" t="str">
        <x:v>PASS</x:v>
      </x:c>
      <x:c r="E6" s="32" t="str">
        <x:v>PASS</x:v>
      </x:c>
      <x:c r="F6" s="32" t="str">
        <x:v>PASS</x:v>
      </x:c>
      <x:c r="G6" s="32" t="str">
        <x:v>PASS</x:v>
      </x:c>
      <x:c r="H6" s="32" t="str">
        <x:v>PASS</x:v>
      </x:c>
      <x:c r="I6" s="32" t="str">
        <x:v>PASS</x:v>
      </x:c>
      <x:c r="J6" s="32" t="str">
        <x:v>PASS</x:v>
      </x:c>
      <x:c r="K6" s="32" t="str">
        <x:v>PASS</x:v>
      </x:c>
      <x:c r="L6" s="32" t="str">
        <x:v>PASS</x:v>
      </x:c>
      <x:c r="M6" s="32" t="str">
        <x:v>PASS</x:v>
      </x:c>
      <x:c r="N6" s="32" t="str">
        <x:v>PASS</x:v>
      </x:c>
      <x:c r="O6" s="32" t="str">
        <x:v>PASS</x:v>
      </x:c>
      <x:c r="P6" s="32" t="str">
        <x:v>PASS</x:v>
      </x:c>
      <x:c r="Q6" s="32" t="str">
        <x:v>PASS</x:v>
      </x:c>
      <x:c r="R6" s="32" t="str">
        <x:v>Patient reports were preserved as qualitative findings, not prevalence estimates or causal effects.</x:v>
      </x:c>
    </x:row>
    <x:row r="7" ht="15" hidden="0" customHeight="1">
      <x:c r="A7" s="32" t="str">
        <x:v>EV-0593</x:v>
      </x:c>
      <x:c r="B7" s="32" t="str">
        <x:v>PASS</x:v>
      </x:c>
      <x:c r="C7" s="32" t="str">
        <x:v>PASS</x:v>
      </x:c>
      <x:c r="D7" s="32" t="str">
        <x:v>PASS</x:v>
      </x:c>
      <x:c r="E7" s="32" t="str">
        <x:v>PASS</x:v>
      </x:c>
      <x:c r="F7" s="32" t="str">
        <x:v>PASS</x:v>
      </x:c>
      <x:c r="G7" s="32" t="str">
        <x:v>PASS</x:v>
      </x:c>
      <x:c r="H7" s="32" t="str">
        <x:v>PASS</x:v>
      </x:c>
      <x:c r="I7" s="32" t="str">
        <x:v>PASS</x:v>
      </x:c>
      <x:c r="J7" s="32" t="str">
        <x:v>PASS</x:v>
      </x:c>
      <x:c r="K7" s="32" t="str">
        <x:v>PASS</x:v>
      </x:c>
      <x:c r="L7" s="32" t="str">
        <x:v>PASS</x:v>
      </x:c>
      <x:c r="M7" s="32" t="str">
        <x:v>PASS</x:v>
      </x:c>
      <x:c r="N7" s="32" t="str">
        <x:v>PASS</x:v>
      </x:c>
      <x:c r="O7" s="32" t="str">
        <x:v>PASS</x:v>
      </x:c>
      <x:c r="P7" s="32" t="str">
        <x:v>PASS</x:v>
      </x:c>
      <x:c r="Q7" s="32" t="str">
        <x:v>PASS</x:v>
      </x:c>
      <x:c r="R7" s="32" t="str">
        <x:v>Percentages were tied to denominator 19 and not generalized to nurses or public-safety personnel.</x:v>
      </x:c>
    </x:row>
    <x:row r="8" ht="15" hidden="0" customHeight="1">
      <x:c r="A8" s="32" t="str">
        <x:v>EV-0523</x:v>
      </x:c>
      <x:c r="B8" s="32" t="str">
        <x:v>PASS</x:v>
      </x:c>
      <x:c r="C8" s="32" t="str">
        <x:v>PASS</x:v>
      </x:c>
      <x:c r="D8" s="32" t="str">
        <x:v>PASS</x:v>
      </x:c>
      <x:c r="E8" s="32" t="str">
        <x:v>PASS</x:v>
      </x:c>
      <x:c r="F8" s="32" t="str">
        <x:v>PASS</x:v>
      </x:c>
      <x:c r="G8" s="32" t="str">
        <x:v>PASS</x:v>
      </x:c>
      <x:c r="H8" s="32" t="str">
        <x:v>ATTENTION</x:v>
      </x:c>
      <x:c r="I8" s="32" t="str">
        <x:v>PASS</x:v>
      </x:c>
      <x:c r="J8" s="32" t="str">
        <x:v>PASS</x:v>
      </x:c>
      <x:c r="K8" s="32" t="str">
        <x:v>PASS</x:v>
      </x:c>
      <x:c r="L8" s="32" t="str">
        <x:v>PASS</x:v>
      </x:c>
      <x:c r="M8" s="32" t="str">
        <x:v>PASS</x:v>
      </x:c>
      <x:c r="N8" s="32" t="str">
        <x:v>PASS</x:v>
      </x:c>
      <x:c r="O8" s="32" t="str">
        <x:v>PASS</x:v>
      </x:c>
      <x:c r="P8" s="32" t="str">
        <x:v>PASS</x:v>
      </x:c>
      <x:c r="Q8" s="32" t="str">
        <x:v>PASS</x:v>
      </x:c>
      <x:c r="R8" s="32" t="str">
        <x:v>PMC article type is article-commentary; the queue's generic Journal Article label must not imply an empirical study.</x:v>
      </x:c>
    </x:row>
    <x:row r="9" ht="15" hidden="0" customHeight="1">
      <x:c r="A9" s="32" t="str">
        <x:v>EV-0503</x:v>
      </x:c>
      <x:c r="B9" s="32" t="str">
        <x:v>PASS</x:v>
      </x:c>
      <x:c r="C9" s="32" t="str">
        <x:v>PASS</x:v>
      </x:c>
      <x:c r="D9" s="32" t="str">
        <x:v>PASS</x:v>
      </x:c>
      <x:c r="E9" s="32" t="str">
        <x:v>PASS</x:v>
      </x:c>
      <x:c r="F9" s="32" t="str">
        <x:v>PASS</x:v>
      </x:c>
      <x:c r="G9" s="32" t="str">
        <x:v>PASS</x:v>
      </x:c>
      <x:c r="H9" s="32" t="str">
        <x:v>PASS</x:v>
      </x:c>
      <x:c r="I9" s="32" t="str">
        <x:v>PASS</x:v>
      </x:c>
      <x:c r="J9" s="32" t="str">
        <x:v>PASS</x:v>
      </x:c>
      <x:c r="K9" s="32" t="str">
        <x:v>PASS</x:v>
      </x:c>
      <x:c r="L9" s="32" t="str">
        <x:v>PASS</x:v>
      </x:c>
      <x:c r="M9" s="32" t="str">
        <x:v>PASS</x:v>
      </x:c>
      <x:c r="N9" s="32" t="str">
        <x:v>PASS</x:v>
      </x:c>
      <x:c r="O9" s="32" t="str">
        <x:v>PASS</x:v>
      </x:c>
      <x:c r="P9" s="32" t="str">
        <x:v>PASS</x:v>
      </x:c>
      <x:c r="Q9" s="32" t="str">
        <x:v>PASS</x:v>
      </x:c>
      <x:c r="R9" s="32" t="str">
        <x:v>Perceived better outcomes were not treated as measured consumer outcomes or cost-effectiveness.</x:v>
      </x:c>
    </x:row>
    <x:row r="10" ht="15" hidden="0" customHeight="1">
      <x:c r="A10" s="32" t="str">
        <x:v>EV-0447</x:v>
      </x:c>
      <x:c r="B10" s="32" t="str">
        <x:v>PASS</x:v>
      </x:c>
      <x:c r="C10" s="32" t="str">
        <x:v>PASS</x:v>
      </x:c>
      <x:c r="D10" s="32" t="str">
        <x:v>PASS</x:v>
      </x:c>
      <x:c r="E10" s="32" t="str">
        <x:v>PASS</x:v>
      </x:c>
      <x:c r="F10" s="32" t="str">
        <x:v>PASS</x:v>
      </x:c>
      <x:c r="G10" s="32" t="str">
        <x:v>PASS</x:v>
      </x:c>
      <x:c r="H10" s="32" t="str">
        <x:v>PASS</x:v>
      </x:c>
      <x:c r="I10" s="32" t="str">
        <x:v>PASS</x:v>
      </x:c>
      <x:c r="J10" s="32" t="str">
        <x:v>PASS</x:v>
      </x:c>
      <x:c r="K10" s="32" t="str">
        <x:v>PASS</x:v>
      </x:c>
      <x:c r="L10" s="32" t="str">
        <x:v>PASS</x:v>
      </x:c>
      <x:c r="M10" s="32" t="str">
        <x:v>PASS</x:v>
      </x:c>
      <x:c r="N10" s="32" t="str">
        <x:v>PASS</x:v>
      </x:c>
      <x:c r="O10" s="32" t="str">
        <x:v>PASS</x:v>
      </x:c>
      <x:c r="P10" s="32" t="str">
        <x:v>PASS</x:v>
      </x:c>
      <x:c r="Q10" s="32" t="str">
        <x:v>PASS</x:v>
      </x:c>
      <x:c r="R10" s="32" t="str">
        <x:v>Participant endorsement was retained as perception and not upgraded to effectiveness evidence.</x:v>
      </x:c>
    </x:row>
    <x:row r="11" ht="15" hidden="0" customHeight="1">
      <x:c r="A11" s="32" t="str">
        <x:v>EV-0425</x:v>
      </x:c>
      <x:c r="B11" s="32" t="str">
        <x:v>PASS</x:v>
      </x:c>
      <x:c r="C11" s="32" t="str">
        <x:v>PASS</x:v>
      </x:c>
      <x:c r="D11" s="32" t="str">
        <x:v>PASS</x:v>
      </x:c>
      <x:c r="E11" s="32" t="str">
        <x:v>PASS</x:v>
      </x:c>
      <x:c r="F11" s="32" t="str">
        <x:v>PASS</x:v>
      </x:c>
      <x:c r="G11" s="32" t="str">
        <x:v>PASS</x:v>
      </x:c>
      <x:c r="H11" s="32" t="str">
        <x:v>PASS</x:v>
      </x:c>
      <x:c r="I11" s="32" t="str">
        <x:v>PASS</x:v>
      </x:c>
      <x:c r="J11" s="32" t="str">
        <x:v>PASS</x:v>
      </x:c>
      <x:c r="K11" s="32" t="str">
        <x:v>PASS</x:v>
      </x:c>
      <x:c r="L11" s="32" t="str">
        <x:v>PASS</x:v>
      </x:c>
      <x:c r="M11" s="32" t="str">
        <x:v>PASS</x:v>
      </x:c>
      <x:c r="N11" s="32" t="str">
        <x:v>PASS</x:v>
      </x:c>
      <x:c r="O11" s="32" t="str">
        <x:v>PASS</x:v>
      </x:c>
      <x:c r="P11" s="32" t="str">
        <x:v>PASS</x:v>
      </x:c>
      <x:c r="Q11" s="32" t="str">
        <x:v>PASS</x:v>
      </x:c>
      <x:c r="R11" s="32" t="str">
        <x:v>Preferences were not converted into evidence that the interventions improve health or implementation outcomes.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E5AA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880000114440918" hidden="0" customWidth="1"/>
    <x:col min="2" max="2" width="17.5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15" hidden="0" customHeight="1">
      <x:c r="A1" s="30" t="str">
        <x:v>evidence_id</x:v>
      </x:c>
      <x:c r="B1" s="30" t="str">
        <x:v>stage</x:v>
      </x:c>
      <x:c r="C1" s="30" t="str">
        <x:v>source</x:v>
      </x:c>
      <x:c r="D1" s="30" t="str">
        <x:v>path_external</x:v>
      </x:c>
      <x:c r="E1" s="30" t="str">
        <x:v>sha256</x:v>
      </x:c>
      <x:c r="F1" s="30" t="str">
        <x:v>timestamp</x:v>
      </x:c>
      <x:c r="G1" s="30" t="str">
        <x:v>tool</x:v>
      </x:c>
      <x:c r="H1" s="30" t="str">
        <x:v>transformation</x:v>
      </x:c>
    </x:row>
    <x:row r="2" ht="15" hidden="0" customHeight="1">
      <x:c r="A2" s="32" t="str">
        <x:v>EV-0668</x:v>
      </x:c>
      <x:c r="B2" s="32" t="str">
        <x:v>RAW_PUBMED</x:v>
      </x:c>
      <x:c r="C2" s="32" t="str">
        <x:v>NCBI Entrez EFetch</x:v>
      </x:c>
      <x:c r="D2" s="32" t="str">
        <x:v>external://full-text/2026-09-17-pilot-01/raw/pubmed/36141388.xml</x:v>
      </x:c>
      <x:c r="E2" s="32" t="str">
        <x:v>e06eebad1fae6879e99ede78feacdc6853206db88af0d549a65909a8f15a8d43</x:v>
      </x:c>
      <x:c r="F2" s="32" t="str">
        <x:v>2026-09-17</x:v>
      </x:c>
      <x:c r="G2" s="32" t="str">
        <x:v>ncbi_entrez.py</x:v>
      </x:c>
      <x:c r="H2" s="32" t="str">
        <x:v>none</x:v>
      </x:c>
    </x:row>
    <x:row r="3" ht="15" hidden="0" customHeight="1">
      <x:c r="A3" s="32" t="str">
        <x:v>EV-0668</x:v>
      </x:c>
      <x:c r="B3" s="32" t="str">
        <x:v>FULL_TEXT</x:v>
      </x:c>
      <x:c r="C3" s="32" t="str">
        <x:v>NCBI PMC EFetch JATS XML</x:v>
      </x:c>
      <x:c r="D3" s="32" t="str">
        <x:v>external://full-text/2026-09-17-pilot-01/raw/pmc/PMC9498760.xml</x:v>
      </x:c>
      <x:c r="E3" s="32" t="str">
        <x:v>1f95be2b49f58eb9b096b36db3cdecb5f5c9d274cbe80e050ae7ad5a7f6234c6</x:v>
      </x:c>
      <x:c r="F3" s="32" t="str">
        <x:v>2026-09-17</x:v>
      </x:c>
      <x:c r="G3" s="32" t="str">
        <x:v>ncbi_entrez.py</x:v>
      </x:c>
      <x:c r="H3" s="32" t="str">
        <x:v>parsed metadata and section locations</x:v>
      </x:c>
    </x:row>
    <x:row r="4" ht="15" hidden="0" customHeight="1">
      <x:c r="A4" s="32" t="str">
        <x:v>EV-0668</x:v>
      </x:c>
      <x:c r="B4" s="32" t="str">
        <x:v>EXTRACTION_APPRAISAL</x:v>
      </x:c>
      <x:c r="C4" s="32" t="str">
        <x:v>audited JATS full text</x:v>
      </x:c>
      <x:c r="D4" s="32" t="str"/>
      <x:c r="E4" s="32" t="str"/>
      <x:c r="F4" s="32" t="str">
        <x:v>2026-09-17</x:v>
      </x:c>
      <x:c r="G4" s="32" t="str">
        <x:v>build_full_text_pilot.py</x:v>
      </x:c>
      <x:c r="H4" s="32" t="str">
        <x:v>AI-assisted provisional extraction and design-specific appraisal; human fields unchanged</x:v>
      </x:c>
    </x:row>
    <x:row r="5" ht="15" hidden="0" customHeight="1">
      <x:c r="A5" s="32" t="str">
        <x:v>EV-0787</x:v>
      </x:c>
      <x:c r="B5" s="32" t="str">
        <x:v>RAW_PUBMED</x:v>
      </x:c>
      <x:c r="C5" s="32" t="str">
        <x:v>NCBI Entrez EFetch</x:v>
      </x:c>
      <x:c r="D5" s="32" t="str">
        <x:v>external://full-text/2026-09-17-pilot-01/raw/pubmed/33933923.xml</x:v>
      </x:c>
      <x:c r="E5" s="32" t="str">
        <x:v>5cab6d8aad7dd62d768c0405ffb000cc84b89bb536474302866938e645bf9034</x:v>
      </x:c>
      <x:c r="F5" s="32" t="str">
        <x:v>2026-09-17</x:v>
      </x:c>
      <x:c r="G5" s="32" t="str">
        <x:v>ncbi_entrez.py</x:v>
      </x:c>
      <x:c r="H5" s="32" t="str">
        <x:v>none</x:v>
      </x:c>
    </x:row>
    <x:row r="6" ht="15" hidden="0" customHeight="1">
      <x:c r="A6" s="32" t="str">
        <x:v>EV-0787</x:v>
      </x:c>
      <x:c r="B6" s="32" t="str">
        <x:v>FULL_TEXT</x:v>
      </x:c>
      <x:c r="C6" s="32" t="str">
        <x:v>NCBI PMC EFetch JATS XML</x:v>
      </x:c>
      <x:c r="D6" s="32" t="str">
        <x:v>external://full-text/2026-09-17-pilot-01/raw/pmc/PMC8530836.xml</x:v>
      </x:c>
      <x:c r="E6" s="32" t="str">
        <x:v>8a5590c78eb1de80d80e10ac4f843a5cc9d129b26cfa6e6521fc057ff90c1759</x:v>
      </x:c>
      <x:c r="F6" s="32" t="str">
        <x:v>2026-09-17</x:v>
      </x:c>
      <x:c r="G6" s="32" t="str">
        <x:v>ncbi_entrez.py</x:v>
      </x:c>
      <x:c r="H6" s="32" t="str">
        <x:v>parsed metadata and section locations</x:v>
      </x:c>
    </x:row>
    <x:row r="7" ht="15" hidden="0" customHeight="1">
      <x:c r="A7" s="32" t="str">
        <x:v>EV-0787</x:v>
      </x:c>
      <x:c r="B7" s="32" t="str">
        <x:v>EXTRACTION_APPRAISAL</x:v>
      </x:c>
      <x:c r="C7" s="32" t="str">
        <x:v>audited JATS full text</x:v>
      </x:c>
      <x:c r="D7" s="32" t="str"/>
      <x:c r="E7" s="32" t="str"/>
      <x:c r="F7" s="32" t="str">
        <x:v>2026-09-17</x:v>
      </x:c>
      <x:c r="G7" s="32" t="str">
        <x:v>build_full_text_pilot.py</x:v>
      </x:c>
      <x:c r="H7" s="32" t="str">
        <x:v>AI-assisted provisional extraction and design-specific appraisal; human fields unchanged</x:v>
      </x:c>
    </x:row>
    <x:row r="8" ht="15" hidden="0" customHeight="1">
      <x:c r="A8" s="32" t="str">
        <x:v>EV-0758</x:v>
      </x:c>
      <x:c r="B8" s="32" t="str">
        <x:v>RAW_PUBMED</x:v>
      </x:c>
      <x:c r="C8" s="32" t="str">
        <x:v>NCBI Entrez EFetch</x:v>
      </x:c>
      <x:c r="D8" s="32" t="str">
        <x:v>external://full-text/2026-09-17-pilot-01/raw/pubmed/34622213.xml</x:v>
      </x:c>
      <x:c r="E8" s="32" t="str">
        <x:v>03ff55dd57e67224fae6cb619631aefc8c094970f5f4079382e9e8e6f72769c1</x:v>
      </x:c>
      <x:c r="F8" s="32" t="str">
        <x:v>2026-09-17</x:v>
      </x:c>
      <x:c r="G8" s="32" t="str">
        <x:v>ncbi_entrez.py</x:v>
      </x:c>
      <x:c r="H8" s="32" t="str">
        <x:v>none</x:v>
      </x:c>
    </x:row>
    <x:row r="9" ht="15" hidden="0" customHeight="1">
      <x:c r="A9" s="32" t="str">
        <x:v>EV-0758</x:v>
      </x:c>
      <x:c r="B9" s="32" t="str">
        <x:v>FULL_TEXT</x:v>
      </x:c>
      <x:c r="C9" s="32" t="str">
        <x:v>NCBI PMC EFetch JATS XML</x:v>
      </x:c>
      <x:c r="D9" s="32" t="str">
        <x:v>external://full-text/2026-09-17-pilot-01/raw/pmc/PMC8116638.xml</x:v>
      </x:c>
      <x:c r="E9" s="32" t="str">
        <x:v>8462def4ddce19c3dba02ef121c8af0f0fccd2ad119e5fa7ba97290788ea61ea</x:v>
      </x:c>
      <x:c r="F9" s="32" t="str">
        <x:v>2026-09-17</x:v>
      </x:c>
      <x:c r="G9" s="32" t="str">
        <x:v>ncbi_entrez.py</x:v>
      </x:c>
      <x:c r="H9" s="32" t="str">
        <x:v>parsed metadata and section locations</x:v>
      </x:c>
    </x:row>
    <x:row r="10" ht="15" hidden="0" customHeight="1">
      <x:c r="A10" s="32" t="str">
        <x:v>EV-0758</x:v>
      </x:c>
      <x:c r="B10" s="32" t="str">
        <x:v>EXTRACTION_APPRAISAL</x:v>
      </x:c>
      <x:c r="C10" s="32" t="str">
        <x:v>audited JATS full text</x:v>
      </x:c>
      <x:c r="D10" s="32" t="str"/>
      <x:c r="E10" s="32" t="str"/>
      <x:c r="F10" s="32" t="str">
        <x:v>2026-09-17</x:v>
      </x:c>
      <x:c r="G10" s="32" t="str">
        <x:v>build_full_text_pilot.py</x:v>
      </x:c>
      <x:c r="H10" s="32" t="str">
        <x:v>AI-assisted provisional extraction and design-specific appraisal; human fields unchanged</x:v>
      </x:c>
    </x:row>
    <x:row r="11" ht="15" hidden="0" customHeight="1">
      <x:c r="A11" s="32" t="str">
        <x:v>EV-0753</x:v>
      </x:c>
      <x:c r="B11" s="32" t="str">
        <x:v>RAW_PUBMED</x:v>
      </x:c>
      <x:c r="C11" s="32" t="str">
        <x:v>NCBI Entrez EFetch</x:v>
      </x:c>
      <x:c r="D11" s="32" t="str">
        <x:v>external://full-text/2026-09-17-pilot-01/raw/pubmed/34665820.xml</x:v>
      </x:c>
      <x:c r="E11" s="32" t="str">
        <x:v>b3c7bb0371785e19df61151bebf403d56f863afcb67700e6e6ff7a34e9eaab48</x:v>
      </x:c>
      <x:c r="F11" s="32" t="str">
        <x:v>2026-09-17</x:v>
      </x:c>
      <x:c r="G11" s="32" t="str">
        <x:v>ncbi_entrez.py</x:v>
      </x:c>
      <x:c r="H11" s="32" t="str">
        <x:v>none</x:v>
      </x:c>
    </x:row>
    <x:row r="12" ht="15" hidden="0" customHeight="1">
      <x:c r="A12" s="32" t="str">
        <x:v>EV-0753</x:v>
      </x:c>
      <x:c r="B12" s="32" t="str">
        <x:v>FULL_TEXT</x:v>
      </x:c>
      <x:c r="C12" s="32" t="str">
        <x:v>NCBI PMC EFetch JATS XML</x:v>
      </x:c>
      <x:c r="D12" s="32" t="str">
        <x:v>external://full-text/2026-09-17-pilot-01/raw/pmc/PMC8525775.xml</x:v>
      </x:c>
      <x:c r="E12" s="32" t="str">
        <x:v>0f36cec7c1454bd79586d8d2346085f30a21ae183cdc2764733b508d5d154b54</x:v>
      </x:c>
      <x:c r="F12" s="32" t="str">
        <x:v>2026-09-17</x:v>
      </x:c>
      <x:c r="G12" s="32" t="str">
        <x:v>ncbi_entrez.py</x:v>
      </x:c>
      <x:c r="H12" s="32" t="str">
        <x:v>parsed metadata and section locations</x:v>
      </x:c>
    </x:row>
    <x:row r="13" ht="15" hidden="0" customHeight="1">
      <x:c r="A13" s="32" t="str">
        <x:v>EV-0753</x:v>
      </x:c>
      <x:c r="B13" s="32" t="str">
        <x:v>EXTRACTION_APPRAISAL</x:v>
      </x:c>
      <x:c r="C13" s="32" t="str">
        <x:v>audited JATS full text</x:v>
      </x:c>
      <x:c r="D13" s="32" t="str"/>
      <x:c r="E13" s="32" t="str"/>
      <x:c r="F13" s="32" t="str">
        <x:v>2026-09-17</x:v>
      </x:c>
      <x:c r="G13" s="32" t="str">
        <x:v>build_full_text_pilot.py</x:v>
      </x:c>
      <x:c r="H13" s="32" t="str">
        <x:v>AI-assisted provisional extraction and design-specific appraisal; human fields unchanged</x:v>
      </x:c>
    </x:row>
    <x:row r="14" ht="15" hidden="0" customHeight="1">
      <x:c r="A14" s="32" t="str">
        <x:v>EV-0727</x:v>
      </x:c>
      <x:c r="B14" s="32" t="str">
        <x:v>RAW_PUBMED</x:v>
      </x:c>
      <x:c r="C14" s="32" t="str">
        <x:v>NCBI Entrez EFetch</x:v>
      </x:c>
      <x:c r="D14" s="32" t="str">
        <x:v>external://full-text/2026-09-17-pilot-01/raw/pubmed/35076700.xml</x:v>
      </x:c>
      <x:c r="E14" s="32" t="str">
        <x:v>c556492e881ffc4e03d30af7383048dae6ea553288203deda45a09dca9779050</x:v>
      </x:c>
      <x:c r="F14" s="32" t="str">
        <x:v>2026-09-17</x:v>
      </x:c>
      <x:c r="G14" s="32" t="str">
        <x:v>ncbi_entrez.py</x:v>
      </x:c>
      <x:c r="H14" s="32" t="str">
        <x:v>none</x:v>
      </x:c>
    </x:row>
    <x:row r="15" ht="15" hidden="0" customHeight="1">
      <x:c r="A15" s="32" t="str">
        <x:v>EV-0727</x:v>
      </x:c>
      <x:c r="B15" s="32" t="str">
        <x:v>FULL_TEXT</x:v>
      </x:c>
      <x:c r="C15" s="32" t="str">
        <x:v>NCBI PMC EFetch JATS XML</x:v>
      </x:c>
      <x:c r="D15" s="32" t="str">
        <x:v>external://full-text/2026-09-17-pilot-01/raw/pmc/PMC8790663.xml</x:v>
      </x:c>
      <x:c r="E15" s="32" t="str">
        <x:v>e6c9cdaeae6bf338ad5e5ed1104e478d8a1c65ea572be58f4816f863fe02a214</x:v>
      </x:c>
      <x:c r="F15" s="32" t="str">
        <x:v>2026-09-17</x:v>
      </x:c>
      <x:c r="G15" s="32" t="str">
        <x:v>ncbi_entrez.py</x:v>
      </x:c>
      <x:c r="H15" s="32" t="str">
        <x:v>parsed metadata and section locations</x:v>
      </x:c>
    </x:row>
    <x:row r="16" ht="15" hidden="0" customHeight="1">
      <x:c r="A16" s="32" t="str">
        <x:v>EV-0727</x:v>
      </x:c>
      <x:c r="B16" s="32" t="str">
        <x:v>EXTRACTION_APPRAISAL</x:v>
      </x:c>
      <x:c r="C16" s="32" t="str">
        <x:v>audited JATS full text</x:v>
      </x:c>
      <x:c r="D16" s="32" t="str"/>
      <x:c r="E16" s="32" t="str"/>
      <x:c r="F16" s="32" t="str">
        <x:v>2026-09-17</x:v>
      </x:c>
      <x:c r="G16" s="32" t="str">
        <x:v>build_full_text_pilot.py</x:v>
      </x:c>
      <x:c r="H16" s="32" t="str">
        <x:v>AI-assisted provisional extraction and design-specific appraisal; human fields unchanged</x:v>
      </x:c>
    </x:row>
    <x:row r="17" ht="15" hidden="0" customHeight="1">
      <x:c r="A17" s="32" t="str">
        <x:v>EV-0593</x:v>
      </x:c>
      <x:c r="B17" s="32" t="str">
        <x:v>RAW_PUBMED</x:v>
      </x:c>
      <x:c r="C17" s="32" t="str">
        <x:v>NCBI Entrez EFetch</x:v>
      </x:c>
      <x:c r="D17" s="32" t="str">
        <x:v>external://full-text/2026-09-17-pilot-01/raw/pubmed/37297641.xml</x:v>
      </x:c>
      <x:c r="E17" s="32" t="str">
        <x:v>15c4e28fd836fcae7572e37bcf39ebd1291bddaf31128003a9b3cd4a9a5f345c</x:v>
      </x:c>
      <x:c r="F17" s="32" t="str">
        <x:v>2026-09-17</x:v>
      </x:c>
      <x:c r="G17" s="32" t="str">
        <x:v>ncbi_entrez.py</x:v>
      </x:c>
      <x:c r="H17" s="32" t="str">
        <x:v>none</x:v>
      </x:c>
    </x:row>
    <x:row r="18" ht="15" hidden="0" customHeight="1">
      <x:c r="A18" s="32" t="str">
        <x:v>EV-0593</x:v>
      </x:c>
      <x:c r="B18" s="32" t="str">
        <x:v>FULL_TEXT</x:v>
      </x:c>
      <x:c r="C18" s="32" t="str">
        <x:v>NCBI PMC EFetch JATS XML</x:v>
      </x:c>
      <x:c r="D18" s="32" t="str">
        <x:v>external://full-text/2026-09-17-pilot-01/raw/pmc/PMC10252876.xml</x:v>
      </x:c>
      <x:c r="E18" s="32" t="str">
        <x:v>e310873034baa3bf725b7db33b6a01a1b598a458f9eda6218663f0918ae34fa2</x:v>
      </x:c>
      <x:c r="F18" s="32" t="str">
        <x:v>2026-09-17</x:v>
      </x:c>
      <x:c r="G18" s="32" t="str">
        <x:v>ncbi_entrez.py</x:v>
      </x:c>
      <x:c r="H18" s="32" t="str">
        <x:v>parsed metadata and section locations</x:v>
      </x:c>
    </x:row>
    <x:row r="19" ht="15" hidden="0" customHeight="1">
      <x:c r="A19" s="32" t="str">
        <x:v>EV-0593</x:v>
      </x:c>
      <x:c r="B19" s="32" t="str">
        <x:v>EXTRACTION_APPRAISAL</x:v>
      </x:c>
      <x:c r="C19" s="32" t="str">
        <x:v>audited JATS full text</x:v>
      </x:c>
      <x:c r="D19" s="32" t="str"/>
      <x:c r="E19" s="32" t="str"/>
      <x:c r="F19" s="32" t="str">
        <x:v>2026-09-17</x:v>
      </x:c>
      <x:c r="G19" s="32" t="str">
        <x:v>build_full_text_pilot.py</x:v>
      </x:c>
      <x:c r="H19" s="32" t="str">
        <x:v>AI-assisted provisional extraction and design-specific appraisal; human fields unchanged</x:v>
      </x:c>
    </x:row>
    <x:row r="20" ht="15" hidden="0" customHeight="1">
      <x:c r="A20" s="32" t="str">
        <x:v>EV-0523</x:v>
      </x:c>
      <x:c r="B20" s="32" t="str">
        <x:v>RAW_PUBMED</x:v>
      </x:c>
      <x:c r="C20" s="32" t="str">
        <x:v>NCBI Entrez EFetch</x:v>
      </x:c>
      <x:c r="D20" s="32" t="str">
        <x:v>external://full-text/2026-09-17-pilot-01/raw/pubmed/38115970.xml</x:v>
      </x:c>
      <x:c r="E20" s="32" t="str">
        <x:v>04b5c8629991132b66514d2587ce83d6cb683f22dcc8c174b7f6c790af51f028</x:v>
      </x:c>
      <x:c r="F20" s="32" t="str">
        <x:v>2026-09-17</x:v>
      </x:c>
      <x:c r="G20" s="32" t="str">
        <x:v>ncbi_entrez.py</x:v>
      </x:c>
      <x:c r="H20" s="32" t="str">
        <x:v>none</x:v>
      </x:c>
    </x:row>
    <x:row r="21" ht="15" hidden="0" customHeight="1">
      <x:c r="A21" s="32" t="str">
        <x:v>EV-0523</x:v>
      </x:c>
      <x:c r="B21" s="32" t="str">
        <x:v>FULL_TEXT</x:v>
      </x:c>
      <x:c r="C21" s="32" t="str">
        <x:v>NCBI PMC EFetch JATS XML</x:v>
      </x:c>
      <x:c r="D21" s="32" t="str">
        <x:v>external://full-text/2026-09-17-pilot-01/raw/pmc/PMC10729156.xml</x:v>
      </x:c>
      <x:c r="E21" s="32" t="str">
        <x:v>f24bf904cc0e14c67917f10e38412d3478d741995a0740aefcdbcfa7f1240155</x:v>
      </x:c>
      <x:c r="F21" s="32" t="str">
        <x:v>2026-09-17</x:v>
      </x:c>
      <x:c r="G21" s="32" t="str">
        <x:v>ncbi_entrez.py</x:v>
      </x:c>
      <x:c r="H21" s="32" t="str">
        <x:v>parsed metadata and section locations</x:v>
      </x:c>
    </x:row>
    <x:row r="22" ht="15" hidden="0" customHeight="1">
      <x:c r="A22" s="32" t="str">
        <x:v>EV-0523</x:v>
      </x:c>
      <x:c r="B22" s="32" t="str">
        <x:v>EXTRACTION_APPRAISAL</x:v>
      </x:c>
      <x:c r="C22" s="32" t="str">
        <x:v>audited JATS full text</x:v>
      </x:c>
      <x:c r="D22" s="32" t="str"/>
      <x:c r="E22" s="32" t="str"/>
      <x:c r="F22" s="32" t="str">
        <x:v>2026-09-17</x:v>
      </x:c>
      <x:c r="G22" s="32" t="str">
        <x:v>build_full_text_pilot.py</x:v>
      </x:c>
      <x:c r="H22" s="32" t="str">
        <x:v>AI-assisted provisional extraction and design-specific appraisal; human fields unchanged</x:v>
      </x:c>
    </x:row>
    <x:row r="23" ht="15" hidden="0" customHeight="1">
      <x:c r="A23" s="32" t="str">
        <x:v>EV-0503</x:v>
      </x:c>
      <x:c r="B23" s="32" t="str">
        <x:v>RAW_PUBMED</x:v>
      </x:c>
      <x:c r="C23" s="32" t="str">
        <x:v>NCBI Entrez EFetch</x:v>
      </x:c>
      <x:c r="D23" s="32" t="str">
        <x:v>external://full-text/2026-09-17-pilot-01/raw/pubmed/38322801.xml</x:v>
      </x:c>
      <x:c r="E23" s="32" t="str">
        <x:v>6e9a1059f6f26557303e86fee6ea476e201aabc7c9d457516359c0f7fed2dbf0</x:v>
      </x:c>
      <x:c r="F23" s="32" t="str">
        <x:v>2026-09-17</x:v>
      </x:c>
      <x:c r="G23" s="32" t="str">
        <x:v>ncbi_entrez.py</x:v>
      </x:c>
      <x:c r="H23" s="32" t="str">
        <x:v>none</x:v>
      </x:c>
    </x:row>
    <x:row r="24" ht="15" hidden="0" customHeight="1">
      <x:c r="A24" s="32" t="str">
        <x:v>EV-0503</x:v>
      </x:c>
      <x:c r="B24" s="32" t="str">
        <x:v>FULL_TEXT</x:v>
      </x:c>
      <x:c r="C24" s="32" t="str">
        <x:v>NCBI PMC EFetch JATS XML</x:v>
      </x:c>
      <x:c r="D24" s="32" t="str">
        <x:v>external://full-text/2026-09-17-pilot-01/raw/pmc/PMC10775732.xml</x:v>
      </x:c>
      <x:c r="E24" s="32" t="str">
        <x:v>d6b583237dfa08f2afaf2c88a4aac73e686f0a3506fbd7d451aebc123f104466</x:v>
      </x:c>
      <x:c r="F24" s="32" t="str">
        <x:v>2026-09-17</x:v>
      </x:c>
      <x:c r="G24" s="32" t="str">
        <x:v>ncbi_entrez.py</x:v>
      </x:c>
      <x:c r="H24" s="32" t="str">
        <x:v>parsed metadata and section locations</x:v>
      </x:c>
    </x:row>
    <x:row r="25" ht="15" hidden="0" customHeight="1">
      <x:c r="A25" s="32" t="str">
        <x:v>EV-0503</x:v>
      </x:c>
      <x:c r="B25" s="32" t="str">
        <x:v>EXTRACTION_APPRAISAL</x:v>
      </x:c>
      <x:c r="C25" s="32" t="str">
        <x:v>audited JATS full text</x:v>
      </x:c>
      <x:c r="D25" s="32" t="str"/>
      <x:c r="E25" s="32" t="str"/>
      <x:c r="F25" s="32" t="str">
        <x:v>2026-09-17</x:v>
      </x:c>
      <x:c r="G25" s="32" t="str">
        <x:v>build_full_text_pilot.py</x:v>
      </x:c>
      <x:c r="H25" s="32" t="str">
        <x:v>AI-assisted provisional extraction and design-specific appraisal; human fields unchanged</x:v>
      </x:c>
    </x:row>
    <x:row r="26" ht="15" hidden="0" customHeight="1">
      <x:c r="A26" s="32" t="str">
        <x:v>EV-0447</x:v>
      </x:c>
      <x:c r="B26" s="32" t="str">
        <x:v>RAW_PUBMED</x:v>
      </x:c>
      <x:c r="C26" s="32" t="str">
        <x:v>NCBI Entrez EFetch</x:v>
      </x:c>
      <x:c r="D26" s="32" t="str">
        <x:v>external://full-text/2026-09-17-pilot-01/raw/pubmed/39028235.xml</x:v>
      </x:c>
      <x:c r="E26" s="32" t="str">
        <x:v>fbbfa8b232e7da4f2bdadfad76386104824fbacfecc9fc68a3c020939261adff</x:v>
      </x:c>
      <x:c r="F26" s="32" t="str">
        <x:v>2026-09-17</x:v>
      </x:c>
      <x:c r="G26" s="32" t="str">
        <x:v>ncbi_entrez.py</x:v>
      </x:c>
      <x:c r="H26" s="32" t="str">
        <x:v>none</x:v>
      </x:c>
    </x:row>
    <x:row r="27" ht="15" hidden="0" customHeight="1">
      <x:c r="A27" s="32" t="str">
        <x:v>EV-0447</x:v>
      </x:c>
      <x:c r="B27" s="32" t="str">
        <x:v>FULL_TEXT</x:v>
      </x:c>
      <x:c r="C27" s="32" t="str">
        <x:v>NCBI PMC EFetch JATS XML</x:v>
      </x:c>
      <x:c r="D27" s="32" t="str">
        <x:v>external://full-text/2026-09-17-pilot-01/raw/pmc/PMC11254139.xml</x:v>
      </x:c>
      <x:c r="E27" s="32" t="str">
        <x:v>c718a144932f280840af8c0423ad729ae904346cb2880e93af8bf1ba51e26ba5</x:v>
      </x:c>
      <x:c r="F27" s="32" t="str">
        <x:v>2026-09-17</x:v>
      </x:c>
      <x:c r="G27" s="32" t="str">
        <x:v>ncbi_entrez.py</x:v>
      </x:c>
      <x:c r="H27" s="32" t="str">
        <x:v>parsed metadata and section locations</x:v>
      </x:c>
    </x:row>
    <x:row r="28" ht="15" hidden="0" customHeight="1">
      <x:c r="A28" s="32" t="str">
        <x:v>EV-0447</x:v>
      </x:c>
      <x:c r="B28" s="32" t="str">
        <x:v>EXTRACTION_APPRAISAL</x:v>
      </x:c>
      <x:c r="C28" s="32" t="str">
        <x:v>audited JATS full text</x:v>
      </x:c>
      <x:c r="D28" s="32" t="str"/>
      <x:c r="E28" s="32" t="str"/>
      <x:c r="F28" s="32" t="str">
        <x:v>2026-09-17</x:v>
      </x:c>
      <x:c r="G28" s="32" t="str">
        <x:v>build_full_text_pilot.py</x:v>
      </x:c>
      <x:c r="H28" s="32" t="str">
        <x:v>AI-assisted provisional extraction and design-specific appraisal; human fields unchanged</x:v>
      </x:c>
    </x:row>
    <x:row r="29" ht="15" hidden="0" customHeight="1">
      <x:c r="A29" s="32" t="str">
        <x:v>EV-0425</x:v>
      </x:c>
      <x:c r="B29" s="32" t="str">
        <x:v>RAW_PUBMED</x:v>
      </x:c>
      <x:c r="C29" s="32" t="str">
        <x:v>NCBI Entrez EFetch</x:v>
      </x:c>
      <x:c r="D29" s="32" t="str">
        <x:v>external://full-text/2026-09-17-pilot-01/raw/pubmed/39205432.xml</x:v>
      </x:c>
      <x:c r="E29" s="32" t="str">
        <x:v>447cf3bc2a1ffc04026d8d28fd38416268cb8799c89314c94480647c12b57b8d</x:v>
      </x:c>
      <x:c r="F29" s="32" t="str">
        <x:v>2026-09-17</x:v>
      </x:c>
      <x:c r="G29" s="32" t="str">
        <x:v>ncbi_entrez.py</x:v>
      </x:c>
      <x:c r="H29" s="32" t="str">
        <x:v>none</x:v>
      </x:c>
    </x:row>
    <x:row r="30" ht="15" hidden="0" customHeight="1">
      <x:c r="A30" s="32" t="str">
        <x:v>EV-0425</x:v>
      </x:c>
      <x:c r="B30" s="32" t="str">
        <x:v>FULL_TEXT</x:v>
      </x:c>
      <x:c r="C30" s="32" t="str">
        <x:v>NCBI PMC EFetch JATS XML</x:v>
      </x:c>
      <x:c r="D30" s="32" t="str">
        <x:v>external://full-text/2026-09-17-pilot-01/raw/pmc/PMC12372593.xml</x:v>
      </x:c>
      <x:c r="E30" s="32" t="str">
        <x:v>6fdb713d44d6c467fee674d19e46dd93b3ee1c21eed143d2b2901286ad920a39</x:v>
      </x:c>
      <x:c r="F30" s="32" t="str">
        <x:v>2026-09-17</x:v>
      </x:c>
      <x:c r="G30" s="32" t="str">
        <x:v>ncbi_entrez.py</x:v>
      </x:c>
      <x:c r="H30" s="32" t="str">
        <x:v>parsed metadata and section locations</x:v>
      </x:c>
    </x:row>
    <x:row r="31" ht="15" hidden="0" customHeight="1">
      <x:c r="A31" s="32" t="str">
        <x:v>EV-0425</x:v>
      </x:c>
      <x:c r="B31" s="32" t="str">
        <x:v>EXTRACTION_APPRAISAL</x:v>
      </x:c>
      <x:c r="C31" s="32" t="str">
        <x:v>audited JATS full text</x:v>
      </x:c>
      <x:c r="D31" s="32" t="str"/>
      <x:c r="E31" s="32" t="str"/>
      <x:c r="F31" s="32" t="str">
        <x:v>2026-09-17</x:v>
      </x:c>
      <x:c r="G31" s="32" t="str">
        <x:v>build_full_text_pilot.py</x:v>
      </x:c>
      <x:c r="H31" s="32" t="str">
        <x:v>AI-assisted provisional extraction and design-specific appraisal; human fields unchanged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E5AA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630000114440918" hidden="0" customWidth="1"/>
    <x:col min="2" max="2" width="7.380000114440918" hidden="0" customWidth="1"/>
    <x:col min="3" max="3" width="42" hidden="0" customWidth="1"/>
    <x:col min="4" max="4" width="42" hidden="0" customWidth="1"/>
    <x:col min="5" max="5" width="42" hidden="0" customWidth="1"/>
    <x:col min="6" max="6" width="11.75" hidden="0" customWidth="1"/>
    <x:col min="7" max="7" width="9.880000114440918" hidden="0" customWidth="1"/>
    <x:col min="8" max="8" width="12" hidden="0" customWidth="1"/>
    <x:col min="9" max="9" width="42" hidden="0" customWidth="1"/>
    <x:col min="10" max="10" width="15.380000114440918" hidden="0" customWidth="1"/>
    <x:col min="11" max="11" width="9.25" hidden="0" customWidth="1"/>
  </x:cols>
  <x:sheetData>
    <x:row r="1" ht="15" hidden="0" customHeight="1">
      <x:c r="A1" s="30" t="str">
        <x:v>Evidence ID</x:v>
      </x:c>
      <x:c r="B1" s="30" t="str">
        <x:v>PMID</x:v>
      </x:c>
      <x:c r="C1" s="30" t="str">
        <x:v>Título</x:v>
      </x:c>
      <x:c r="D1" s="30" t="str">
        <x:v>Decisão IA provisória</x:v>
      </x:c>
      <x:c r="E1" s="30" t="str">
        <x:v>Justificativa IA</x:v>
      </x:c>
      <x:c r="F1" s="30" t="str">
        <x:v>Revisor humano</x:v>
      </x:c>
      <x:c r="G1" s="30" t="str">
        <x:v>Data humana</x:v>
      </x:c>
      <x:c r="H1" s="30" t="str">
        <x:v>Decisão humana</x:v>
      </x:c>
      <x:c r="I1" s="30" t="str">
        <x:v>Justificativa humana</x:v>
      </x:c>
      <x:c r="J1" s="30" t="str">
        <x:v>Confirmação humana</x:v>
      </x:c>
      <x:c r="K1" s="30" t="str">
        <x:v>Claim-Ready</x:v>
      </x:c>
    </x:row>
    <x:row r="2" ht="15" hidden="0" customHeight="1">
      <x:c r="A2" s="32" t="str">
        <x:v>EV-0668</x:v>
      </x:c>
      <x:c r="B2" s="32" t="str">
        <x:v>36141388</x:v>
      </x:c>
      <x:c r="C2" s="32" t="str">
        <x:v>Development of an Evidence-Informed Solution to Emotional Distress in Public Safety Personnel and Healthcare Workers: The Social Support, Tracking Distress, Education, and Discussion CommunitY (STEADY) Program</x:v>
      </x:c>
      <x:c r="D2" s="32" t="str">
        <x:v>INCLUDE_FULL_TEXT</x:v>
      </x:c>
      <x:c r="E2" s="32" t="str">
        <x:v>Relevant conceptual and implementation source for occupational stress prevention, with no effectiveness evaluation.</x:v>
      </x:c>
      <x:c r="F2" s="34" t="str"/>
      <x:c r="G2" s="34" t="str"/>
      <x:c r="H2" s="34" t="str"/>
      <x:c r="I2" s="34" t="str"/>
      <x:c r="J2" s="34" t="str"/>
      <x:c r="K2" s="32" t="str">
        <x:v>NO</x:v>
      </x:c>
    </x:row>
    <x:row r="3" ht="15" hidden="0" customHeight="1">
      <x:c r="A3" s="32" t="str">
        <x:v>EV-0787</x:v>
      </x:c>
      <x:c r="B3" s="32" t="str">
        <x:v>33933923</x:v>
      </x:c>
      <x:c r="C3" s="32" t="str">
        <x:v>Implementation of a New Hampshire community-initiated response to the opioid crisis: A mixed-methods process evaluation of Safe Station</x:v>
      </x:c>
      <x:c r="D3" s="32" t="str">
        <x:v>INCLUDE_FULL_TEXT</x:v>
      </x:c>
      <x:c r="E3" s="32" t="str">
        <x:v>Directly evaluates implementation determinants and metrics for a first-responder-linked access program.</x:v>
      </x:c>
      <x:c r="F3" s="34" t="str"/>
      <x:c r="G3" s="34" t="str"/>
      <x:c r="H3" s="34" t="str"/>
      <x:c r="I3" s="34" t="str"/>
      <x:c r="J3" s="34" t="str"/>
      <x:c r="K3" s="32" t="str">
        <x:v>NO</x:v>
      </x:c>
    </x:row>
    <x:row r="4" ht="15" hidden="0" customHeight="1">
      <x:c r="A4" s="32" t="str">
        <x:v>EV-0758</x:v>
      </x:c>
      <x:c r="B4" s="32" t="str">
        <x:v>34622213</x:v>
      </x:c>
      <x:c r="C4" s="32" t="str">
        <x:v>The Readiness, Resilience and Recovery Tool: An Emerging Approach to Enhance Readiness Amidst Disruption</x:v>
      </x:c>
      <x:c r="D4" s="32" t="str">
        <x:v>INCLUDE_FULL_TEXT</x:v>
      </x:c>
      <x:c r="E4" s="32" t="str">
        <x:v>Relevant conceptual source for organizational readiness during disruption; empirical utility remains unverified.</x:v>
      </x:c>
      <x:c r="F4" s="34" t="str"/>
      <x:c r="G4" s="34" t="str"/>
      <x:c r="H4" s="34" t="str"/>
      <x:c r="I4" s="34" t="str"/>
      <x:c r="J4" s="34" t="str"/>
      <x:c r="K4" s="32" t="str">
        <x:v>NO</x:v>
      </x:c>
    </x:row>
    <x:row r="5" ht="15" hidden="0" customHeight="1">
      <x:c r="A5" s="32" t="str">
        <x:v>EV-0753</x:v>
      </x:c>
      <x:c r="B5" s="32" t="str">
        <x:v>34665820</x:v>
      </x:c>
      <x:c r="C5" s="32" t="str">
        <x:v>Implementation and perceived effectiveness of gun violence restraining orders in California: A qualitative evaluation</x:v>
      </x:c>
      <x:c r="D5" s="32" t="str">
        <x:v>INCLUDE_FULL_TEXT</x:v>
      </x:c>
      <x:c r="E5" s="32" t="str">
        <x:v>Direct implementation study involving law enforcement and policy actors.</x:v>
      </x:c>
      <x:c r="F5" s="34" t="str"/>
      <x:c r="G5" s="34" t="str"/>
      <x:c r="H5" s="34" t="str"/>
      <x:c r="I5" s="34" t="str"/>
      <x:c r="J5" s="34" t="str"/>
      <x:c r="K5" s="32" t="str">
        <x:v>NO</x:v>
      </x:c>
    </x:row>
    <x:row r="6" ht="15" hidden="0" customHeight="1">
      <x:c r="A6" s="32" t="str">
        <x:v>EV-0727</x:v>
      </x:c>
      <x:c r="B6" s="32" t="str">
        <x:v>35076700</x:v>
      </x:c>
      <x:c r="C6" s="32" t="str">
        <x:v>Perspectives About Emergency Department Care Encounters Among Adults With Opioid Use Disorder</x:v>
      </x:c>
      <x:c r="D6" s="32" t="str">
        <x:v>INCLUDE_FULL_TEXT</x:v>
      </x:c>
      <x:c r="E6" s="32" t="str">
        <x:v>Implementation-relevant patient perspectives on emergency care and treatment access.</x:v>
      </x:c>
      <x:c r="F6" s="34" t="str"/>
      <x:c r="G6" s="34" t="str"/>
      <x:c r="H6" s="34" t="str"/>
      <x:c r="I6" s="34" t="str"/>
      <x:c r="J6" s="34" t="str"/>
      <x:c r="K6" s="32" t="str">
        <x:v>NO</x:v>
      </x:c>
    </x:row>
    <x:row r="7" ht="15" hidden="0" customHeight="1">
      <x:c r="A7" s="32" t="str">
        <x:v>EV-0593</x:v>
      </x:c>
      <x:c r="B7" s="32" t="str">
        <x:v>37297641</x:v>
      </x:c>
      <x:c r="C7" s="32" t="str">
        <x:v>How Do We Keep our Heads above Water? An Embedded Mixed-Methods Study Exploring Implementation of a Workplace Reintegration Program for Nurses Affected by Operational Stress Injury</x:v>
      </x:c>
      <x:c r="D7" s="32" t="str">
        <x:v>INCLUDE_FULL_TEXT</x:v>
      </x:c>
      <x:c r="E7" s="32" t="str">
        <x:v>Relevant implementation evidence for workplace reintegration, with indirect occupational transferability.</x:v>
      </x:c>
      <x:c r="F7" s="34" t="str"/>
      <x:c r="G7" s="34" t="str"/>
      <x:c r="H7" s="34" t="str"/>
      <x:c r="I7" s="34" t="str"/>
      <x:c r="J7" s="34" t="str"/>
      <x:c r="K7" s="32" t="str">
        <x:v>NO</x:v>
      </x:c>
    </x:row>
    <x:row r="8" ht="15" hidden="0" customHeight="1">
      <x:c r="A8" s="32" t="str">
        <x:v>EV-0523</x:v>
      </x:c>
      <x:c r="B8" s="32" t="str">
        <x:v>38115970</x:v>
      </x:c>
      <x:c r="C8" s="32" t="str">
        <x:v>Implementation science in action: national organization of an ambitious first responder training program</x:v>
      </x:c>
      <x:c r="D8" s="32" t="str">
        <x:v>HUMAN_REVIEW_REQUIRED</x:v>
      </x:c>
      <x:c r="E8" s="32" t="str">
        <x:v>Full text is commentary without original methods or outcomes; a human must decide contextual-source eligibility.</x:v>
      </x:c>
      <x:c r="F8" s="34" t="str"/>
      <x:c r="G8" s="34" t="str"/>
      <x:c r="H8" s="34" t="str"/>
      <x:c r="I8" s="34" t="str"/>
      <x:c r="J8" s="34" t="str"/>
      <x:c r="K8" s="32" t="str">
        <x:v>NO</x:v>
      </x:c>
    </x:row>
    <x:row r="9" ht="15" hidden="0" customHeight="1">
      <x:c r="A9" s="32" t="str">
        <x:v>EV-0503</x:v>
      </x:c>
      <x:c r="B9" s="32" t="str">
        <x:v>38322801</x:v>
      </x:c>
      <x:c r="C9" s="32" t="str">
        <x:v>Barriers and enablers to implementing police mental health co-responder programs: A qualitative study using the consolidated framework for implementation research</x:v>
      </x:c>
      <x:c r="D9" s="32" t="str">
        <x:v>INCLUDE_FULL_TEXT</x:v>
      </x:c>
      <x:c r="E9" s="32" t="str">
        <x:v>Direct police implementation study with clearly bounded qualitative outcomes.</x:v>
      </x:c>
      <x:c r="F9" s="34" t="str"/>
      <x:c r="G9" s="34" t="str"/>
      <x:c r="H9" s="34" t="str"/>
      <x:c r="I9" s="34" t="str"/>
      <x:c r="J9" s="34" t="str"/>
      <x:c r="K9" s="32" t="str">
        <x:v>NO</x:v>
      </x:c>
    </x:row>
    <x:row r="10" ht="15" hidden="0" customHeight="1">
      <x:c r="A10" s="32" t="str">
        <x:v>EV-0447</x:v>
      </x:c>
      <x:c r="B10" s="32" t="str">
        <x:v>39028235</x:v>
      </x:c>
      <x:c r="C10" s="32" t="str">
        <x:v>Harm Reduction in the Field: First Responders’ Perceptions of Opioid Overdose Interventions</x:v>
      </x:c>
      <x:c r="D10" s="32" t="str">
        <x:v>INCLUDE_FULL_TEXT</x:v>
      </x:c>
      <x:c r="E10" s="32" t="str">
        <x:v>Direct implementation study of first-responder overdose interventions.</x:v>
      </x:c>
      <x:c r="F10" s="34" t="str"/>
      <x:c r="G10" s="34" t="str"/>
      <x:c r="H10" s="34" t="str"/>
      <x:c r="I10" s="34" t="str"/>
      <x:c r="J10" s="34" t="str"/>
      <x:c r="K10" s="32" t="str">
        <x:v>NO</x:v>
      </x:c>
    </x:row>
    <x:row r="11" ht="15" hidden="0" customHeight="1">
      <x:c r="A11" s="32" t="str">
        <x:v>EV-0425</x:v>
      </x:c>
      <x:c r="B11" s="32" t="str">
        <x:v>39205432</x:v>
      </x:c>
      <x:c r="C11" s="32" t="str">
        <x:v>“You might be nice, but where you take me, they’re not gonna be”: Preferences for field-based post-overdose interventions</x:v>
      </x:c>
      <x:c r="D11" s="32" t="str">
        <x:v>INCLUDE_FULL_TEXT</x:v>
      </x:c>
      <x:c r="E11" s="32" t="str">
        <x:v>Implementation-relevant service-user perspectives for field overdose care.</x:v>
      </x:c>
      <x:c r="F11" s="34" t="str"/>
      <x:c r="G11" s="34" t="str"/>
      <x:c r="H11" s="34" t="str"/>
      <x:c r="I11" s="34" t="str"/>
      <x:c r="J11" s="34" t="str"/>
      <x:c r="K11" s="32" t="str">
        <x:v>NO</x:v>
      </x:c>
    </x:row>
  </x:sheetData>
  <x:dataValidations count="2">
    <x:dataValidation type="list" sqref="H2:H11">
      <x:formula1>"Confirmar retenção,Confirmar exclusão,Solicitar esclarecimento,Solicitar nova avaliação"</x:formula1>
    </x:dataValidation>
    <x:dataValidation type="list" sqref="J2:J11">
      <x:formula1>"YES,NO"</x:formula1>
    </x:dataValidation>
  </x:dataValidations>
  <x:pageMargins left="0.7" right="0.7" top="0.75" bottom="0.75" header="0.3" footer="0.3"/>
</x:worksheet>
</file>