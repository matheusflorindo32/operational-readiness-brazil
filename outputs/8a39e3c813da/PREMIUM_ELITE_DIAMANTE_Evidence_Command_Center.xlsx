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e4a6a0b2149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959d01bdd1524bc0"/>
    <x:sheet xmlns:r="http://schemas.openxmlformats.org/officeDocument/2006/relationships" name="Dashboard" sheetId="2" r:id="R8e333113a45441e9"/>
    <x:sheet xmlns:r="http://schemas.openxmlformats.org/officeDocument/2006/relationships" name="Master Evidence" sheetId="3" r:id="R26a186c3e83d4d00"/>
    <x:sheet xmlns:r="http://schemas.openxmlformats.org/officeDocument/2006/relationships" name="Claim Links" sheetId="4" r:id="R71c06bf2a6a54c41"/>
    <x:sheet xmlns:r="http://schemas.openxmlformats.org/officeDocument/2006/relationships" name="Domain Coverage" sheetId="5" r:id="R09469be1f3344ca3"/>
    <x:sheet xmlns:r="http://schemas.openxmlformats.org/officeDocument/2006/relationships" name="Quality Integrity" sheetId="6" r:id="R4d719e6c99c54978"/>
    <x:sheet xmlns:r="http://schemas.openxmlformats.org/officeDocument/2006/relationships" name="Transferability" sheetId="7" r:id="R39c7572e21634c13"/>
    <x:sheet xmlns:r="http://schemas.openxmlformats.org/officeDocument/2006/relationships" name="Implementation" sheetId="8" r:id="R6877c7984b7d42b3"/>
    <x:sheet xmlns:r="http://schemas.openxmlformats.org/officeDocument/2006/relationships" name="Search Provenance" sheetId="9" r:id="R99a4ca30e3154a5e"/>
    <x:sheet xmlns:r="http://schemas.openxmlformats.org/officeDocument/2006/relationships" name="Zotero Control" sheetId="10" r:id="Rf6f0ec6bb728416a"/>
    <x:sheet xmlns:r="http://schemas.openxmlformats.org/officeDocument/2006/relationships" name="Full Text Control" sheetId="11" r:id="R2598fa30eaf44316"/>
    <x:sheet xmlns:r="http://schemas.openxmlformats.org/officeDocument/2006/relationships" name="Gaps Future" sheetId="12" r:id="Rbffdd2a69e6d4cb6"/>
    <x:sheet xmlns:r="http://schemas.openxmlformats.org/officeDocument/2006/relationships" name="Release Gates" sheetId="13" r:id="Rf58ff78b831b464f"/>
    <x:sheet xmlns:r="http://schemas.openxmlformats.org/officeDocument/2006/relationships" name="Lists Rules" sheetId="14" r:id="R27bbddde91f549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 hh:mm:ss"/>
    <x:numFmt numFmtId="201" formatCode="0"/>
    <x:numFmt numFmtId="202" formatCode="yyyy-mm-dd"/>
    <x:numFmt numFmtId="203" formatCode="#,##0"/>
    <x:numFmt numFmtId="204" formatCode="0.0"/>
    <x:numFmt numFmtId="205" formatCode="0%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7365D"/>
      <x:name val="Carlito"/>
    </x:font>
    <x:font>
      <x:b/>
      <x:sz val="10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Carlito"/>
    </x:font>
    <x:font>
      <x:b/>
      <x:sz val="15"/>
      <x:color rgb="FFFFFFFF"/>
      <x:name val="Carlito"/>
    </x:font>
    <x:font>
      <x:sz val="9"/>
      <x:color rgb="FF1F2937"/>
      <x:name val="Carlito"/>
    </x:font>
    <x:font>
      <x:b/>
      <x:sz val="12"/>
      <x:color rgb="FFD64550"/>
      <x:name val="Carlito"/>
    </x:font>
    <x:font>
      <x:b/>
      <x:sz val="22"/>
      <x:color rgb="FF0B132B"/>
      <x:name val="Carlito"/>
    </x:font>
  </x:fonts>
  <x:fills count="24">
    <x:fill>
      <x:patternFill patternType="none"/>
    </x:fill>
    <x:fill>
      <x:patternFill patternType="gray125"/>
    </x:fill>
    <x:fill>
      <x:patternFill patternType="solid">
        <x:fgColor rgb="FF0B132B"/>
      </x:patternFill>
    </x:fill>
    <x:fill>
      <x:patternFill patternType="solid">
        <x:fgColor rgb="FFEAF9FC"/>
      </x:patternFill>
    </x:fill>
    <x:fill>
      <x:patternFill patternType="solid">
        <x:fgColor rgb="FF17365D"/>
      </x:patternFill>
    </x:fill>
    <x:fill>
      <x:patternFill patternType="solid">
        <x:fgColor rgb="FFEEF2F7"/>
      </x:patternFill>
    </x:fill>
    <x:fill>
      <x:patternFill patternType="solid">
        <x:fgColor rgb="FF00A6C7"/>
      </x:patternFill>
    </x:fill>
    <x:fill>
      <x:patternFill patternType="solid">
        <x:fgColor rgb="FF2A6F97"/>
      </x:patternFill>
    </x:fill>
    <x:fill>
      <x:patternFill patternType="solid">
        <x:fgColor rgb="FF3A7D44"/>
      </x:patternFill>
    </x:fill>
    <x:fill>
      <x:patternFill patternType="solid">
        <x:fgColor rgb="FF6A4C93"/>
      </x:patternFill>
    </x:fill>
    <x:fill>
      <x:patternFill patternType="solid">
        <x:fgColor rgb="FF9C6644"/>
      </x:patternFill>
    </x:fill>
    <x:fill>
      <x:patternFill patternType="solid">
        <x:fgColor rgb="FF006D77"/>
      </x:patternFill>
    </x:fill>
    <x:fill>
      <x:patternFill patternType="solid">
        <x:fgColor rgb="FF7F5539"/>
      </x:patternFill>
    </x:fill>
    <x:fill>
      <x:patternFill patternType="solid">
        <x:fgColor rgb="FF5E548E"/>
      </x:patternFill>
    </x:fill>
    <x:fill>
      <x:patternFill patternType="solid">
        <x:fgColor rgb="FF386641"/>
      </x:patternFill>
    </x:fill>
    <x:fill>
      <x:patternFill patternType="solid">
        <x:fgColor rgb="FF8A5A44"/>
      </x:patternFill>
    </x:fill>
    <x:fill>
      <x:patternFill patternType="solid">
        <x:fgColor rgb="FF415A77"/>
      </x:patternFill>
    </x:fill>
    <x:fill>
      <x:patternFill patternType="solid">
        <x:fgColor rgb="FFFBE5E7"/>
      </x:patternFill>
    </x:fill>
    <x:fill>
      <x:patternFill patternType="solid">
        <x:fgColor rgb="FFDDF6FB"/>
      </x:patternFill>
    </x:fill>
    <x:fill>
      <x:patternFill patternType="solid">
        <x:fgColor rgb="FFDDF6EA"/>
      </x:patternFill>
    </x:fill>
    <x:fill>
      <x:patternFill patternType="solid">
        <x:fgColor rgb="FFFFF5CC"/>
      </x:patternFill>
    </x:fill>
    <x:fill>
      <x:patternFill patternType="solid">
        <x:fgColor rgb="FFE3F0FF"/>
      </x:patternFill>
    </x:fill>
    <x:fill>
      <x:patternFill patternType="solid">
        <x:fgColor rgb="FFEEE9FF"/>
      </x:patternFill>
    </x:fill>
    <x:fill>
      <x:patternFill patternType="solid">
        <x:fgColor rgb="FFD4AF37"/>
      </x:patternFill>
    </x:fill>
  </x:fills>
  <x:borders count="24">
    <x:border/>
    <x:border>
      <x:left style="medium">
        <x:color rgb="FFD4AF37"/>
      </x:left>
      <x:top style="medium">
        <x:color rgb="FFD4AF37"/>
      </x:top>
      <x:bottom style="medium">
        <x:color rgb="FFD4AF37"/>
      </x:bottom>
    </x:border>
    <x:border>
      <x:top style="medium">
        <x:color rgb="FFD4AF37"/>
      </x:top>
      <x:bottom style="medium">
        <x:color rgb="FFD4AF37"/>
      </x:bottom>
    </x:border>
    <x:border>
      <x:right style="medium">
        <x:color rgb="FFD4AF37"/>
      </x:right>
      <x:top style="medium">
        <x:color rgb="FFD4AF37"/>
      </x:top>
      <x:bottom style="medium">
        <x:color rgb="FFD4AF37"/>
      </x:bottom>
    </x:border>
    <x:border>
      <x:bottom style="thin">
        <x:color rgb="FF00A6C7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medium">
        <x:color rgb="FFD4AF37"/>
      </x:bottom>
    </x:border>
    <x:border>
      <x:left style="thin">
        <x:color rgb="FFFFFFFF"/>
      </x:left>
      <x:top style="thin">
        <x:color rgb="FFFFFFFF"/>
      </x:top>
      <x:bottom style="thin">
        <x:color rgb="FFFFFFFF"/>
      </x:bottom>
    </x:border>
    <x:border>
      <x:top style="thin">
        <x:color rgb="FFFFFFFF"/>
      </x:top>
      <x:bottom style="thin">
        <x:color rgb="FFFFFFFF"/>
      </x:bottom>
    </x:border>
    <x:border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medium">
        <x:color rgb="FFD64550"/>
      </x:left>
      <x:top style="medium">
        <x:color rgb="FFD64550"/>
      </x:top>
    </x:border>
    <x:border>
      <x:top style="medium">
        <x:color rgb="FFD64550"/>
      </x:top>
    </x:border>
    <x:border>
      <x:right style="medium">
        <x:color rgb="FFD64550"/>
      </x:right>
      <x:top style="medium">
        <x:color rgb="FFD64550"/>
      </x:top>
    </x:border>
    <x:border>
      <x:left style="medium">
        <x:color rgb="FFD64550"/>
      </x:left>
      <x:bottom style="medium">
        <x:color rgb="FFD64550"/>
      </x:bottom>
    </x:border>
    <x:border>
      <x:bottom style="medium">
        <x:color rgb="FFD64550"/>
      </x:bottom>
    </x:border>
    <x:border>
      <x:right style="medium">
        <x:color rgb="FFD64550"/>
      </x:right>
      <x:bottom style="medium">
        <x:color rgb="FFD64550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4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2" xfId="0" applyNumberFormat="1" applyFont="1" applyFill="1" applyBorder="1" applyAlignment="1">
      <x:alignment horizontal="left"/>
    </x:xf>
    <x:xf numFmtId="0" fontId="1" fillId="2" borderId="3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3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4" xfId="0" applyNumberFormat="1" applyFont="1" applyFill="1" applyBorder="1"/>
    <x:xf numFmtId="0" fontId="2" fillId="3" borderId="4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20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5" xfId="0" applyNumberFormat="1" applyFont="1" applyFill="1" applyBorder="1"/>
    <x:xf numFmtId="0" fontId="3" fillId="6" borderId="5" xfId="0" applyNumberFormat="1" applyFont="1" applyFill="1" applyBorder="1" applyAlignment="1">
      <x:alignment wrapText="1"/>
    </x:xf>
    <x:xf numFmtId="0" fontId="3" fillId="6" borderId="5" xfId="0" applyNumberFormat="1" applyFont="1" applyFill="1" applyBorder="1" applyAlignment="1">
      <x:alignment horizontal="center" wrapText="1"/>
    </x:xf>
    <x:xf numFmtId="0" fontId="3" fillId="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6" xfId="0" applyNumberFormat="1" applyFont="1" applyFill="1" applyBorder="1"/>
    <x:xf numFmtId="0" fontId="6" fillId="2" borderId="6" xfId="0" applyNumberFormat="1" applyFont="1" applyFill="1" applyBorder="1" applyAlignment="1">
      <x:alignment vertical="center"/>
    </x:xf>
    <x:xf numFmtId="0" fontId="3" fillId="4" borderId="7" xfId="0" applyNumberFormat="1" applyFont="1" applyFill="1" applyBorder="1"/>
    <x:xf numFmtId="0" fontId="3" fillId="4" borderId="8" xfId="0" applyNumberFormat="1" applyFont="1" applyFill="1" applyBorder="1"/>
    <x:xf numFmtId="0" fontId="3" fillId="4" borderId="9" xfId="0" applyNumberFormat="1" applyFont="1" applyFill="1" applyBorder="1"/>
    <x:xf numFmtId="0" fontId="3" fillId="4" borderId="7" xfId="0" applyNumberFormat="1" applyFont="1" applyFill="1" applyBorder="1" applyAlignment="1">
      <x:alignment horizontal="center"/>
    </x:xf>
    <x:xf numFmtId="0" fontId="3" fillId="4" borderId="8" xfId="0" applyNumberFormat="1" applyFont="1" applyFill="1" applyBorder="1" applyAlignment="1">
      <x:alignment horizontal="center"/>
    </x:xf>
    <x:xf numFmtId="0" fontId="3" fillId="4" borderId="9" xfId="0" applyNumberFormat="1" applyFont="1" applyFill="1" applyBorder="1" applyAlignment="1">
      <x:alignment horizontal="center"/>
    </x:xf>
    <x:xf numFmtId="0" fontId="3" fillId="4" borderId="7" xfId="0" applyNumberFormat="1" applyFont="1" applyFill="1" applyBorder="1" applyAlignment="1">
      <x:alignment horizontal="center" vertical="center"/>
    </x:xf>
    <x:xf numFmtId="0" fontId="3" fillId="4" borderId="8" xfId="0" applyNumberFormat="1" applyFont="1" applyFill="1" applyBorder="1" applyAlignment="1">
      <x:alignment horizontal="center" vertical="center"/>
    </x:xf>
    <x:xf numFmtId="0" fontId="3" fillId="4" borderId="9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/>
    <x:xf numFmtId="0" fontId="3" fillId="6" borderId="8" xfId="0" applyNumberFormat="1" applyFont="1" applyFill="1" applyBorder="1"/>
    <x:xf numFmtId="0" fontId="3" fillId="6" borderId="9" xfId="0" applyNumberFormat="1" applyFont="1" applyFill="1" applyBorder="1"/>
    <x:xf numFmtId="0" fontId="3" fillId="6" borderId="7" xfId="0" applyNumberFormat="1" applyFont="1" applyFill="1" applyBorder="1" applyAlignment="1">
      <x:alignment horizontal="center"/>
    </x:xf>
    <x:xf numFmtId="0" fontId="3" fillId="6" borderId="8" xfId="0" applyNumberFormat="1" applyFont="1" applyFill="1" applyBorder="1" applyAlignment="1">
      <x:alignment horizontal="center"/>
    </x:xf>
    <x:xf numFmtId="0" fontId="3" fillId="6" borderId="9" xfId="0" applyNumberFormat="1" applyFont="1" applyFill="1" applyBorder="1" applyAlignment="1">
      <x:alignment horizont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6" borderId="8" xfId="0" applyNumberFormat="1" applyFont="1" applyFill="1" applyBorder="1" applyAlignment="1">
      <x:alignment horizontal="center" vertical="center"/>
    </x:xf>
    <x:xf numFmtId="0" fontId="3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7" xfId="0" applyNumberFormat="1" applyFont="1" applyFill="1" applyBorder="1"/>
    <x:xf numFmtId="0" fontId="3" fillId="7" borderId="8" xfId="0" applyNumberFormat="1" applyFont="1" applyFill="1" applyBorder="1"/>
    <x:xf numFmtId="0" fontId="3" fillId="7" borderId="9" xfId="0" applyNumberFormat="1" applyFont="1" applyFill="1" applyBorder="1"/>
    <x:xf numFmtId="0" fontId="3" fillId="7" borderId="7" xfId="0" applyNumberFormat="1" applyFont="1" applyFill="1" applyBorder="1" applyAlignment="1">
      <x:alignment horizontal="center"/>
    </x:xf>
    <x:xf numFmtId="0" fontId="3" fillId="7" borderId="8" xfId="0" applyNumberFormat="1" applyFont="1" applyFill="1" applyBorder="1" applyAlignment="1">
      <x:alignment horizontal="center"/>
    </x:xf>
    <x:xf numFmtId="0" fontId="3" fillId="7" borderId="9" xfId="0" applyNumberFormat="1" applyFont="1" applyFill="1" applyBorder="1" applyAlignment="1">
      <x:alignment horizontal="center"/>
    </x:xf>
    <x:xf numFmtId="0" fontId="3" fillId="7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7" xfId="0" applyNumberFormat="1" applyFont="1" applyFill="1" applyBorder="1"/>
    <x:xf numFmtId="0" fontId="3" fillId="8" borderId="8" xfId="0" applyNumberFormat="1" applyFont="1" applyFill="1" applyBorder="1"/>
    <x:xf numFmtId="0" fontId="3" fillId="8" borderId="9" xfId="0" applyNumberFormat="1" applyFont="1" applyFill="1" applyBorder="1"/>
    <x:xf numFmtId="0" fontId="3" fillId="8" borderId="7" xfId="0" applyNumberFormat="1" applyFont="1" applyFill="1" applyBorder="1" applyAlignment="1">
      <x:alignment horizontal="center"/>
    </x:xf>
    <x:xf numFmtId="0" fontId="3" fillId="8" borderId="8" xfId="0" applyNumberFormat="1" applyFont="1" applyFill="1" applyBorder="1" applyAlignment="1">
      <x:alignment horizontal="center"/>
    </x:xf>
    <x:xf numFmtId="0" fontId="3" fillId="8" borderId="9" xfId="0" applyNumberFormat="1" applyFont="1" applyFill="1" applyBorder="1" applyAlignment="1">
      <x:alignment horizontal="center"/>
    </x:xf>
    <x:xf numFmtId="0" fontId="3" fillId="8" borderId="7" xfId="0" applyNumberFormat="1" applyFont="1" applyFill="1" applyBorder="1" applyAlignment="1">
      <x:alignment horizontal="center" vertical="center"/>
    </x:xf>
    <x:xf numFmtId="0" fontId="3" fillId="8" borderId="8" xfId="0" applyNumberFormat="1" applyFont="1" applyFill="1" applyBorder="1" applyAlignment="1">
      <x:alignment horizontal="center" vertical="center"/>
    </x:xf>
    <x:xf numFmtId="0" fontId="3" fillId="8" borderId="9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7" xfId="0" applyNumberFormat="1" applyFont="1" applyFill="1" applyBorder="1"/>
    <x:xf numFmtId="0" fontId="3" fillId="9" borderId="8" xfId="0" applyNumberFormat="1" applyFont="1" applyFill="1" applyBorder="1"/>
    <x:xf numFmtId="0" fontId="3" fillId="9" borderId="9" xfId="0" applyNumberFormat="1" applyFont="1" applyFill="1" applyBorder="1"/>
    <x:xf numFmtId="0" fontId="3" fillId="9" borderId="7" xfId="0" applyNumberFormat="1" applyFont="1" applyFill="1" applyBorder="1" applyAlignment="1">
      <x:alignment horizontal="center"/>
    </x:xf>
    <x:xf numFmtId="0" fontId="3" fillId="9" borderId="8" xfId="0" applyNumberFormat="1" applyFont="1" applyFill="1" applyBorder="1" applyAlignment="1">
      <x:alignment horizontal="center"/>
    </x:xf>
    <x:xf numFmtId="0" fontId="3" fillId="9" borderId="9" xfId="0" applyNumberFormat="1" applyFont="1" applyFill="1" applyBorder="1" applyAlignment="1">
      <x:alignment horizontal="center"/>
    </x:xf>
    <x:xf numFmtId="0" fontId="3" fillId="9" borderId="7" xfId="0" applyNumberFormat="1" applyFont="1" applyFill="1" applyBorder="1" applyAlignment="1">
      <x:alignment horizontal="center" vertical="center"/>
    </x:xf>
    <x:xf numFmtId="0" fontId="3" fillId="9" borderId="8" xfId="0" applyNumberFormat="1" applyFont="1" applyFill="1" applyBorder="1" applyAlignment="1">
      <x:alignment horizontal="center" vertical="center"/>
    </x:xf>
    <x:xf numFmtId="0" fontId="3" fillId="9" borderId="9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7" xfId="0" applyNumberFormat="1" applyFont="1" applyFill="1" applyBorder="1"/>
    <x:xf numFmtId="0" fontId="3" fillId="10" borderId="8" xfId="0" applyNumberFormat="1" applyFont="1" applyFill="1" applyBorder="1"/>
    <x:xf numFmtId="0" fontId="3" fillId="10" borderId="9" xfId="0" applyNumberFormat="1" applyFont="1" applyFill="1" applyBorder="1"/>
    <x:xf numFmtId="0" fontId="3" fillId="10" borderId="7" xfId="0" applyNumberFormat="1" applyFont="1" applyFill="1" applyBorder="1" applyAlignment="1">
      <x:alignment horizontal="center"/>
    </x:xf>
    <x:xf numFmtId="0" fontId="3" fillId="10" borderId="8" xfId="0" applyNumberFormat="1" applyFont="1" applyFill="1" applyBorder="1" applyAlignment="1">
      <x:alignment horizontal="center"/>
    </x:xf>
    <x:xf numFmtId="0" fontId="3" fillId="10" borderId="9" xfId="0" applyNumberFormat="1" applyFont="1" applyFill="1" applyBorder="1" applyAlignment="1">
      <x:alignment horizontal="center"/>
    </x:xf>
    <x:xf numFmtId="0" fontId="3" fillId="10" borderId="7" xfId="0" applyNumberFormat="1" applyFont="1" applyFill="1" applyBorder="1" applyAlignment="1">
      <x:alignment horizontal="center" vertical="center"/>
    </x:xf>
    <x:xf numFmtId="0" fontId="3" fillId="10" borderId="8" xfId="0" applyNumberFormat="1" applyFont="1" applyFill="1" applyBorder="1" applyAlignment="1">
      <x:alignment horizontal="center" vertical="center"/>
    </x:xf>
    <x:xf numFmtId="0" fontId="3" fillId="10" borderId="9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7" xfId="0" applyNumberFormat="1" applyFont="1" applyFill="1" applyBorder="1"/>
    <x:xf numFmtId="0" fontId="3" fillId="11" borderId="8" xfId="0" applyNumberFormat="1" applyFont="1" applyFill="1" applyBorder="1"/>
    <x:xf numFmtId="0" fontId="3" fillId="11" borderId="9" xfId="0" applyNumberFormat="1" applyFont="1" applyFill="1" applyBorder="1"/>
    <x:xf numFmtId="0" fontId="3" fillId="11" borderId="7" xfId="0" applyNumberFormat="1" applyFont="1" applyFill="1" applyBorder="1" applyAlignment="1">
      <x:alignment horizontal="center"/>
    </x:xf>
    <x:xf numFmtId="0" fontId="3" fillId="11" borderId="8" xfId="0" applyNumberFormat="1" applyFont="1" applyFill="1" applyBorder="1" applyAlignment="1">
      <x:alignment horizontal="center"/>
    </x:xf>
    <x:xf numFmtId="0" fontId="3" fillId="11" borderId="9" xfId="0" applyNumberFormat="1" applyFont="1" applyFill="1" applyBorder="1" applyAlignment="1">
      <x:alignment horizontal="center"/>
    </x:xf>
    <x:xf numFmtId="0" fontId="3" fillId="11" borderId="7" xfId="0" applyNumberFormat="1" applyFont="1" applyFill="1" applyBorder="1" applyAlignment="1">
      <x:alignment horizontal="center" vertical="center"/>
    </x:xf>
    <x:xf numFmtId="0" fontId="3" fillId="11" borderId="8" xfId="0" applyNumberFormat="1" applyFont="1" applyFill="1" applyBorder="1" applyAlignment="1">
      <x:alignment horizontal="center" vertical="center"/>
    </x:xf>
    <x:xf numFmtId="0" fontId="3" fillId="11" borderId="9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7" xfId="0" applyNumberFormat="1" applyFont="1" applyFill="1" applyBorder="1"/>
    <x:xf numFmtId="0" fontId="3" fillId="12" borderId="8" xfId="0" applyNumberFormat="1" applyFont="1" applyFill="1" applyBorder="1"/>
    <x:xf numFmtId="0" fontId="3" fillId="12" borderId="9" xfId="0" applyNumberFormat="1" applyFont="1" applyFill="1" applyBorder="1"/>
    <x:xf numFmtId="0" fontId="3" fillId="12" borderId="7" xfId="0" applyNumberFormat="1" applyFont="1" applyFill="1" applyBorder="1" applyAlignment="1">
      <x:alignment horizontal="center"/>
    </x:xf>
    <x:xf numFmtId="0" fontId="3" fillId="12" borderId="8" xfId="0" applyNumberFormat="1" applyFont="1" applyFill="1" applyBorder="1" applyAlignment="1">
      <x:alignment horizontal="center"/>
    </x:xf>
    <x:xf numFmtId="0" fontId="3" fillId="12" borderId="9" xfId="0" applyNumberFormat="1" applyFont="1" applyFill="1" applyBorder="1" applyAlignment="1">
      <x:alignment horizontal="center"/>
    </x:xf>
    <x:xf numFmtId="0" fontId="3" fillId="12" borderId="7" xfId="0" applyNumberFormat="1" applyFont="1" applyFill="1" applyBorder="1" applyAlignment="1">
      <x:alignment horizontal="center" vertical="center"/>
    </x:xf>
    <x:xf numFmtId="0" fontId="3" fillId="12" borderId="8" xfId="0" applyNumberFormat="1" applyFont="1" applyFill="1" applyBorder="1" applyAlignment="1">
      <x:alignment horizontal="center" vertical="center"/>
    </x:xf>
    <x:xf numFmtId="0" fontId="3" fillId="12" borderId="9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7" xfId="0" applyNumberFormat="1" applyFont="1" applyFill="1" applyBorder="1"/>
    <x:xf numFmtId="0" fontId="3" fillId="13" borderId="8" xfId="0" applyNumberFormat="1" applyFont="1" applyFill="1" applyBorder="1"/>
    <x:xf numFmtId="0" fontId="3" fillId="13" borderId="9" xfId="0" applyNumberFormat="1" applyFont="1" applyFill="1" applyBorder="1"/>
    <x:xf numFmtId="0" fontId="3" fillId="13" borderId="7" xfId="0" applyNumberFormat="1" applyFont="1" applyFill="1" applyBorder="1" applyAlignment="1">
      <x:alignment horizontal="center"/>
    </x:xf>
    <x:xf numFmtId="0" fontId="3" fillId="13" borderId="8" xfId="0" applyNumberFormat="1" applyFont="1" applyFill="1" applyBorder="1" applyAlignment="1">
      <x:alignment horizontal="center"/>
    </x:xf>
    <x:xf numFmtId="0" fontId="3" fillId="13" borderId="9" xfId="0" applyNumberFormat="1" applyFont="1" applyFill="1" applyBorder="1" applyAlignment="1">
      <x:alignment horizontal="center"/>
    </x:xf>
    <x:xf numFmtId="0" fontId="3" fillId="13" borderId="7" xfId="0" applyNumberFormat="1" applyFont="1" applyFill="1" applyBorder="1" applyAlignment="1">
      <x:alignment horizontal="center" vertical="center"/>
    </x:xf>
    <x:xf numFmtId="0" fontId="3" fillId="13" borderId="8" xfId="0" applyNumberFormat="1" applyFont="1" applyFill="1" applyBorder="1" applyAlignment="1">
      <x:alignment horizontal="center" vertical="center"/>
    </x:xf>
    <x:xf numFmtId="0" fontId="3" fillId="13" borderId="9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3" fillId="14" borderId="0" xfId="0" applyNumberFormat="1" applyFont="1" applyFill="1" applyBorder="1"/>
    <x:xf numFmtId="0" fontId="3" fillId="14" borderId="7" xfId="0" applyNumberFormat="1" applyFont="1" applyFill="1" applyBorder="1"/>
    <x:xf numFmtId="0" fontId="3" fillId="14" borderId="8" xfId="0" applyNumberFormat="1" applyFont="1" applyFill="1" applyBorder="1"/>
    <x:xf numFmtId="0" fontId="3" fillId="14" borderId="9" xfId="0" applyNumberFormat="1" applyFont="1" applyFill="1" applyBorder="1"/>
    <x:xf numFmtId="0" fontId="3" fillId="14" borderId="7" xfId="0" applyNumberFormat="1" applyFont="1" applyFill="1" applyBorder="1" applyAlignment="1">
      <x:alignment horizontal="center"/>
    </x:xf>
    <x:xf numFmtId="0" fontId="3" fillId="14" borderId="8" xfId="0" applyNumberFormat="1" applyFont="1" applyFill="1" applyBorder="1" applyAlignment="1">
      <x:alignment horizontal="center"/>
    </x:xf>
    <x:xf numFmtId="0" fontId="3" fillId="14" borderId="9" xfId="0" applyNumberFormat="1" applyFont="1" applyFill="1" applyBorder="1" applyAlignment="1">
      <x:alignment horizontal="center"/>
    </x:xf>
    <x:xf numFmtId="0" fontId="3" fillId="14" borderId="7" xfId="0" applyNumberFormat="1" applyFont="1" applyFill="1" applyBorder="1" applyAlignment="1">
      <x:alignment horizontal="center" vertical="center"/>
    </x:xf>
    <x:xf numFmtId="0" fontId="3" fillId="14" borderId="8" xfId="0" applyNumberFormat="1" applyFont="1" applyFill="1" applyBorder="1" applyAlignment="1">
      <x:alignment horizontal="center" vertical="center"/>
    </x:xf>
    <x:xf numFmtId="0" fontId="3" fillId="14" borderId="9" xfId="0" applyNumberFormat="1" applyFont="1" applyFill="1" applyBorder="1" applyAlignment="1">
      <x:alignment horizontal="center"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7" xfId="0" applyNumberFormat="1" applyFont="1" applyFill="1" applyBorder="1"/>
    <x:xf numFmtId="0" fontId="3" fillId="15" borderId="8" xfId="0" applyNumberFormat="1" applyFont="1" applyFill="1" applyBorder="1"/>
    <x:xf numFmtId="0" fontId="3" fillId="15" borderId="9" xfId="0" applyNumberFormat="1" applyFont="1" applyFill="1" applyBorder="1"/>
    <x:xf numFmtId="0" fontId="3" fillId="15" borderId="7" xfId="0" applyNumberFormat="1" applyFont="1" applyFill="1" applyBorder="1" applyAlignment="1">
      <x:alignment horizontal="center"/>
    </x:xf>
    <x:xf numFmtId="0" fontId="3" fillId="15" borderId="8" xfId="0" applyNumberFormat="1" applyFont="1" applyFill="1" applyBorder="1" applyAlignment="1">
      <x:alignment horizontal="center"/>
    </x:xf>
    <x:xf numFmtId="0" fontId="3" fillId="15" borderId="9" xfId="0" applyNumberFormat="1" applyFont="1" applyFill="1" applyBorder="1" applyAlignment="1">
      <x:alignment horizontal="center"/>
    </x:xf>
    <x:xf numFmtId="0" fontId="3" fillId="15" borderId="7" xfId="0" applyNumberFormat="1" applyFont="1" applyFill="1" applyBorder="1" applyAlignment="1">
      <x:alignment horizontal="center" vertical="center"/>
    </x:xf>
    <x:xf numFmtId="0" fontId="3" fillId="15" borderId="8" xfId="0" applyNumberFormat="1" applyFont="1" applyFill="1" applyBorder="1" applyAlignment="1">
      <x:alignment horizontal="center" vertical="center"/>
    </x:xf>
    <x:xf numFmtId="0" fontId="3" fillId="15" borderId="9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7" xfId="0" applyNumberFormat="1" applyFont="1" applyFill="1" applyBorder="1"/>
    <x:xf numFmtId="0" fontId="3" fillId="16" borderId="8" xfId="0" applyNumberFormat="1" applyFont="1" applyFill="1" applyBorder="1"/>
    <x:xf numFmtId="0" fontId="3" fillId="16" borderId="9" xfId="0" applyNumberFormat="1" applyFont="1" applyFill="1" applyBorder="1"/>
    <x:xf numFmtId="0" fontId="3" fillId="16" borderId="7" xfId="0" applyNumberFormat="1" applyFont="1" applyFill="1" applyBorder="1" applyAlignment="1">
      <x:alignment horizontal="center"/>
    </x:xf>
    <x:xf numFmtId="0" fontId="3" fillId="16" borderId="8" xfId="0" applyNumberFormat="1" applyFont="1" applyFill="1" applyBorder="1" applyAlignment="1">
      <x:alignment horizontal="center"/>
    </x:xf>
    <x:xf numFmtId="0" fontId="3" fillId="16" borderId="9" xfId="0" applyNumberFormat="1" applyFont="1" applyFill="1" applyBorder="1" applyAlignment="1">
      <x:alignment horizontal="center"/>
    </x:xf>
    <x:xf numFmtId="0" fontId="3" fillId="16" borderId="7" xfId="0" applyNumberFormat="1" applyFont="1" applyFill="1" applyBorder="1" applyAlignment="1">
      <x:alignment horizontal="center" vertical="center"/>
    </x:xf>
    <x:xf numFmtId="0" fontId="3" fillId="16" borderId="8" xfId="0" applyNumberFormat="1" applyFont="1" applyFill="1" applyBorder="1" applyAlignment="1">
      <x:alignment horizontal="center" vertical="center"/>
    </x:xf>
    <x:xf numFmtId="0" fontId="3" fillId="16" borderId="9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2" fontId="7" fillId="0" borderId="0" xfId="0" applyNumberFormat="1" applyFont="1" applyFill="1" applyBorder="1" applyAlignment="1">
      <x:alignment vertical="top" wrapText="1"/>
    </x:xf>
    <x:xf numFmtId="203" fontId="7" fillId="0" borderId="0" xfId="0" applyNumberFormat="1" applyFont="1" applyFill="1" applyBorder="1" applyAlignment="1">
      <x:alignment vertical="top" wrapText="1"/>
    </x:xf>
    <x:xf numFmtId="204" fontId="7" fillId="0" borderId="0" xfId="0" applyNumberFormat="1" applyFont="1" applyFill="1" applyBorder="1" applyAlignment="1">
      <x:alignment vertical="top" wrapText="1"/>
    </x:xf>
    <x:xf numFmtId="204" fontId="7" fillId="5" borderId="0" xfId="0" applyNumberFormat="1" applyFont="1" applyFill="1" applyBorder="1" applyAlignment="1">
      <x:alignment vertical="top" wrapText="1"/>
    </x:xf>
    <x:xf numFmtId="205" fontId="7" fillId="5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17" borderId="0" xfId="0" applyNumberFormat="1" applyFont="1" applyFill="1" applyBorder="1"/>
    <x:xf numFmtId="0" fontId="8" fillId="17" borderId="0" xfId="0" applyNumberFormat="1" applyFont="1" applyFill="1" applyBorder="1"/>
    <x:xf numFmtId="0" fontId="8" fillId="17" borderId="10" xfId="0" applyNumberFormat="1" applyFont="1" applyFill="1" applyBorder="1"/>
    <x:xf numFmtId="0" fontId="8" fillId="17" borderId="11" xfId="0" applyNumberFormat="1" applyFont="1" applyFill="1" applyBorder="1"/>
    <x:xf numFmtId="0" fontId="8" fillId="17" borderId="12" xfId="0" applyNumberFormat="1" applyFont="1" applyFill="1" applyBorder="1"/>
    <x:xf numFmtId="0" fontId="8" fillId="17" borderId="13" xfId="0" applyNumberFormat="1" applyFont="1" applyFill="1" applyBorder="1"/>
    <x:xf numFmtId="0" fontId="8" fillId="17" borderId="14" xfId="0" applyNumberFormat="1" applyFont="1" applyFill="1" applyBorder="1"/>
    <x:xf numFmtId="0" fontId="8" fillId="17" borderId="15" xfId="0" applyNumberFormat="1" applyFont="1" applyFill="1" applyBorder="1"/>
    <x:xf numFmtId="0" fontId="8" fillId="17" borderId="10" xfId="0" applyNumberFormat="1" applyFont="1" applyFill="1" applyBorder="1" applyAlignment="1">
      <x:alignment wrapText="1"/>
    </x:xf>
    <x:xf numFmtId="0" fontId="8" fillId="17" borderId="11" xfId="0" applyNumberFormat="1" applyFont="1" applyFill="1" applyBorder="1" applyAlignment="1">
      <x:alignment wrapText="1"/>
    </x:xf>
    <x:xf numFmtId="0" fontId="8" fillId="17" borderId="12" xfId="0" applyNumberFormat="1" applyFont="1" applyFill="1" applyBorder="1" applyAlignment="1">
      <x:alignment wrapText="1"/>
    </x:xf>
    <x:xf numFmtId="0" fontId="8" fillId="17" borderId="13" xfId="0" applyNumberFormat="1" applyFont="1" applyFill="1" applyBorder="1" applyAlignment="1">
      <x:alignment wrapText="1"/>
    </x:xf>
    <x:xf numFmtId="0" fontId="8" fillId="17" borderId="14" xfId="0" applyNumberFormat="1" applyFont="1" applyFill="1" applyBorder="1" applyAlignment="1">
      <x:alignment wrapText="1"/>
    </x:xf>
    <x:xf numFmtId="0" fontId="8" fillId="17" borderId="15" xfId="0" applyNumberFormat="1" applyFont="1" applyFill="1" applyBorder="1" applyAlignment="1">
      <x:alignment wrapText="1"/>
    </x:xf>
    <x:xf numFmtId="0" fontId="8" fillId="17" borderId="10" xfId="0" applyNumberFormat="1" applyFont="1" applyFill="1" applyBorder="1" applyAlignment="1">
      <x:alignment horizontal="center" wrapText="1"/>
    </x:xf>
    <x:xf numFmtId="0" fontId="8" fillId="17" borderId="11" xfId="0" applyNumberFormat="1" applyFont="1" applyFill="1" applyBorder="1" applyAlignment="1">
      <x:alignment horizontal="center" wrapText="1"/>
    </x:xf>
    <x:xf numFmtId="0" fontId="8" fillId="17" borderId="12" xfId="0" applyNumberFormat="1" applyFont="1" applyFill="1" applyBorder="1" applyAlignment="1">
      <x:alignment horizontal="center" wrapText="1"/>
    </x:xf>
    <x:xf numFmtId="0" fontId="8" fillId="17" borderId="13" xfId="0" applyNumberFormat="1" applyFont="1" applyFill="1" applyBorder="1" applyAlignment="1">
      <x:alignment horizontal="center" wrapText="1"/>
    </x:xf>
    <x:xf numFmtId="0" fontId="8" fillId="17" borderId="14" xfId="0" applyNumberFormat="1" applyFont="1" applyFill="1" applyBorder="1" applyAlignment="1">
      <x:alignment horizontal="center" wrapText="1"/>
    </x:xf>
    <x:xf numFmtId="0" fontId="8" fillId="17" borderId="15" xfId="0" applyNumberFormat="1" applyFont="1" applyFill="1" applyBorder="1" applyAlignment="1">
      <x:alignment horizontal="center" wrapText="1"/>
    </x:xf>
    <x:xf numFmtId="0" fontId="8" fillId="17" borderId="10" xfId="0" applyNumberFormat="1" applyFont="1" applyFill="1" applyBorder="1" applyAlignment="1">
      <x:alignment horizontal="center" vertical="center" wrapText="1"/>
    </x:xf>
    <x:xf numFmtId="0" fontId="8" fillId="17" borderId="11" xfId="0" applyNumberFormat="1" applyFont="1" applyFill="1" applyBorder="1" applyAlignment="1">
      <x:alignment horizontal="center" vertical="center" wrapText="1"/>
    </x:xf>
    <x:xf numFmtId="0" fontId="8" fillId="17" borderId="12" xfId="0" applyNumberFormat="1" applyFont="1" applyFill="1" applyBorder="1" applyAlignment="1">
      <x:alignment horizontal="center" vertical="center" wrapText="1"/>
    </x:xf>
    <x:xf numFmtId="0" fontId="8" fillId="17" borderId="13" xfId="0" applyNumberFormat="1" applyFont="1" applyFill="1" applyBorder="1" applyAlignment="1">
      <x:alignment horizontal="center" vertical="center" wrapText="1"/>
    </x:xf>
    <x:xf numFmtId="0" fontId="8" fillId="17" borderId="14" xfId="0" applyNumberFormat="1" applyFont="1" applyFill="1" applyBorder="1" applyAlignment="1">
      <x:alignment horizontal="center" vertical="center" wrapText="1"/>
    </x:xf>
    <x:xf numFmtId="0" fontId="8" fillId="17" borderId="15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16" xfId="0" applyNumberFormat="1" applyFont="1" applyFill="1" applyBorder="1"/>
    <x:xf numFmtId="0" fontId="9" fillId="18" borderId="17" xfId="0" applyNumberFormat="1" applyFont="1" applyFill="1" applyBorder="1"/>
    <x:xf numFmtId="0" fontId="9" fillId="18" borderId="18" xfId="0" applyNumberFormat="1" applyFont="1" applyFill="1" applyBorder="1"/>
    <x:xf numFmtId="0" fontId="9" fillId="18" borderId="19" xfId="0" applyNumberFormat="1" applyFont="1" applyFill="1" applyBorder="1"/>
    <x:xf numFmtId="0" fontId="9" fillId="18" borderId="20" xfId="0" applyNumberFormat="1" applyFont="1" applyFill="1" applyBorder="1"/>
    <x:xf numFmtId="0" fontId="9" fillId="18" borderId="21" xfId="0" applyNumberFormat="1" applyFont="1" applyFill="1" applyBorder="1"/>
    <x:xf numFmtId="0" fontId="9" fillId="18" borderId="22" xfId="0" applyNumberFormat="1" applyFont="1" applyFill="1" applyBorder="1"/>
    <x:xf numFmtId="0" fontId="9" fillId="18" borderId="23" xfId="0" applyNumberFormat="1" applyFont="1" applyFill="1" applyBorder="1"/>
    <x:xf numFmtId="0" fontId="9" fillId="18" borderId="16" xfId="0" applyNumberFormat="1" applyFont="1" applyFill="1" applyBorder="1" applyAlignment="1">
      <x:alignment horizontal="center"/>
    </x:xf>
    <x:xf numFmtId="0" fontId="9" fillId="18" borderId="17" xfId="0" applyNumberFormat="1" applyFont="1" applyFill="1" applyBorder="1" applyAlignment="1">
      <x:alignment horizontal="center"/>
    </x:xf>
    <x:xf numFmtId="0" fontId="9" fillId="18" borderId="18" xfId="0" applyNumberFormat="1" applyFont="1" applyFill="1" applyBorder="1" applyAlignment="1">
      <x:alignment horizontal="center"/>
    </x:xf>
    <x:xf numFmtId="0" fontId="9" fillId="18" borderId="19" xfId="0" applyNumberFormat="1" applyFont="1" applyFill="1" applyBorder="1" applyAlignment="1">
      <x:alignment horizontal="center"/>
    </x:xf>
    <x:xf numFmtId="0" fontId="9" fillId="18" borderId="0" xfId="0" applyNumberFormat="1" applyFont="1" applyFill="1" applyBorder="1" applyAlignment="1">
      <x:alignment horizontal="center"/>
    </x:xf>
    <x:xf numFmtId="0" fontId="9" fillId="18" borderId="20" xfId="0" applyNumberFormat="1" applyFont="1" applyFill="1" applyBorder="1" applyAlignment="1">
      <x:alignment horizontal="center"/>
    </x:xf>
    <x:xf numFmtId="0" fontId="9" fillId="18" borderId="21" xfId="0" applyNumberFormat="1" applyFont="1" applyFill="1" applyBorder="1" applyAlignment="1">
      <x:alignment horizontal="center"/>
    </x:xf>
    <x:xf numFmtId="0" fontId="9" fillId="18" borderId="22" xfId="0" applyNumberFormat="1" applyFont="1" applyFill="1" applyBorder="1" applyAlignment="1">
      <x:alignment horizontal="center"/>
    </x:xf>
    <x:xf numFmtId="0" fontId="9" fillId="18" borderId="23" xfId="0" applyNumberFormat="1" applyFont="1" applyFill="1" applyBorder="1" applyAlignment="1">
      <x:alignment horizontal="center"/>
    </x:xf>
    <x:xf numFmtId="0" fontId="9" fillId="18" borderId="16" xfId="0" applyNumberFormat="1" applyFont="1" applyFill="1" applyBorder="1" applyAlignment="1">
      <x:alignment horizontal="center" vertical="center"/>
    </x:xf>
    <x:xf numFmtId="0" fontId="9" fillId="18" borderId="17" xfId="0" applyNumberFormat="1" applyFont="1" applyFill="1" applyBorder="1" applyAlignment="1">
      <x:alignment horizontal="center" vertical="center"/>
    </x:xf>
    <x:xf numFmtId="0" fontId="9" fillId="18" borderId="18" xfId="0" applyNumberFormat="1" applyFont="1" applyFill="1" applyBorder="1" applyAlignment="1">
      <x:alignment horizontal="center" vertical="center"/>
    </x:xf>
    <x:xf numFmtId="0" fontId="9" fillId="18" borderId="19" xfId="0" applyNumberFormat="1" applyFont="1" applyFill="1" applyBorder="1" applyAlignment="1">
      <x:alignment horizontal="center" vertical="center"/>
    </x:xf>
    <x:xf numFmtId="0" fontId="9" fillId="18" borderId="0" xfId="0" applyNumberFormat="1" applyFont="1" applyFill="1" applyBorder="1" applyAlignment="1">
      <x:alignment horizontal="center" vertical="center"/>
    </x:xf>
    <x:xf numFmtId="0" fontId="9" fillId="18" borderId="20" xfId="0" applyNumberFormat="1" applyFont="1" applyFill="1" applyBorder="1" applyAlignment="1">
      <x:alignment horizontal="center" vertical="center"/>
    </x:xf>
    <x:xf numFmtId="0" fontId="9" fillId="18" borderId="21" xfId="0" applyNumberFormat="1" applyFont="1" applyFill="1" applyBorder="1" applyAlignment="1">
      <x:alignment horizontal="center" vertical="center"/>
    </x:xf>
    <x:xf numFmtId="0" fontId="9" fillId="18" borderId="22" xfId="0" applyNumberFormat="1" applyFont="1" applyFill="1" applyBorder="1" applyAlignment="1">
      <x:alignment horizontal="center" vertical="center"/>
    </x:xf>
    <x:xf numFmtId="0" fontId="9" fillId="18" borderId="23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16" xfId="0" applyNumberFormat="1" applyFont="1" applyFill="1" applyBorder="1"/>
    <x:xf numFmtId="0" fontId="9" fillId="19" borderId="17" xfId="0" applyNumberFormat="1" applyFont="1" applyFill="1" applyBorder="1"/>
    <x:xf numFmtId="0" fontId="9" fillId="19" borderId="18" xfId="0" applyNumberFormat="1" applyFont="1" applyFill="1" applyBorder="1"/>
    <x:xf numFmtId="0" fontId="9" fillId="19" borderId="19" xfId="0" applyNumberFormat="1" applyFont="1" applyFill="1" applyBorder="1"/>
    <x:xf numFmtId="0" fontId="9" fillId="19" borderId="20" xfId="0" applyNumberFormat="1" applyFont="1" applyFill="1" applyBorder="1"/>
    <x:xf numFmtId="0" fontId="9" fillId="19" borderId="21" xfId="0" applyNumberFormat="1" applyFont="1" applyFill="1" applyBorder="1"/>
    <x:xf numFmtId="0" fontId="9" fillId="19" borderId="22" xfId="0" applyNumberFormat="1" applyFont="1" applyFill="1" applyBorder="1"/>
    <x:xf numFmtId="0" fontId="9" fillId="19" borderId="23" xfId="0" applyNumberFormat="1" applyFont="1" applyFill="1" applyBorder="1"/>
    <x:xf numFmtId="0" fontId="9" fillId="19" borderId="16" xfId="0" applyNumberFormat="1" applyFont="1" applyFill="1" applyBorder="1" applyAlignment="1">
      <x:alignment horizontal="center"/>
    </x:xf>
    <x:xf numFmtId="0" fontId="9" fillId="19" borderId="17" xfId="0" applyNumberFormat="1" applyFont="1" applyFill="1" applyBorder="1" applyAlignment="1">
      <x:alignment horizontal="center"/>
    </x:xf>
    <x:xf numFmtId="0" fontId="9" fillId="19" borderId="18" xfId="0" applyNumberFormat="1" applyFont="1" applyFill="1" applyBorder="1" applyAlignment="1">
      <x:alignment horizontal="center"/>
    </x:xf>
    <x:xf numFmtId="0" fontId="9" fillId="19" borderId="19" xfId="0" applyNumberFormat="1" applyFont="1" applyFill="1" applyBorder="1" applyAlignment="1">
      <x:alignment horizontal="center"/>
    </x:xf>
    <x:xf numFmtId="0" fontId="9" fillId="19" borderId="0" xfId="0" applyNumberFormat="1" applyFont="1" applyFill="1" applyBorder="1" applyAlignment="1">
      <x:alignment horizontal="center"/>
    </x:xf>
    <x:xf numFmtId="0" fontId="9" fillId="19" borderId="20" xfId="0" applyNumberFormat="1" applyFont="1" applyFill="1" applyBorder="1" applyAlignment="1">
      <x:alignment horizontal="center"/>
    </x:xf>
    <x:xf numFmtId="0" fontId="9" fillId="19" borderId="21" xfId="0" applyNumberFormat="1" applyFont="1" applyFill="1" applyBorder="1" applyAlignment="1">
      <x:alignment horizontal="center"/>
    </x:xf>
    <x:xf numFmtId="0" fontId="9" fillId="19" borderId="22" xfId="0" applyNumberFormat="1" applyFont="1" applyFill="1" applyBorder="1" applyAlignment="1">
      <x:alignment horizontal="center"/>
    </x:xf>
    <x:xf numFmtId="0" fontId="9" fillId="19" borderId="23" xfId="0" applyNumberFormat="1" applyFont="1" applyFill="1" applyBorder="1" applyAlignment="1">
      <x:alignment horizontal="center"/>
    </x:xf>
    <x:xf numFmtId="0" fontId="9" fillId="19" borderId="16" xfId="0" applyNumberFormat="1" applyFont="1" applyFill="1" applyBorder="1" applyAlignment="1">
      <x:alignment horizontal="center" vertical="center"/>
    </x:xf>
    <x:xf numFmtId="0" fontId="9" fillId="19" borderId="17" xfId="0" applyNumberFormat="1" applyFont="1" applyFill="1" applyBorder="1" applyAlignment="1">
      <x:alignment horizontal="center" vertical="center"/>
    </x:xf>
    <x:xf numFmtId="0" fontId="9" fillId="19" borderId="18" xfId="0" applyNumberFormat="1" applyFont="1" applyFill="1" applyBorder="1" applyAlignment="1">
      <x:alignment horizontal="center" vertical="center"/>
    </x:xf>
    <x:xf numFmtId="0" fontId="9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9" fillId="19" borderId="20" xfId="0" applyNumberFormat="1" applyFont="1" applyFill="1" applyBorder="1" applyAlignment="1">
      <x:alignment horizontal="center" vertical="center"/>
    </x:xf>
    <x:xf numFmtId="0" fontId="9" fillId="19" borderId="21" xfId="0" applyNumberFormat="1" applyFont="1" applyFill="1" applyBorder="1" applyAlignment="1">
      <x:alignment horizontal="center" vertical="center"/>
    </x:xf>
    <x:xf numFmtId="0" fontId="9" fillId="19" borderId="22" xfId="0" applyNumberFormat="1" applyFont="1" applyFill="1" applyBorder="1" applyAlignment="1">
      <x:alignment horizontal="center" vertical="center"/>
    </x:xf>
    <x:xf numFmtId="0" fontId="9" fillId="19" borderId="23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16" xfId="0" applyNumberFormat="1" applyFont="1" applyFill="1" applyBorder="1"/>
    <x:xf numFmtId="0" fontId="9" fillId="20" borderId="17" xfId="0" applyNumberFormat="1" applyFont="1" applyFill="1" applyBorder="1"/>
    <x:xf numFmtId="0" fontId="9" fillId="20" borderId="18" xfId="0" applyNumberFormat="1" applyFont="1" applyFill="1" applyBorder="1"/>
    <x:xf numFmtId="0" fontId="9" fillId="20" borderId="19" xfId="0" applyNumberFormat="1" applyFont="1" applyFill="1" applyBorder="1"/>
    <x:xf numFmtId="0" fontId="9" fillId="20" borderId="20" xfId="0" applyNumberFormat="1" applyFont="1" applyFill="1" applyBorder="1"/>
    <x:xf numFmtId="0" fontId="9" fillId="20" borderId="21" xfId="0" applyNumberFormat="1" applyFont="1" applyFill="1" applyBorder="1"/>
    <x:xf numFmtId="0" fontId="9" fillId="20" borderId="22" xfId="0" applyNumberFormat="1" applyFont="1" applyFill="1" applyBorder="1"/>
    <x:xf numFmtId="0" fontId="9" fillId="20" borderId="23" xfId="0" applyNumberFormat="1" applyFont="1" applyFill="1" applyBorder="1"/>
    <x:xf numFmtId="0" fontId="9" fillId="20" borderId="16" xfId="0" applyNumberFormat="1" applyFont="1" applyFill="1" applyBorder="1" applyAlignment="1">
      <x:alignment horizontal="center"/>
    </x:xf>
    <x:xf numFmtId="0" fontId="9" fillId="20" borderId="17" xfId="0" applyNumberFormat="1" applyFont="1" applyFill="1" applyBorder="1" applyAlignment="1">
      <x:alignment horizontal="center"/>
    </x:xf>
    <x:xf numFmtId="0" fontId="9" fillId="20" borderId="18" xfId="0" applyNumberFormat="1" applyFont="1" applyFill="1" applyBorder="1" applyAlignment="1">
      <x:alignment horizontal="center"/>
    </x:xf>
    <x:xf numFmtId="0" fontId="9" fillId="20" borderId="19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/>
    </x:xf>
    <x:xf numFmtId="0" fontId="9" fillId="20" borderId="20" xfId="0" applyNumberFormat="1" applyFont="1" applyFill="1" applyBorder="1" applyAlignment="1">
      <x:alignment horizontal="center"/>
    </x:xf>
    <x:xf numFmtId="0" fontId="9" fillId="20" borderId="21" xfId="0" applyNumberFormat="1" applyFont="1" applyFill="1" applyBorder="1" applyAlignment="1">
      <x:alignment horizontal="center"/>
    </x:xf>
    <x:xf numFmtId="0" fontId="9" fillId="20" borderId="22" xfId="0" applyNumberFormat="1" applyFont="1" applyFill="1" applyBorder="1" applyAlignment="1">
      <x:alignment horizontal="center"/>
    </x:xf>
    <x:xf numFmtId="0" fontId="9" fillId="20" borderId="23" xfId="0" applyNumberFormat="1" applyFont="1" applyFill="1" applyBorder="1" applyAlignment="1">
      <x:alignment horizontal="center"/>
    </x:xf>
    <x:xf numFmtId="0" fontId="9" fillId="20" borderId="16" xfId="0" applyNumberFormat="1" applyFont="1" applyFill="1" applyBorder="1" applyAlignment="1">
      <x:alignment horizontal="center" vertical="center"/>
    </x:xf>
    <x:xf numFmtId="0" fontId="9" fillId="20" borderId="17" xfId="0" applyNumberFormat="1" applyFont="1" applyFill="1" applyBorder="1" applyAlignment="1">
      <x:alignment horizontal="center" vertical="center"/>
    </x:xf>
    <x:xf numFmtId="0" fontId="9" fillId="20" borderId="18" xfId="0" applyNumberFormat="1" applyFont="1" applyFill="1" applyBorder="1" applyAlignment="1">
      <x:alignment horizontal="center" vertical="center"/>
    </x:xf>
    <x:xf numFmtId="0" fontId="9" fillId="20" borderId="19" xfId="0" applyNumberFormat="1" applyFont="1" applyFill="1" applyBorder="1" applyAlignment="1">
      <x:alignment horizontal="center" vertical="center"/>
    </x:xf>
    <x:xf numFmtId="0" fontId="9" fillId="20" borderId="0" xfId="0" applyNumberFormat="1" applyFont="1" applyFill="1" applyBorder="1" applyAlignment="1">
      <x:alignment horizontal="center" vertical="center"/>
    </x:xf>
    <x:xf numFmtId="0" fontId="9" fillId="20" borderId="20" xfId="0" applyNumberFormat="1" applyFont="1" applyFill="1" applyBorder="1" applyAlignment="1">
      <x:alignment horizontal="center" vertical="center"/>
    </x:xf>
    <x:xf numFmtId="0" fontId="9" fillId="20" borderId="21" xfId="0" applyNumberFormat="1" applyFont="1" applyFill="1" applyBorder="1" applyAlignment="1">
      <x:alignment horizontal="center" vertical="center"/>
    </x:xf>
    <x:xf numFmtId="0" fontId="9" fillId="20" borderId="22" xfId="0" applyNumberFormat="1" applyFont="1" applyFill="1" applyBorder="1" applyAlignment="1">
      <x:alignment horizontal="center" vertical="center"/>
    </x:xf>
    <x:xf numFmtId="0" fontId="9" fillId="20" borderId="23" xfId="0" applyNumberFormat="1" applyFont="1" applyFill="1" applyBorder="1" applyAlignment="1">
      <x:alignment horizontal="center" vertical="center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16" xfId="0" applyNumberFormat="1" applyFont="1" applyFill="1" applyBorder="1"/>
    <x:xf numFmtId="0" fontId="9" fillId="21" borderId="17" xfId="0" applyNumberFormat="1" applyFont="1" applyFill="1" applyBorder="1"/>
    <x:xf numFmtId="0" fontId="9" fillId="21" borderId="18" xfId="0" applyNumberFormat="1" applyFont="1" applyFill="1" applyBorder="1"/>
    <x:xf numFmtId="0" fontId="9" fillId="21" borderId="19" xfId="0" applyNumberFormat="1" applyFont="1" applyFill="1" applyBorder="1"/>
    <x:xf numFmtId="0" fontId="9" fillId="21" borderId="20" xfId="0" applyNumberFormat="1" applyFont="1" applyFill="1" applyBorder="1"/>
    <x:xf numFmtId="0" fontId="9" fillId="21" borderId="21" xfId="0" applyNumberFormat="1" applyFont="1" applyFill="1" applyBorder="1"/>
    <x:xf numFmtId="0" fontId="9" fillId="21" borderId="22" xfId="0" applyNumberFormat="1" applyFont="1" applyFill="1" applyBorder="1"/>
    <x:xf numFmtId="0" fontId="9" fillId="21" borderId="23" xfId="0" applyNumberFormat="1" applyFont="1" applyFill="1" applyBorder="1"/>
    <x:xf numFmtId="0" fontId="9" fillId="21" borderId="16" xfId="0" applyNumberFormat="1" applyFont="1" applyFill="1" applyBorder="1" applyAlignment="1">
      <x:alignment horizontal="center"/>
    </x:xf>
    <x:xf numFmtId="0" fontId="9" fillId="21" borderId="17" xfId="0" applyNumberFormat="1" applyFont="1" applyFill="1" applyBorder="1" applyAlignment="1">
      <x:alignment horizontal="center"/>
    </x:xf>
    <x:xf numFmtId="0" fontId="9" fillId="21" borderId="18" xfId="0" applyNumberFormat="1" applyFont="1" applyFill="1" applyBorder="1" applyAlignment="1">
      <x:alignment horizontal="center"/>
    </x:xf>
    <x:xf numFmtId="0" fontId="9" fillId="21" borderId="19" xfId="0" applyNumberFormat="1" applyFont="1" applyFill="1" applyBorder="1" applyAlignment="1">
      <x:alignment horizontal="center"/>
    </x:xf>
    <x:xf numFmtId="0" fontId="9" fillId="21" borderId="0" xfId="0" applyNumberFormat="1" applyFont="1" applyFill="1" applyBorder="1" applyAlignment="1">
      <x:alignment horizontal="center"/>
    </x:xf>
    <x:xf numFmtId="0" fontId="9" fillId="21" borderId="20" xfId="0" applyNumberFormat="1" applyFont="1" applyFill="1" applyBorder="1" applyAlignment="1">
      <x:alignment horizontal="center"/>
    </x:xf>
    <x:xf numFmtId="0" fontId="9" fillId="21" borderId="21" xfId="0" applyNumberFormat="1" applyFont="1" applyFill="1" applyBorder="1" applyAlignment="1">
      <x:alignment horizontal="center"/>
    </x:xf>
    <x:xf numFmtId="0" fontId="9" fillId="21" borderId="22" xfId="0" applyNumberFormat="1" applyFont="1" applyFill="1" applyBorder="1" applyAlignment="1">
      <x:alignment horizontal="center"/>
    </x:xf>
    <x:xf numFmtId="0" fontId="9" fillId="21" borderId="23" xfId="0" applyNumberFormat="1" applyFont="1" applyFill="1" applyBorder="1" applyAlignment="1">
      <x:alignment horizontal="center"/>
    </x:xf>
    <x:xf numFmtId="0" fontId="9" fillId="21" borderId="16" xfId="0" applyNumberFormat="1" applyFont="1" applyFill="1" applyBorder="1" applyAlignment="1">
      <x:alignment horizontal="center" vertical="center"/>
    </x:xf>
    <x:xf numFmtId="0" fontId="9" fillId="21" borderId="17" xfId="0" applyNumberFormat="1" applyFont="1" applyFill="1" applyBorder="1" applyAlignment="1">
      <x:alignment horizontal="center" vertical="center"/>
    </x:xf>
    <x:xf numFmtId="0" fontId="9" fillId="21" borderId="18" xfId="0" applyNumberFormat="1" applyFont="1" applyFill="1" applyBorder="1" applyAlignment="1">
      <x:alignment horizontal="center" vertical="center"/>
    </x:xf>
    <x:xf numFmtId="0" fontId="9" fillId="21" borderId="19" xfId="0" applyNumberFormat="1" applyFont="1" applyFill="1" applyBorder="1" applyAlignment="1">
      <x:alignment horizontal="center" vertical="center"/>
    </x:xf>
    <x:xf numFmtId="0" fontId="9" fillId="21" borderId="0" xfId="0" applyNumberFormat="1" applyFont="1" applyFill="1" applyBorder="1" applyAlignment="1">
      <x:alignment horizontal="center" vertical="center"/>
    </x:xf>
    <x:xf numFmtId="0" fontId="9" fillId="21" borderId="20" xfId="0" applyNumberFormat="1" applyFont="1" applyFill="1" applyBorder="1" applyAlignment="1">
      <x:alignment horizontal="center" vertical="center"/>
    </x:xf>
    <x:xf numFmtId="0" fontId="9" fillId="21" borderId="21" xfId="0" applyNumberFormat="1" applyFont="1" applyFill="1" applyBorder="1" applyAlignment="1">
      <x:alignment horizontal="center" vertical="center"/>
    </x:xf>
    <x:xf numFmtId="0" fontId="9" fillId="21" borderId="22" xfId="0" applyNumberFormat="1" applyFont="1" applyFill="1" applyBorder="1" applyAlignment="1">
      <x:alignment horizontal="center" vertical="center"/>
    </x:xf>
    <x:xf numFmtId="0" fontId="9" fillId="21" borderId="23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16" xfId="0" applyNumberFormat="1" applyFont="1" applyFill="1" applyBorder="1"/>
    <x:xf numFmtId="0" fontId="9" fillId="22" borderId="17" xfId="0" applyNumberFormat="1" applyFont="1" applyFill="1" applyBorder="1"/>
    <x:xf numFmtId="0" fontId="9" fillId="22" borderId="18" xfId="0" applyNumberFormat="1" applyFont="1" applyFill="1" applyBorder="1"/>
    <x:xf numFmtId="0" fontId="9" fillId="22" borderId="19" xfId="0" applyNumberFormat="1" applyFont="1" applyFill="1" applyBorder="1"/>
    <x:xf numFmtId="0" fontId="9" fillId="22" borderId="20" xfId="0" applyNumberFormat="1" applyFont="1" applyFill="1" applyBorder="1"/>
    <x:xf numFmtId="0" fontId="9" fillId="22" borderId="21" xfId="0" applyNumberFormat="1" applyFont="1" applyFill="1" applyBorder="1"/>
    <x:xf numFmtId="0" fontId="9" fillId="22" borderId="22" xfId="0" applyNumberFormat="1" applyFont="1" applyFill="1" applyBorder="1"/>
    <x:xf numFmtId="0" fontId="9" fillId="22" borderId="23" xfId="0" applyNumberFormat="1" applyFont="1" applyFill="1" applyBorder="1"/>
    <x:xf numFmtId="0" fontId="9" fillId="22" borderId="16" xfId="0" applyNumberFormat="1" applyFont="1" applyFill="1" applyBorder="1" applyAlignment="1">
      <x:alignment horizontal="center"/>
    </x:xf>
    <x:xf numFmtId="0" fontId="9" fillId="22" borderId="17" xfId="0" applyNumberFormat="1" applyFont="1" applyFill="1" applyBorder="1" applyAlignment="1">
      <x:alignment horizontal="center"/>
    </x:xf>
    <x:xf numFmtId="0" fontId="9" fillId="22" borderId="18" xfId="0" applyNumberFormat="1" applyFont="1" applyFill="1" applyBorder="1" applyAlignment="1">
      <x:alignment horizontal="center"/>
    </x:xf>
    <x:xf numFmtId="0" fontId="9" fillId="22" borderId="19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/>
    </x:xf>
    <x:xf numFmtId="0" fontId="9" fillId="22" borderId="20" xfId="0" applyNumberFormat="1" applyFont="1" applyFill="1" applyBorder="1" applyAlignment="1">
      <x:alignment horizontal="center"/>
    </x:xf>
    <x:xf numFmtId="0" fontId="9" fillId="22" borderId="21" xfId="0" applyNumberFormat="1" applyFont="1" applyFill="1" applyBorder="1" applyAlignment="1">
      <x:alignment horizontal="center"/>
    </x:xf>
    <x:xf numFmtId="0" fontId="9" fillId="22" borderId="22" xfId="0" applyNumberFormat="1" applyFont="1" applyFill="1" applyBorder="1" applyAlignment="1">
      <x:alignment horizontal="center"/>
    </x:xf>
    <x:xf numFmtId="0" fontId="9" fillId="22" borderId="23" xfId="0" applyNumberFormat="1" applyFont="1" applyFill="1" applyBorder="1" applyAlignment="1">
      <x:alignment horizontal="center"/>
    </x:xf>
    <x:xf numFmtId="0" fontId="9" fillId="22" borderId="16" xfId="0" applyNumberFormat="1" applyFont="1" applyFill="1" applyBorder="1" applyAlignment="1">
      <x:alignment horizontal="center" vertical="center"/>
    </x:xf>
    <x:xf numFmtId="0" fontId="9" fillId="22" borderId="17" xfId="0" applyNumberFormat="1" applyFont="1" applyFill="1" applyBorder="1" applyAlignment="1">
      <x:alignment horizontal="center" vertical="center"/>
    </x:xf>
    <x:xf numFmtId="0" fontId="9" fillId="22" borderId="18" xfId="0" applyNumberFormat="1" applyFont="1" applyFill="1" applyBorder="1" applyAlignment="1">
      <x:alignment horizontal="center" vertical="center"/>
    </x:xf>
    <x:xf numFmtId="0" fontId="9" fillId="22" borderId="19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9" fillId="22" borderId="20" xfId="0" applyNumberFormat="1" applyFont="1" applyFill="1" applyBorder="1" applyAlignment="1">
      <x:alignment horizontal="center" vertical="center"/>
    </x:xf>
    <x:xf numFmtId="0" fontId="9" fillId="22" borderId="21" xfId="0" applyNumberFormat="1" applyFont="1" applyFill="1" applyBorder="1" applyAlignment="1">
      <x:alignment horizontal="center" vertical="center"/>
    </x:xf>
    <x:xf numFmtId="0" fontId="9" fillId="22" borderId="22" xfId="0" applyNumberFormat="1" applyFont="1" applyFill="1" applyBorder="1" applyAlignment="1">
      <x:alignment horizontal="center" vertical="center"/>
    </x:xf>
    <x:xf numFmtId="0" fontId="9" fillId="22" borderId="23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5" xfId="0" applyNumberFormat="1" applyFont="1" applyFill="1" applyBorder="1"/>
    <x:xf numFmtId="0" fontId="3" fillId="23" borderId="5" xfId="0" applyNumberFormat="1" applyFont="1" applyFill="1" applyBorder="1" applyAlignment="1">
      <x:alignment wrapText="1"/>
    </x:xf>
    <x:xf numFmtId="0" fontId="3" fillId="23" borderId="5" xfId="0" applyNumberFormat="1" applyFont="1" applyFill="1" applyBorder="1" applyAlignment="1">
      <x:alignment horizontal="center" wrapText="1"/>
    </x:xf>
    <x:xf numFmtId="0" fontId="3" fillId="23" borderId="5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/>
    <x:xf numFmtId="0" fontId="7" fillId="5" borderId="22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3" borderId="0" xfId="0" applyNumberFormat="1" applyFont="1" applyFill="1" applyBorder="1"/>
    <x:xf numFmtId="0" fontId="7" fillId="3" borderId="22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22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top"/>
    </x:xf>
    <x:xf numFmtId="0" fontId="1" fillId="2" borderId="2" xfId="0" applyNumberFormat="1" applyFont="1" applyFill="1" applyBorder="1" applyAlignment="1">
      <x:alignment horizontal="left" vertical="top"/>
    </x:xf>
    <x:xf numFmtId="0" fontId="1" fillId="2" borderId="3" xfId="0" applyNumberFormat="1" applyFont="1" applyFill="1" applyBorder="1" applyAlignment="1">
      <x:alignment horizontal="left" vertical="top"/>
    </x:xf>
    <x:xf numFmtId="0" fontId="2" fillId="3" borderId="4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3" fillId="6" borderId="5" xfId="0" applyNumberFormat="1" applyFont="1" applyFill="1" applyBorder="1" applyAlignment="1">
      <x:alignment horizontal="center" vertical="top" wrapText="1"/>
    </x:xf>
    <x:xf numFmtId="0" fontId="8" fillId="17" borderId="10" xfId="0" applyNumberFormat="1" applyFont="1" applyFill="1" applyBorder="1" applyAlignment="1">
      <x:alignment horizontal="center" vertical="top" wrapText="1"/>
    </x:xf>
    <x:xf numFmtId="0" fontId="8" fillId="17" borderId="11" xfId="0" applyNumberFormat="1" applyFont="1" applyFill="1" applyBorder="1" applyAlignment="1">
      <x:alignment horizontal="center" vertical="top" wrapText="1"/>
    </x:xf>
    <x:xf numFmtId="0" fontId="8" fillId="17" borderId="12" xfId="0" applyNumberFormat="1" applyFont="1" applyFill="1" applyBorder="1" applyAlignment="1">
      <x:alignment horizontal="center" vertical="top" wrapText="1"/>
    </x:xf>
    <x:xf numFmtId="0" fontId="8" fillId="17" borderId="13" xfId="0" applyNumberFormat="1" applyFont="1" applyFill="1" applyBorder="1" applyAlignment="1">
      <x:alignment horizontal="center" vertical="top" wrapText="1"/>
    </x:xf>
    <x:xf numFmtId="0" fontId="8" fillId="17" borderId="14" xfId="0" applyNumberFormat="1" applyFont="1" applyFill="1" applyBorder="1" applyAlignment="1">
      <x:alignment horizontal="center" vertical="top" wrapText="1"/>
    </x:xf>
    <x:xf numFmtId="0" fontId="8" fillId="17" borderId="15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horizontal="center" vertical="top"/>
    </x:xf>
    <x:xf numFmtId="0" fontId="3" fillId="23" borderId="5" xfId="0" applyNumberFormat="1" applyFont="1" applyFill="1" applyBorder="1" applyAlignment="1">
      <x:alignment horizontal="center" vertical="top" wrapText="1"/>
    </x:xf>
    <x:xf numFmtId="0" fontId="9" fillId="18" borderId="16" xfId="0" applyNumberFormat="1" applyFont="1" applyFill="1" applyBorder="1" applyAlignment="1">
      <x:alignment horizontal="center" vertical="top"/>
    </x:xf>
    <x:xf numFmtId="0" fontId="9" fillId="18" borderId="17" xfId="0" applyNumberFormat="1" applyFont="1" applyFill="1" applyBorder="1" applyAlignment="1">
      <x:alignment horizontal="center" vertical="top"/>
    </x:xf>
    <x:xf numFmtId="0" fontId="9" fillId="18" borderId="18" xfId="0" applyNumberFormat="1" applyFont="1" applyFill="1" applyBorder="1" applyAlignment="1">
      <x:alignment horizontal="center" vertical="top"/>
    </x:xf>
    <x:xf numFmtId="0" fontId="9" fillId="19" borderId="16" xfId="0" applyNumberFormat="1" applyFont="1" applyFill="1" applyBorder="1" applyAlignment="1">
      <x:alignment horizontal="center" vertical="top"/>
    </x:xf>
    <x:xf numFmtId="0" fontId="9" fillId="19" borderId="17" xfId="0" applyNumberFormat="1" applyFont="1" applyFill="1" applyBorder="1" applyAlignment="1">
      <x:alignment horizontal="center" vertical="top"/>
    </x:xf>
    <x:xf numFmtId="0" fontId="9" fillId="19" borderId="18" xfId="0" applyNumberFormat="1" applyFont="1" applyFill="1" applyBorder="1" applyAlignment="1">
      <x:alignment horizontal="center" vertical="top"/>
    </x:xf>
    <x:xf numFmtId="205" fontId="0" fillId="0" borderId="0" xfId="0" applyNumberFormat="1" applyFont="1" applyFill="1" applyBorder="1" applyAlignment="1">
      <x:alignment vertical="top"/>
    </x:xf>
    <x:xf numFmtId="0" fontId="9" fillId="18" borderId="19" xfId="0" applyNumberFormat="1" applyFont="1" applyFill="1" applyBorder="1" applyAlignment="1">
      <x:alignment horizontal="center" vertical="top"/>
    </x:xf>
    <x:xf numFmtId="0" fontId="9" fillId="18" borderId="0" xfId="0" applyNumberFormat="1" applyFont="1" applyFill="1" applyBorder="1" applyAlignment="1">
      <x:alignment horizontal="center" vertical="top"/>
    </x:xf>
    <x:xf numFmtId="0" fontId="9" fillId="18" borderId="20" xfId="0" applyNumberFormat="1" applyFont="1" applyFill="1" applyBorder="1" applyAlignment="1">
      <x:alignment horizontal="center" vertical="top"/>
    </x:xf>
    <x:xf numFmtId="0" fontId="9" fillId="19" borderId="19" xfId="0" applyNumberFormat="1" applyFont="1" applyFill="1" applyBorder="1" applyAlignment="1">
      <x:alignment horizontal="center" vertical="top"/>
    </x:xf>
    <x:xf numFmtId="0" fontId="9" fillId="19" borderId="0" xfId="0" applyNumberFormat="1" applyFont="1" applyFill="1" applyBorder="1" applyAlignment="1">
      <x:alignment horizontal="center" vertical="top"/>
    </x:xf>
    <x:xf numFmtId="0" fontId="9" fillId="19" borderId="20" xfId="0" applyNumberFormat="1" applyFont="1" applyFill="1" applyBorder="1" applyAlignment="1">
      <x:alignment horizontal="center" vertical="top"/>
    </x:xf>
    <x:xf numFmtId="0" fontId="9" fillId="18" borderId="21" xfId="0" applyNumberFormat="1" applyFont="1" applyFill="1" applyBorder="1" applyAlignment="1">
      <x:alignment horizontal="center" vertical="top"/>
    </x:xf>
    <x:xf numFmtId="0" fontId="9" fillId="18" borderId="22" xfId="0" applyNumberFormat="1" applyFont="1" applyFill="1" applyBorder="1" applyAlignment="1">
      <x:alignment horizontal="center" vertical="top"/>
    </x:xf>
    <x:xf numFmtId="0" fontId="9" fillId="18" borderId="23" xfId="0" applyNumberFormat="1" applyFont="1" applyFill="1" applyBorder="1" applyAlignment="1">
      <x:alignment horizontal="center" vertical="top"/>
    </x:xf>
    <x:xf numFmtId="0" fontId="9" fillId="19" borderId="21" xfId="0" applyNumberFormat="1" applyFont="1" applyFill="1" applyBorder="1" applyAlignment="1">
      <x:alignment horizontal="center" vertical="top"/>
    </x:xf>
    <x:xf numFmtId="0" fontId="9" fillId="19" borderId="22" xfId="0" applyNumberFormat="1" applyFont="1" applyFill="1" applyBorder="1" applyAlignment="1">
      <x:alignment horizontal="center" vertical="top"/>
    </x:xf>
    <x:xf numFmtId="0" fontId="9" fillId="19" borderId="23" xfId="0" applyNumberFormat="1" applyFont="1" applyFill="1" applyBorder="1" applyAlignment="1">
      <x:alignment horizontal="center" vertical="top"/>
    </x:xf>
    <x:xf numFmtId="0" fontId="9" fillId="20" borderId="16" xfId="0" applyNumberFormat="1" applyFont="1" applyFill="1" applyBorder="1" applyAlignment="1">
      <x:alignment horizontal="center" vertical="top"/>
    </x:xf>
    <x:xf numFmtId="0" fontId="9" fillId="20" borderId="17" xfId="0" applyNumberFormat="1" applyFont="1" applyFill="1" applyBorder="1" applyAlignment="1">
      <x:alignment horizontal="center" vertical="top"/>
    </x:xf>
    <x:xf numFmtId="0" fontId="9" fillId="20" borderId="18" xfId="0" applyNumberFormat="1" applyFont="1" applyFill="1" applyBorder="1" applyAlignment="1">
      <x:alignment horizontal="center" vertical="top"/>
    </x:xf>
    <x:xf numFmtId="0" fontId="9" fillId="21" borderId="16" xfId="0" applyNumberFormat="1" applyFont="1" applyFill="1" applyBorder="1" applyAlignment="1">
      <x:alignment horizontal="center" vertical="top"/>
    </x:xf>
    <x:xf numFmtId="0" fontId="9" fillId="21" borderId="17" xfId="0" applyNumberFormat="1" applyFont="1" applyFill="1" applyBorder="1" applyAlignment="1">
      <x:alignment horizontal="center" vertical="top"/>
    </x:xf>
    <x:xf numFmtId="0" fontId="9" fillId="21" borderId="18" xfId="0" applyNumberFormat="1" applyFont="1" applyFill="1" applyBorder="1" applyAlignment="1">
      <x:alignment horizontal="center" vertical="top"/>
    </x:xf>
    <x:xf numFmtId="0" fontId="9" fillId="22" borderId="16" xfId="0" applyNumberFormat="1" applyFont="1" applyFill="1" applyBorder="1" applyAlignment="1">
      <x:alignment horizontal="center" vertical="top"/>
    </x:xf>
    <x:xf numFmtId="0" fontId="9" fillId="22" borderId="17" xfId="0" applyNumberFormat="1" applyFont="1" applyFill="1" applyBorder="1" applyAlignment="1">
      <x:alignment horizontal="center" vertical="top"/>
    </x:xf>
    <x:xf numFmtId="0" fontId="9" fillId="22" borderId="18" xfId="0" applyNumberFormat="1" applyFont="1" applyFill="1" applyBorder="1" applyAlignment="1">
      <x:alignment horizontal="center" vertical="top"/>
    </x:xf>
    <x:xf numFmtId="0" fontId="9" fillId="20" borderId="19" xfId="0" applyNumberFormat="1" applyFont="1" applyFill="1" applyBorder="1" applyAlignment="1">
      <x:alignment horizontal="center" vertical="top"/>
    </x:xf>
    <x:xf numFmtId="0" fontId="9" fillId="20" borderId="0" xfId="0" applyNumberFormat="1" applyFont="1" applyFill="1" applyBorder="1" applyAlignment="1">
      <x:alignment horizontal="center" vertical="top"/>
    </x:xf>
    <x:xf numFmtId="0" fontId="9" fillId="20" borderId="20" xfId="0" applyNumberFormat="1" applyFont="1" applyFill="1" applyBorder="1" applyAlignment="1">
      <x:alignment horizontal="center" vertical="top"/>
    </x:xf>
    <x:xf numFmtId="0" fontId="9" fillId="21" borderId="19" xfId="0" applyNumberFormat="1" applyFont="1" applyFill="1" applyBorder="1" applyAlignment="1">
      <x:alignment horizontal="center" vertical="top"/>
    </x:xf>
    <x:xf numFmtId="0" fontId="9" fillId="21" borderId="0" xfId="0" applyNumberFormat="1" applyFont="1" applyFill="1" applyBorder="1" applyAlignment="1">
      <x:alignment horizontal="center" vertical="top"/>
    </x:xf>
    <x:xf numFmtId="0" fontId="9" fillId="21" borderId="20" xfId="0" applyNumberFormat="1" applyFont="1" applyFill="1" applyBorder="1" applyAlignment="1">
      <x:alignment horizontal="center" vertical="top"/>
    </x:xf>
    <x:xf numFmtId="0" fontId="9" fillId="22" borderId="19" xfId="0" applyNumberFormat="1" applyFont="1" applyFill="1" applyBorder="1" applyAlignment="1">
      <x:alignment horizontal="center" vertical="top"/>
    </x:xf>
    <x:xf numFmtId="0" fontId="9" fillId="22" borderId="0" xfId="0" applyNumberFormat="1" applyFont="1" applyFill="1" applyBorder="1" applyAlignment="1">
      <x:alignment horizontal="center" vertical="top"/>
    </x:xf>
    <x:xf numFmtId="0" fontId="9" fillId="22" borderId="20" xfId="0" applyNumberFormat="1" applyFont="1" applyFill="1" applyBorder="1" applyAlignment="1">
      <x:alignment horizontal="center" vertical="top"/>
    </x:xf>
    <x:xf numFmtId="0" fontId="9" fillId="20" borderId="21" xfId="0" applyNumberFormat="1" applyFont="1" applyFill="1" applyBorder="1" applyAlignment="1">
      <x:alignment horizontal="center" vertical="top"/>
    </x:xf>
    <x:xf numFmtId="0" fontId="9" fillId="20" borderId="22" xfId="0" applyNumberFormat="1" applyFont="1" applyFill="1" applyBorder="1" applyAlignment="1">
      <x:alignment horizontal="center" vertical="top"/>
    </x:xf>
    <x:xf numFmtId="0" fontId="9" fillId="20" borderId="23" xfId="0" applyNumberFormat="1" applyFont="1" applyFill="1" applyBorder="1" applyAlignment="1">
      <x:alignment horizontal="center" vertical="top"/>
    </x:xf>
    <x:xf numFmtId="0" fontId="9" fillId="21" borderId="21" xfId="0" applyNumberFormat="1" applyFont="1" applyFill="1" applyBorder="1" applyAlignment="1">
      <x:alignment horizontal="center" vertical="top"/>
    </x:xf>
    <x:xf numFmtId="0" fontId="9" fillId="21" borderId="22" xfId="0" applyNumberFormat="1" applyFont="1" applyFill="1" applyBorder="1" applyAlignment="1">
      <x:alignment horizontal="center" vertical="top"/>
    </x:xf>
    <x:xf numFmtId="0" fontId="9" fillId="21" borderId="23" xfId="0" applyNumberFormat="1" applyFont="1" applyFill="1" applyBorder="1" applyAlignment="1">
      <x:alignment horizontal="center" vertical="top"/>
    </x:xf>
    <x:xf numFmtId="0" fontId="9" fillId="22" borderId="21" xfId="0" applyNumberFormat="1" applyFont="1" applyFill="1" applyBorder="1" applyAlignment="1">
      <x:alignment horizontal="center" vertical="top"/>
    </x:xf>
    <x:xf numFmtId="0" fontId="9" fillId="22" borderId="22" xfId="0" applyNumberFormat="1" applyFont="1" applyFill="1" applyBorder="1" applyAlignment="1">
      <x:alignment horizontal="center" vertical="top"/>
    </x:xf>
    <x:xf numFmtId="0" fontId="9" fillId="22" borderId="23" xfId="0" applyNumberFormat="1" applyFont="1" applyFill="1" applyBorder="1" applyAlignment="1">
      <x:alignment horizontal="center" vertical="top"/>
    </x:xf>
    <x:xf numFmtId="200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22" xfId="0" applyNumberFormat="1" applyFont="1" applyFill="1" applyBorder="1" applyAlignment="1">
      <x:alignment vertical="top" wrapText="1"/>
    </x:xf>
    <x:xf numFmtId="0" fontId="7" fillId="5" borderId="22" xfId="0" applyNumberFormat="1" applyFont="1" applyFill="1" applyBorder="1" applyAlignment="1">
      <x:alignment vertical="top" wrapText="1"/>
    </x:xf>
  </x:cellXfs>
  <x:cellStyles count="1">
    <x:cellStyle name="Normal" xfId="0"/>
  </x:cellStyles>
  <x:dxfs count="54"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3F0FF"/>
        </x:patternFill>
      </x:fill>
    </x:dxf>
    <x:dxf>
      <x:font>
        <x:b/>
        <x:color rgb="FF1F2937"/>
      </x:font>
      <x:fill>
        <x:patternFill patternType="solid">
          <x:bgColor rgb="FFEEE9FF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3F0FF"/>
        </x:patternFill>
      </x:fill>
    </x:dxf>
    <x:dxf>
      <x:font>
        <x:b/>
        <x:color rgb="FF1F2937"/>
      </x:font>
      <x:fill>
        <x:patternFill patternType="solid">
          <x:bgColor rgb="FFEEE9FF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EF2F7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EE9FF"/>
        </x:patternFill>
      </x:fill>
    </x:dxf>
    <x:dxf>
      <x:font>
        <x:b/>
        <x:color rgb="FFD64550"/>
      </x:font>
      <x:fill>
        <x:patternFill patternType="solid">
          <x:bgColor rgb="FFFBE5E7"/>
        </x:patternFill>
      </x:fill>
    </x:dxf>
    <x:dxf>
      <x:font>
        <x:b/>
        <x:color rgb="FF7A5AF8"/>
      </x:font>
      <x:fill>
        <x:patternFill patternType="solid">
          <x:bgColor rgb="FFEEE9FF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3F0FF"/>
        </x:patternFill>
      </x:fill>
    </x:dxf>
    <x:dxf>
      <x:font>
        <x:b/>
        <x:color rgb="FF1F2937"/>
      </x:font>
      <x:fill>
        <x:patternFill patternType="solid">
          <x:bgColor rgb="FFEEE9FF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EF2F7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EE9FF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DDF6EA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  <x:dxf>
      <x:font>
        <x:b/>
        <x:color rgb="FF1F2937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EEF2F7"/>
        </x:patternFill>
      </x:fill>
    </x:dxf>
    <x:dxf>
      <x:font>
        <x:b/>
        <x:color rgb="FFD64550"/>
      </x:font>
      <x:fill>
        <x:patternFill patternType="solid">
          <x:bgColor rgb="FFFBE5E7"/>
        </x:patternFill>
      </x:fill>
    </x:dxf>
    <x:dxf>
      <x:font>
        <x:b/>
        <x:color rgb="FF2F80ED"/>
      </x:font>
      <x:fill>
        <x:patternFill patternType="solid">
          <x:bgColor rgb="FFE3F0FF"/>
        </x:patternFill>
      </x:fill>
    </x:dxf>
    <x:dxf>
      <x:font>
        <x:b/>
        <x:color rgb="FFD64550"/>
      </x:font>
      <x:fill>
        <x:patternFill patternType="solid">
          <x:bgColor rgb="FFFBE5E7"/>
        </x:patternFill>
      </x:fill>
    </x:dxf>
    <x:dxf>
      <x:font>
        <x:b/>
        <x:color rgb="FFD64550"/>
      </x:font>
      <x:fill>
        <x:patternFill patternType="solid">
          <x:bgColor rgb="FFFBE5E7"/>
        </x:patternFill>
      </x:fill>
    </x:dxf>
    <x:dxf>
      <x:font>
        <x:b/>
        <x:color rgb="FFD64550"/>
      </x:font>
      <x:fill>
        <x:patternFill patternType="solid">
          <x:bgColor rgb="FFFBE5E7"/>
        </x:patternFill>
      </x:fill>
    </x:dxf>
    <x:dxf>
      <x:font>
        <x:b/>
        <x:color rgb="FF1F2937"/>
      </x:font>
      <x:fill>
        <x:patternFill patternType="solid">
          <x:bgColor rgb="FFFFF5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3a960d86ca433e" /><Relationship Type="http://schemas.openxmlformats.org/officeDocument/2006/relationships/theme" Target="/xl/theme/theme1.xml" Id="R4de1a954ac0a4798" /><Relationship Type="http://schemas.openxmlformats.org/officeDocument/2006/relationships/sharedStrings" Target="/xl/sharedStrings.xml" Id="R42e13f7d473c4385" /><Relationship Type="http://schemas.openxmlformats.org/officeDocument/2006/relationships/worksheet" Target="/xl/worksheets/sheet1.xml" Id="R959d01bdd1524bc0" /><Relationship Type="http://schemas.openxmlformats.org/officeDocument/2006/relationships/worksheet" Target="/xl/worksheets/sheet2.xml" Id="R8e333113a45441e9" /><Relationship Type="http://schemas.openxmlformats.org/officeDocument/2006/relationships/worksheet" Target="/xl/worksheets/sheet3.xml" Id="R26a186c3e83d4d00" /><Relationship Type="http://schemas.openxmlformats.org/officeDocument/2006/relationships/worksheet" Target="/xl/worksheets/sheet4.xml" Id="R71c06bf2a6a54c41" /><Relationship Type="http://schemas.openxmlformats.org/officeDocument/2006/relationships/worksheet" Target="/xl/worksheets/sheet5.xml" Id="R09469be1f3344ca3" /><Relationship Type="http://schemas.openxmlformats.org/officeDocument/2006/relationships/worksheet" Target="/xl/worksheets/sheet6.xml" Id="R4d719e6c99c54978" /><Relationship Type="http://schemas.openxmlformats.org/officeDocument/2006/relationships/worksheet" Target="/xl/worksheets/sheet7.xml" Id="R39c7572e21634c13" /><Relationship Type="http://schemas.openxmlformats.org/officeDocument/2006/relationships/worksheet" Target="/xl/worksheets/sheet8.xml" Id="R6877c7984b7d42b3" /><Relationship Type="http://schemas.openxmlformats.org/officeDocument/2006/relationships/worksheet" Target="/xl/worksheets/sheet9.xml" Id="R99a4ca30e3154a5e" /><Relationship Type="http://schemas.openxmlformats.org/officeDocument/2006/relationships/worksheet" Target="/xl/worksheets/sheet10.xml" Id="Rf6f0ec6bb728416a" /><Relationship Type="http://schemas.openxmlformats.org/officeDocument/2006/relationships/worksheet" Target="/xl/worksheets/sheet11.xml" Id="R2598fa30eaf44316" /><Relationship Type="http://schemas.openxmlformats.org/officeDocument/2006/relationships/worksheet" Target="/xl/worksheets/sheet12.xml" Id="Rbffdd2a69e6d4cb6" /><Relationship Type="http://schemas.openxmlformats.org/officeDocument/2006/relationships/worksheet" Target="/xl/worksheets/sheet13.xml" Id="Rf58ff78b831b464f" /><Relationship Type="http://schemas.openxmlformats.org/officeDocument/2006/relationships/worksheet" Target="/xl/worksheets/sheet14.xml" Id="R27bbddde91f549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8892b3c1c24611" /><Relationship Type="http://schemas.openxmlformats.org/officeDocument/2006/relationships/chart" Target="/xl/drawings/charts/chart2.xml" Id="R9ac86b089dee4a9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Release-gate progress by phase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Progress</c:v>
          </c:tx>
          <c:cat>
            <c:strRef>
              <c:f>'Dashboard'!$H$22:$H$26</c:f>
              <c:strCache>
                <c:ptCount val="0"/>
              </c:strCache>
            </c:strRef>
          </c:cat>
          <c:val>
            <c:numRef>
              <c:f>'Dashboard'!$I$22:$I$26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Overall checklist completion</a:t>
            </a:r>
          </a:p>
        </c:rich>
      </c:tx>
      <c:overlay val="0"/>
    </c:title>
    <c:plotArea>
      <c:doughnutChart>
        <c:ser>
          <c:idx val="0"/>
          <c:order val="0"/>
          <c:tx>
            <c:v>Value</c:v>
          </c:tx>
          <c:cat>
            <c:strRef>
              <c:f>'Dashboard'!$A$31:$A$32</c:f>
              <c:strCache>
                <c:ptCount val="0"/>
              </c:strCache>
            </c:strRef>
          </c:cat>
          <c:val>
            <c:numRef>
              <c:f>'Dashboard'!$B$31:$B$32</c:f>
              <c:numCache>
                <c:formatCode>General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29</xdr:row>
      <xdr:rowOff>0</xdr:rowOff>
    </xdr:from>
    <xdr:to>
      <xdr:col>14</xdr:col>
      <xdr:colOff>0</xdr:colOff>
      <xdr:row>46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8892b3c1c2461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6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c86b089dee4a9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sterEvidenceTable" displayName="MasterEvidenceTable" ref="A3:EN503" headerRowCount="1" totalsRowCount="0" totalsRowShown="0">
  <x:autoFilter ref="A3:EN503"/>
  <x:tableColumns count="144">
    <x:tableColumn id="1" name="Evidence ID"/>
    <x:tableColumn id="2" name="Scientific Workflow Status"/>
    <x:tableColumn id="3" name="Objective Scientific Traffic Light"/>
    <x:tableColumn id="4" name="Traffic-Light Reason"/>
    <x:tableColumn id="5" name="Priority"/>
    <x:tableColumn id="6" name="Use Decision"/>
    <x:tableColumn id="7" name="Use Rationale"/>
    <x:tableColumn id="8" name="Next Action"/>
    <x:tableColumn id="9" name="Role in Essay"/>
    <x:tableColumn id="10" name="Evidence Family"/>
    <x:tableColumn id="11" name="Record Stage"/>
    <x:tableColumn id="12" name="Title"/>
    <x:tableColumn id="13" name="Portuguese Working Title"/>
    <x:tableColumn id="14" name="Authors"/>
    <x:tableColumn id="15" name="Year"/>
    <x:tableColumn id="16" name="Journal / Source"/>
    <x:tableColumn id="17" name="Publication Type"/>
    <x:tableColumn id="18" name="Peer-Review Status"/>
    <x:tableColumn id="19" name="Open-Access Status"/>
    <x:tableColumn id="20" name="Language"/>
    <x:tableColumn id="21" name="Source URL"/>
    <x:tableColumn id="22" name="DOI"/>
    <x:tableColumn id="23" name="Normalized DOI"/>
    <x:tableColumn id="24" name="PMID"/>
    <x:tableColumn id="25" name="PMCID"/>
    <x:tableColumn id="26" name="Other Identifier"/>
    <x:tableColumn id="27" name="Database / Platform"/>
    <x:tableColumn id="28" name="Exact Strategy / Query ID"/>
    <x:tableColumn id="29" name="Search Provenance Record ID"/>
    <x:tableColumn id="30" name="Identification Date"/>
    <x:tableColumn id="31" name="Access Date"/>
    <x:tableColumn id="32" name="Zotero Item Key"/>
    <x:tableColumn id="33" name="BibTeX Key"/>
    <x:tableColumn id="34" name="Zotero Collection"/>
    <x:tableColumn id="35" name="Zotero Tags"/>
    <x:tableColumn id="36" name="Country"/>
    <x:tableColumn id="37" name="Brazil?"/>
    <x:tableColumn id="38" name="Institution / Context"/>
    <x:tableColumn id="39" name="Occupation / Population"/>
    <x:tableColumn id="40" name="Operational Role / Unit"/>
    <x:tableColumn id="41" name="Sample Size"/>
    <x:tableColumn id="42" name="Sex / Composition"/>
    <x:tableColumn id="43" name="Age"/>
    <x:tableColumn id="44" name="Service Time"/>
    <x:tableColumn id="45" name="Occupational Environment / Exposure"/>
    <x:tableColumn id="46" name="Equipment / Load"/>
    <x:tableColumn id="47" name="Study Design"/>
    <x:tableColumn id="48" name="Objective"/>
    <x:tableColumn id="49" name="Intervention / Exposure"/>
    <x:tableColumn id="50" name="Comparator"/>
    <x:tableColumn id="51" name="Primary Outcomes"/>
    <x:tableColumn id="52" name="Secondary Outcomes"/>
    <x:tableColumn id="53" name="Instruments / Measures"/>
    <x:tableColumn id="54" name="Instrument Validity"/>
    <x:tableColumn id="55" name="Follow-up"/>
    <x:tableColumn id="56" name="Missing Data / Attrition"/>
    <x:tableColumn id="57" name="Main Findings"/>
    <x:tableColumn id="58" name="Effect Estimate"/>
    <x:tableColumn id="59" name="95% CI"/>
    <x:tableColumn id="60" name="p Value"/>
    <x:tableColumn id="61" name="OR"/>
    <x:tableColumn id="62" name="RR"/>
    <x:tableColumn id="63" name="HR"/>
    <x:tableColumn id="64" name="Correlation Estimate"/>
    <x:tableColumn id="65" name="Regression Estimate"/>
    <x:tableColumn id="66" name="Other Relevant Statistics"/>
    <x:tableColumn id="67" name="Operational / Clinical Significance"/>
    <x:tableColumn id="68" name="Consistency / Conflict with Literature"/>
    <x:tableColumn id="69" name="Primary Readiness Domain"/>
    <x:tableColumn id="70" name="Secondary Domains"/>
    <x:tableColumn id="71" name="Tactical-Athlete Relationship"/>
    <x:tableColumn id="72" name="Operational-Readiness Relationship"/>
    <x:tableColumn id="73" name="APHT / TEMS / TCCC / TECC Relationship"/>
    <x:tableColumn id="74" name="Health"/>
    <x:tableColumn id="75" name="Physical Capability"/>
    <x:tableColumn id="76" name="Cognition"/>
    <x:tableColumn id="77" name="Sleep / Recovery"/>
    <x:tableColumn id="78" name="Occupational Load"/>
    <x:tableColumn id="79" name="Musculoskeletal Injury"/>
    <x:tableColumn id="80" name="Nutrition / Hydration"/>
    <x:tableColumn id="81" name="Medical Readiness"/>
    <x:tableColumn id="82" name="Monitoring / Wearables"/>
    <x:tableColumn id="83" name="Occupational Longevity"/>
    <x:tableColumn id="84" name="Design-Appropriate Quality / RoB Instrument"/>
    <x:tableColumn id="85" name="Methodological Quality"/>
    <x:tableColumn id="86" name="Risk of Bias"/>
    <x:tableColumn id="87" name="Transparent Project Quality Score"/>
    <x:tableColumn id="88" name="Metadata Verified"/>
    <x:tableColumn id="89" name="DOI / PMID Verified"/>
    <x:tableColumn id="90" name="Correction / Retraction / EoC Checked"/>
    <x:tableColumn id="91" name="Correction / Retraction Status"/>
    <x:tableColumn id="92" name="Integrity Status"/>
    <x:tableColumn id="93" name="Integrity Check Date"/>
    <x:tableColumn id="94" name="Integrity Source URL"/>
    <x:tableColumn id="95" name="Funding"/>
    <x:tableColumn id="96" name="Conflicts of Interest"/>
    <x:tableColumn id="97" name="Limitations Reported by Authors"/>
    <x:tableColumn id="98" name="Limitations Identified by Project Team"/>
    <x:tableColumn id="99" name="Transferability — Task / Demand Similarity (0–2)"/>
    <x:tableColumn id="100" name="Transferability — Equipment / Load Similarity (0–2)"/>
    <x:tableColumn id="101" name="Transferability — Environment / Exposure (0–2)"/>
    <x:tableColumn id="102" name="Transferability — Construct / Outcome Relevance (0–2)"/>
    <x:tableColumn id="103" name="Transferability — Population Comparability (0–2)"/>
    <x:tableColumn id="104" name="Transferability — Assessment / Intervention Feasibility (0–2)"/>
    <x:tableColumn id="105" name="Transferability — Legal / Ethical / Institutional Compatibility (0–2)"/>
    <x:tableColumn id="106" name="Transferability Raw Score (0–14)"/>
    <x:tableColumn id="107" name="Transferability Normalized Score (0–10)"/>
    <x:tableColumn id="108" name="Military Safety Override"/>
    <x:tableColumn id="109" name="Transferability Class"/>
    <x:tableColumn id="110" name="Transferability Rationale"/>
    <x:tableColumn id="111" name="CFIR — Innovation"/>
    <x:tableColumn id="112" name="CFIR — Outer Setting"/>
    <x:tableColumn id="113" name="CFIR — Inner Setting"/>
    <x:tableColumn id="114" name="CFIR — Individuals"/>
    <x:tableColumn id="115" name="CFIR — Process"/>
    <x:tableColumn id="116" name="Proctor Implementation Outcomes"/>
    <x:tableColumn id="117" name="ERIC Strategy Terminology"/>
    <x:tableColumn id="118" name="Barriers"/>
    <x:tableColumn id="119" name="Facilitators"/>
    <x:tableColumn id="120" name="Required Resources"/>
    <x:tableColumn id="121" name="Responsible Institutional Actor"/>
    <x:tableColumn id="122" name="Implementation Horizon"/>
    <x:tableColumn id="123" name="Implementation Indicator"/>
    <x:tableColumn id="124" name="Manuscript Claim Supported"/>
    <x:tableColumn id="125" name="Manuscript Claim Location"/>
    <x:tableColumn id="126" name="Page / Section"/>
    <x:tableColumn id="127" name="Table / Figure"/>
    <x:tableColumn id="128" name="Exact Result Supporting the Claim"/>
    <x:tableColumn id="129" name="Controlled Paraphrase / Note"/>
    <x:tableColumn id="130" name="What this article does NOT allow us to claim"/>
    <x:tableColumn id="131" name="Strength for Claim"/>
    <x:tableColumn id="132" name="Claim-Ready?"/>
    <x:tableColumn id="133" name="Claim-Readiness Reason"/>
    <x:tableColumn id="134" name="Lawful PDF Availability"/>
    <x:tableColumn id="135" name="Lawful PDF Location"/>
    <x:tableColumn id="136" name="Full-Text Status"/>
    <x:tableColumn id="137" name="Zotero Note Status"/>
    <x:tableColumn id="138" name="Analysis Date"/>
    <x:tableColumn id="139" name="Reviewer"/>
    <x:tableColumn id="140" name="Second Reviewer"/>
    <x:tableColumn id="141" name="Adjudication Status"/>
    <x:tableColumn id="142" name="Last Updated"/>
    <x:tableColumn id="143" name="Audit Notes"/>
    <x:tableColumn id="144" name="Record Completen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ClaimLinksTable" displayName="ClaimLinksTable" ref="A3:R203" headerRowCount="1" totalsRowCount="0" totalsRowShown="0">
  <x:autoFilter ref="A3:R203"/>
  <x:tableColumns count="18">
    <x:tableColumn id="1" name="Claim Link ID"/>
    <x:tableColumn id="2" name="Evidence ID"/>
    <x:tableColumn id="3" name="Source Title"/>
    <x:tableColumn id="4" name="Normalized DOI"/>
    <x:tableColumn id="5" name="Manuscript Claim"/>
    <x:tableColumn id="6" name="Manuscript Section"/>
    <x:tableColumn id="7" name="Claim Location"/>
    <x:tableColumn id="8" name="Page / Section"/>
    <x:tableColumn id="9" name="Table / Figure"/>
    <x:tableColumn id="10" name="Exact Supporting Result"/>
    <x:tableColumn id="11" name="Controlled Paraphrase"/>
    <x:tableColumn id="12" name="What Source Does NOT Allow"/>
    <x:tableColumn id="13" name="Claim Strength"/>
    <x:tableColumn id="14" name="Use Decision"/>
    <x:tableColumn id="15" name="Verification Status"/>
    <x:tableColumn id="16" name="Reviewer"/>
    <x:tableColumn id="17" name="Review Date"/>
    <x:tableColumn id="18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DomainCoverageTable" displayName="DomainCoverageTable" ref="A4:D17" headerRowCount="1" totalsRowCount="0" totalsRowShown="0">
  <x:autoFilter ref="A4:D17"/>
  <x:tableColumns count="4">
    <x:tableColumn id="1" name="Domain"/>
    <x:tableColumn id="2" name="Primary-domain count"/>
    <x:tableColumn id="3" name="Explicit relationship count"/>
    <x:tableColumn id="4" name="Coverage 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earchProvenanceTable" displayName="SearchProvenanceTable" ref="A3:R303" headerRowCount="1" totalsRowCount="0" totalsRowShown="0">
  <x:autoFilter ref="A3:R303"/>
  <x:tableColumns count="18">
    <x:tableColumn id="1" name="Search Record ID"/>
    <x:tableColumn id="2" name="Evidence Family"/>
    <x:tableColumn id="3" name="Database / Platform"/>
    <x:tableColumn id="4" name="Interface / Provider"/>
    <x:tableColumn id="5" name="Exact Search Strategy"/>
    <x:tableColumn id="6" name="Strategy Version"/>
    <x:tableColumn id="7" name="Search Date"/>
    <x:tableColumn id="8" name="Access Date"/>
    <x:tableColumn id="9" name="Filters / Limits"/>
    <x:tableColumn id="10" name="Result Count"/>
    <x:tableColumn id="11" name="Export Format"/>
    <x:tableColumn id="12" name="Export File"/>
    <x:tableColumn id="13" name="SHA-256 / Checksum"/>
    <x:tableColumn id="14" name="Executor"/>
    <x:tableColumn id="15" name="Peer Review / PRESS Status"/>
    <x:tableColumn id="16" name="Zotero Import Status"/>
    <x:tableColumn id="17" name="Production vs Pilot"/>
    <x:tableColumn id="18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ZoteroCollectionsTable" displayName="ZoteroCollectionsTable" ref="A17:D42" headerRowCount="1" totalsRowCount="0" totalsRowShown="0">
  <x:autoFilter ref="A17:D42"/>
  <x:tableColumns count="4">
    <x:tableColumn id="1" name="#"/>
    <x:tableColumn id="2" name="Expected subcollection"/>
    <x:tableColumn id="3" name="Observed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ZoteroTagsTable" displayName="ZoteroTagsTable" ref="F17:H49" headerRowCount="1" totalsRowCount="0" totalsRowShown="0">
  <x:autoFilter ref="F17:H49"/>
  <x:tableColumns count="3">
    <x:tableColumn id="1" name="Required tag"/>
    <x:tableColumn id="2" name="Observed"/>
    <x:tableColumn id="3" name="Statu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8" name="ZoteroTestsTable" displayName="ZoteroTestsTable" ref="J17:L32" headerRowCount="1" totalsRowCount="0" totalsRowShown="0">
  <x:autoFilter ref="J17:L32"/>
  <x:tableColumns count="3">
    <x:tableColumn id="1" name="Release test"/>
    <x:tableColumn id="2" name="Result"/>
    <x:tableColumn id="3" name="Evidence"/>
  </x:tableColumns>
  <x:tableStyleInfo name="TableStyleMedium9" showFirstColumn="0" showLastColumn="0" showRowStripes="1" showColumnStripes="0"/>
</x:table>
</file>

<file path=xl/tables/table8.xml><?xml version="1.0" encoding="utf-8"?>
<x:table xmlns:x="http://schemas.openxmlformats.org/spreadsheetml/2006/main" id="9" name="FullTextControlTable" displayName="FullTextControlTable" ref="A3:M503" headerRowCount="1" totalsRowCount="0" totalsRowShown="0">
  <x:autoFilter ref="A3:M503"/>
  <x:tableColumns count="13">
    <x:tableColumn id="1" name="Evidence ID"/>
    <x:tableColumn id="2" name="Source Title"/>
    <x:tableColumn id="3" name="Lawful Availability"/>
    <x:tableColumn id="4" name="Full-Text Status"/>
    <x:tableColumn id="5" name="Storage System"/>
    <x:tableColumn id="6" name="Lawful Location"/>
    <x:tableColumn id="7" name="Filename"/>
    <x:tableColumn id="8" name="File Checksum"/>
    <x:tableColumn id="9" name="Access Rights / License"/>
    <x:tableColumn id="10" name="Acquisition Date"/>
    <x:tableColumn id="11" name="Zotero Attachment Key"/>
    <x:tableColumn id="12" name="Reviewer"/>
    <x:tableColumn id="13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GapsFutureTable" displayName="GapsFutureTable" ref="A3:O203" headerRowCount="1" totalsRowCount="0" totalsRowShown="0">
  <x:autoFilter ref="A3:O203"/>
  <x:tableColumns count="15">
    <x:tableColumn id="1" name="Gap ID"/>
    <x:tableColumn id="2" name="Domain"/>
    <x:tableColumn id="3" name="Gap Statement"/>
    <x:tableColumn id="4" name="Evidence Basis / IDs"/>
    <x:tableColumn id="5" name="Brazil Relevance"/>
    <x:tableColumn id="6" name="Population"/>
    <x:tableColumn id="7" name="Proposed Study Design"/>
    <x:tableColumn id="8" name="Priority"/>
    <x:tableColumn id="9" name="Feasibility"/>
    <x:tableColumn id="10" name="Ethical / Legal Constraints"/>
    <x:tableColumn id="11" name="Expected Readiness Contribution"/>
    <x:tableColumn id="12" name="Dependencies"/>
    <x:tableColumn id="13" name="Owner"/>
    <x:tableColumn id="14" name="Target Horizon"/>
    <x:tableColumn id="15" name="Statu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" name="ReleaseGatesTable" displayName="ReleaseGatesTable" ref="A4:E78" headerRowCount="1" totalsRowCount="0" totalsRowShown="0">
  <x:autoFilter ref="A4:E78"/>
  <x:tableColumns count="5">
    <x:tableColumn id="1" name="Phase"/>
    <x:tableColumn id="2" name="Checklist Item"/>
    <x:tableColumn id="3" name="Status"/>
    <x:tableColumn id="4" name="Evidence / Audit Trail"/>
    <x:tableColumn id="5" name="Blocker / Dependenc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2b30f84878b45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3e1bb84c424e49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79889fd775245f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01d507d193c458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4.xml" Id="R2c5d91918ad74a1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5.xml" Id="R657f0932f8a047fa" /><Relationship Type="http://schemas.openxmlformats.org/officeDocument/2006/relationships/table" Target="/xl/tables/table6.xml" Id="Ra2d9fb747fbe46fb" /><Relationship Type="http://schemas.openxmlformats.org/officeDocument/2006/relationships/table" Target="/xl/tables/table7.xml" Id="R67eb4ff9baf34de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8.xml" Id="R00cc629e047c41d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9.xml" Id="R3a6c1e90e94f429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0.xml" Id="Rc59388c1b7ec43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78" hidden="0" customWidth="1"/>
    <x:col min="3" max="3" width="56" hidden="0" customWidth="1"/>
    <x:col min="4" max="4" width="24" hidden="0" customWidth="1"/>
  </x:cols>
  <x:sheetData>
    <x:row r="1" ht="34" customHeight="1">
      <x:c r="A1" s="366" t="str">
        <x:v>PREMIUM ELITE DIAMANTE — EVIDENCE COMMAND CENTER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Operational Readiness Brazil | conceptual and applied scientific essay | v1.0 | definitive evidence identification remains locked until ZOTERO PASS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Field</x:v>
      </x:c>
      <x:c r="B4" s="371" t="str">
        <x:v>Current authoritative value</x:v>
      </x:c>
      <x:c r="C4" s="372"/>
      <x:c r="D4" s="372"/>
      <x:c r="E4" s="370"/>
      <x:c r="F4" s="370"/>
      <x:c r="G4" s="370"/>
      <x:c r="H4" s="370"/>
      <x:c r="I4" s="370"/>
      <x:c r="J4" s="370"/>
    </x:row>
    <x:row r="5">
      <x:c r="A5" s="27" t="str">
        <x:v>Project</x:v>
      </x:c>
      <x:c r="B5" s="32" t="str">
        <x:v>From Tactical Athlete to Operational Readiness: An Applied Human Performance Framework for Brazilian Public Safety</x:v>
      </x:c>
      <x:c r="C5" s="372"/>
      <x:c r="D5" s="372"/>
      <x:c r="E5" s="370"/>
      <x:c r="F5" s="370"/>
      <x:c r="G5" s="370"/>
      <x:c r="H5" s="370"/>
      <x:c r="I5" s="370"/>
      <x:c r="J5" s="370"/>
    </x:row>
    <x:row r="6">
      <x:c r="A6" s="27" t="str">
        <x:v>Portuguese title</x:v>
      </x:c>
      <x:c r="B6" s="32" t="str">
        <x:v>Do Atleta Tático à Prontidão Operacional: um framework aplicado de desempenho humano para a segurança pública brasileira</x:v>
      </x:c>
      <x:c r="C6" s="372"/>
      <x:c r="D6" s="372"/>
      <x:c r="E6" s="370"/>
      <x:c r="F6" s="370"/>
      <x:c r="G6" s="370"/>
      <x:c r="H6" s="370"/>
      <x:c r="I6" s="370"/>
      <x:c r="J6" s="370"/>
    </x:row>
    <x:row r="7">
      <x:c r="A7" s="27" t="str">
        <x:v>Study design</x:v>
      </x:c>
      <x:c r="B7" s="32" t="str">
        <x:v>Conceptual and applied scientific essay informed by structured and reproducible evidence identification; not a systematic/scoping review.</x:v>
      </x:c>
      <x:c r="C7" s="372"/>
      <x:c r="D7" s="372"/>
      <x:c r="E7" s="370"/>
      <x:c r="F7" s="370"/>
      <x:c r="G7" s="370"/>
      <x:c r="H7" s="370"/>
      <x:c r="I7" s="370"/>
      <x:c r="J7" s="370"/>
    </x:row>
    <x:row r="8">
      <x:c r="A8" s="27" t="str">
        <x:v>Canonical evidence table</x:v>
      </x:c>
      <x:c r="B8" s="32" t="str">
        <x:v>Master Evidence — one article/source per row.</x:v>
      </x:c>
      <x:c r="C8" s="372"/>
      <x:c r="D8" s="372"/>
      <x:c r="E8" s="370"/>
      <x:c r="F8" s="370"/>
      <x:c r="G8" s="370"/>
      <x:c r="H8" s="370"/>
      <x:c r="I8" s="370"/>
      <x:c r="J8" s="370"/>
    </x:row>
    <x:row r="9">
      <x:c r="A9" s="27" t="str">
        <x:v>Bibliographic source of truth</x:v>
      </x:c>
      <x:c r="B9" s="32" t="str">
        <x:v>Zotero Desktop — release gate currently BLOCKED.</x:v>
      </x:c>
      <x:c r="C9" s="372"/>
      <x:c r="D9" s="372"/>
      <x:c r="E9" s="370"/>
      <x:c r="F9" s="370"/>
      <x:c r="G9" s="370"/>
      <x:c r="H9" s="370"/>
      <x:c r="I9" s="370"/>
      <x:c r="J9" s="370"/>
    </x:row>
    <x:row r="10">
      <x:c r="A10" s="27" t="str">
        <x:v>Definitive evidence identification</x:v>
      </x:c>
      <x:c r="B10" s="32" t="str">
        <x:v>LOCKED until every Zotero release test is actually passed.</x:v>
      </x:c>
      <x:c r="C10" s="372"/>
      <x:c r="D10" s="372"/>
      <x:c r="E10" s="370"/>
      <x:c r="F10" s="370"/>
      <x:c r="G10" s="370"/>
      <x:c r="H10" s="370"/>
      <x:c r="I10" s="370"/>
      <x:c r="J10" s="370"/>
    </x:row>
    <x:row r="11">
      <x:c r="A11" s="27" t="str">
        <x:v>Current GitHub baseline</x:v>
      </x:c>
      <x:c r="B11" s="32" t="str">
        <x:v>main @ 67847ecf22a1a0c596fa2edf25204efdb7650387 (audited 2026-08-27 UTC)</x:v>
      </x:c>
      <x:c r="C11" s="372"/>
      <x:c r="D11" s="372"/>
      <x:c r="E11" s="370"/>
      <x:c r="F11" s="370"/>
      <x:c r="G11" s="370"/>
      <x:c r="H11" s="370"/>
      <x:c r="I11" s="370"/>
      <x:c r="J11" s="370"/>
    </x:row>
    <x:row r="12">
      <x:c r="A12" s="27" t="str">
        <x:v>OSF associated project</x:v>
      </x:c>
      <x:c r="B12" s="32" t="str">
        <x:v>https://osf.io/djgax</x:v>
      </x:c>
      <x:c r="C12" s="372"/>
      <x:c r="D12" s="372"/>
      <x:c r="E12" s="370"/>
      <x:c r="F12" s="370"/>
      <x:c r="G12" s="370"/>
      <x:c r="H12" s="370"/>
      <x:c r="I12" s="370"/>
      <x:c r="J12" s="370"/>
    </x:row>
    <x:row r="13">
      <x:c r="A13" s="27" t="str">
        <x:v>Workbook audit timestamp</x:v>
      </x:c>
      <x:c r="B13" s="33" t="n">
        <x:v>46261.1080983912</x:v>
      </x:c>
      <x:c r="C13" s="372"/>
      <x:c r="D13" s="372"/>
      <x:c r="E13" s="370"/>
      <x:c r="F13" s="370"/>
      <x:c r="G13" s="370"/>
      <x:c r="H13" s="370"/>
      <x:c r="I13" s="370"/>
      <x:c r="J13" s="370"/>
    </x:row>
    <x:row r="14">
      <x:c r="A14" s="27" t="str">
        <x:v>Scientific rule</x:v>
      </x:c>
      <x:c r="B14" s="32" t="str">
        <x:v>Identification alone never makes a source claim-ready.</x:v>
      </x:c>
      <x:c r="C14" s="372"/>
      <x:c r="D14" s="372"/>
      <x:c r="E14" s="370"/>
      <x:c r="F14" s="370"/>
      <x:c r="G14" s="370"/>
      <x:c r="H14" s="370"/>
      <x:c r="I14" s="370"/>
      <x:c r="J14" s="370"/>
    </x:row>
    <x:row r="15">
      <x:c r="A15" s="27" t="str">
        <x:v>Military evidence rule</x:v>
      </x:c>
      <x:c r="B15" s="32" t="str">
        <x:v>Highly combat-specific military evidence must never independently justify a Brazilian institutional recommendation.</x:v>
      </x:c>
      <x:c r="C15" s="372"/>
      <x:c r="D15" s="372"/>
      <x:c r="E15" s="370"/>
      <x:c r="F15" s="370"/>
      <x:c r="G15" s="370"/>
      <x:c r="H15" s="370"/>
      <x:c r="I15" s="370"/>
      <x:c r="J15" s="370"/>
    </x:row>
    <x:row r="16">
      <x:c r="A16" s="27" t="str">
        <x:v>Claim traceability</x:v>
      </x:c>
      <x:c r="B16" s="32" t="str">
        <x:v>Every manuscript claim must resolve to Evidence ID → exact result → page/section → table/figure → limitation boundary.</x:v>
      </x:c>
      <x:c r="C16" s="372"/>
      <x:c r="D16" s="372"/>
      <x:c r="E16" s="370"/>
      <x:c r="F16" s="370"/>
      <x:c r="G16" s="370"/>
      <x:c r="H16" s="370"/>
      <x:c r="I16" s="370"/>
      <x:c r="J16" s="370"/>
    </x:row>
    <x:row r="17">
      <x:c r="A17" s="27" t="str">
        <x:v>Mandatory negative boundary</x:v>
      </x:c>
      <x:c r="B17" s="32" t="str">
        <x:v>Complete “What this article does NOT allow us to claim” before claim-ready classification.</x:v>
      </x:c>
      <x:c r="C17" s="372"/>
      <x:c r="D17" s="372"/>
      <x:c r="E17" s="370"/>
      <x:c r="F17" s="370"/>
      <x:c r="G17" s="370"/>
      <x:c r="H17" s="370"/>
      <x:c r="I17" s="370"/>
      <x:c r="J17" s="370"/>
    </x:row>
    <x:row r="18">
      <x:c r="A18" s="372"/>
      <x:c r="B18" s="372"/>
      <x:c r="C18" s="372"/>
      <x:c r="D18" s="372"/>
      <x:c r="E18" s="370"/>
      <x:c r="F18" s="370"/>
      <x:c r="G18" s="370"/>
      <x:c r="H18" s="370"/>
      <x:c r="I18" s="370"/>
      <x:c r="J18" s="370"/>
    </x:row>
    <x:row r="19">
      <x:c r="A19" s="373" t="str">
        <x:v>Scientific traffic light</x:v>
      </x:c>
      <x:c r="B19" s="373" t="str">
        <x:v>Meaning</x:v>
      </x:c>
      <x:c r="C19" s="373" t="str">
        <x:v>Minimum expectation</x:v>
      </x:c>
      <x:c r="D19" s="373" t="str">
        <x:v>Human review required</x:v>
      </x:c>
      <x:c r="E19" s="370"/>
      <x:c r="F19" s="370"/>
      <x:c r="G19" s="370"/>
      <x:c r="H19" s="370"/>
      <x:c r="I19" s="370"/>
      <x:c r="J19" s="370"/>
    </x:row>
    <x:row r="20">
      <x:c r="A20" s="372" t="str">
        <x:v>🟢 Claim-ready</x:v>
      </x:c>
      <x:c r="B20" s="372" t="str">
        <x:v>Usable for a bounded claim</x:v>
      </x:c>
      <x:c r="C20" s="372" t="str">
        <x:v>Metadata + integrity verified; appraisal adequate; claim within study limits</x:v>
      </x:c>
      <x:c r="D20" s="372" t="str">
        <x:v>Yes</x:v>
      </x:c>
      <x:c r="E20" s="370"/>
      <x:c r="F20" s="370"/>
      <x:c r="G20" s="370"/>
      <x:c r="H20" s="370"/>
      <x:c r="I20" s="370"/>
      <x:c r="J20" s="370"/>
    </x:row>
    <x:row r="21">
      <x:c r="A21" s="372" t="str">
        <x:v>🟡 Caution/context</x:v>
      </x:c>
      <x:c r="B21" s="372" t="str">
        <x:v>Potentially useful with unresolved limits</x:v>
      </x:c>
      <x:c r="C21" s="372" t="str">
        <x:v>Open checks, limited transferability, or contextual role</x:v>
      </x:c>
      <x:c r="D21" s="372" t="str">
        <x:v>Yes</x:v>
      </x:c>
      <x:c r="E21" s="370"/>
      <x:c r="F21" s="370"/>
      <x:c r="G21" s="370"/>
      <x:c r="H21" s="370"/>
      <x:c r="I21" s="370"/>
      <x:c r="J21" s="370"/>
    </x:row>
    <x:row r="22">
      <x:c r="A22" s="372" t="str">
        <x:v>🔴 Do not use for conclusion</x:v>
      </x:c>
      <x:c r="B22" s="372" t="str">
        <x:v>Retracted, critically unreliable, out of scope, or not usable</x:v>
      </x:c>
      <x:c r="C22" s="372" t="str">
        <x:v>No conclusion may depend on it</x:v>
      </x:c>
      <x:c r="D22" s="372" t="str">
        <x:v>Yes</x:v>
      </x:c>
      <x:c r="E22" s="370"/>
      <x:c r="F22" s="370"/>
      <x:c r="G22" s="370"/>
      <x:c r="H22" s="370"/>
      <x:c r="I22" s="370"/>
      <x:c r="J22" s="370"/>
    </x:row>
    <x:row r="23">
      <x:c r="A23" s="372" t="str">
        <x:v>🔵 Official/contextual</x:v>
      </x:c>
      <x:c r="B23" s="372" t="str">
        <x:v>Governance, regulation, or system context</x:v>
      </x:c>
      <x:c r="C23" s="372" t="str">
        <x:v>Source authority and current validity verified</x:v>
      </x:c>
      <x:c r="D23" s="372" t="str">
        <x:v>Yes</x:v>
      </x:c>
      <x:c r="E23" s="370"/>
      <x:c r="F23" s="370"/>
      <x:c r="G23" s="370"/>
      <x:c r="H23" s="370"/>
      <x:c r="I23" s="370"/>
      <x:c r="J23" s="370"/>
    </x:row>
    <x:row r="24">
      <x:c r="A24" s="372" t="str">
        <x:v>🟣 Conceptual key source</x:v>
      </x:c>
      <x:c r="B24" s="372" t="str">
        <x:v>Definitions, theory, paradigm, or framework architecture</x:v>
      </x:c>
      <x:c r="C24" s="372" t="str">
        <x:v>Conceptual role explicitly bounded</x:v>
      </x:c>
      <x:c r="D24" s="372" t="str">
        <x:v>Yes</x:v>
      </x:c>
      <x:c r="E24" s="370"/>
      <x:c r="F24" s="370"/>
      <x:c r="G24" s="370"/>
      <x:c r="H24" s="370"/>
      <x:c r="I24" s="370"/>
      <x:c r="J24" s="370"/>
    </x:row>
    <x:row r="25">
      <x:c r="A25" s="372" t="str">
        <x:v>No color-only encoding</x:v>
      </x:c>
      <x:c r="B25" s="372" t="str">
        <x:v>Every color also has a text label</x:v>
      </x:c>
      <x:c r="C25" s="372" t="str">
        <x:v>Machine-readable status fields remain authoritative</x:v>
      </x:c>
      <x:c r="D25" s="372" t="str">
        <x:v>Yes</x:v>
      </x:c>
      <x:c r="E25" s="370"/>
      <x:c r="F25" s="370"/>
      <x:c r="G25" s="370"/>
      <x:c r="H25" s="370"/>
      <x:c r="I25" s="370"/>
      <x:c r="J25" s="370"/>
    </x:row>
  </x:sheetData>
  <x:mergeCells>
    <x:mergeCell ref="A1:J1"/>
    <x:mergeCell ref="A2:J2"/>
  </x:mergeCells>
  <x:conditionalFormatting sqref="A20:A25">
    <x:cfRule type="containsText" dxfId="0" priority="1" operator="containsText" text="🟢"/>
    <x:cfRule type="containsText" dxfId="1" priority="2" operator="containsText" text="🟡"/>
    <x:cfRule type="containsText" dxfId="2" priority="3" operator="containsText" text="🔴"/>
    <x:cfRule type="containsText" dxfId="3" priority="4" operator="containsText" text="🔵"/>
    <x:cfRule type="containsText" dxfId="4" priority="5" operator="containsText" text="🟣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4" hidden="0" customWidth="1"/>
    <x:col min="4" max="4" width="18" hidden="0" customWidth="1"/>
    <x:col min="5" max="5" width="14" hidden="0" customWidth="1"/>
    <x:col min="6" max="6" width="4" hidden="0" customWidth="1"/>
    <x:col min="7" max="7" width="18" hidden="0" customWidth="1"/>
    <x:col min="8" max="8" width="24" hidden="0" customWidth="1"/>
    <x:col min="9" max="9" width="14" hidden="0" customWidth="1"/>
    <x:col min="10" max="10" width="18" hidden="0" customWidth="1"/>
    <x:col min="11" max="11" width="14" hidden="0" customWidth="1"/>
    <x:col min="12" max="12" width="4" hidden="0" customWidth="1"/>
    <x:col min="13" max="13" width="24" hidden="0" customWidth="1"/>
    <x:col min="14" max="14" width="24" hidden="0" customWidth="1"/>
  </x:cols>
  <x:sheetData>
    <x:row r="1" ht="34" customHeight="1">
      <x:c r="A1" s="366" t="str">
        <x:v>EVIDENCE COMMAND CENTER — EXECUTIVE DASHBOARD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8"/>
    </x:row>
    <x:row r="2" ht="30" customHeight="1">
      <x:c r="A2" s="369" t="str">
        <x:v>All evidence KPIs are formula-driven from Master Evidence. Zero means no definitive evidence row has been released; it is not a missing calculation.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</x:row>
    <x:row r="4">
      <x:c r="A4" s="374" t="str">
        <x:v>CURRENT DECISION: BLOCKED — Zotero Desktop profile/prefs.js not available; API 23119 refused connection; definitive evidence identification remains LOCKED.</x:v>
      </x:c>
      <x:c r="B4" s="375"/>
      <x:c r="C4" s="375"/>
      <x:c r="D4" s="375"/>
      <x:c r="E4" s="375"/>
      <x:c r="F4" s="375"/>
      <x:c r="G4" s="375"/>
      <x:c r="H4" s="375"/>
      <x:c r="I4" s="375"/>
      <x:c r="J4" s="375"/>
      <x:c r="K4" s="375"/>
      <x:c r="L4" s="375"/>
      <x:c r="M4" s="375"/>
      <x:c r="N4" s="376"/>
    </x:row>
    <x:row r="5">
      <x:c r="A5" s="377"/>
      <x:c r="B5" s="378"/>
      <x:c r="C5" s="378"/>
      <x:c r="D5" s="378"/>
      <x:c r="E5" s="378"/>
      <x:c r="F5" s="378"/>
      <x:c r="G5" s="378"/>
      <x:c r="H5" s="378"/>
      <x:c r="I5" s="378"/>
      <x:c r="J5" s="378"/>
      <x:c r="K5" s="378"/>
      <x:c r="L5" s="378"/>
      <x:c r="M5" s="378"/>
      <x:c r="N5" s="379"/>
    </x:row>
    <x:row r="6">
      <x:c r="A6" s="370"/>
      <x:c r="B6" s="370"/>
      <x:c r="C6" s="370"/>
      <x:c r="D6" s="370"/>
      <x:c r="E6" s="370"/>
      <x:c r="F6" s="370"/>
      <x:c r="G6" s="370"/>
      <x:c r="H6" s="370"/>
      <x:c r="I6" s="370"/>
      <x:c r="J6" s="370"/>
      <x:c r="K6" s="370"/>
      <x:c r="L6" s="370"/>
      <x:c r="M6" s="370"/>
      <x:c r="N6" s="370"/>
    </x:row>
    <x:row r="7">
      <x:c r="A7" s="380" t="str">
        <x:v>Total identified</x:v>
      </x:c>
      <x:c r="B7" s="380"/>
      <x:c r="C7" s="380"/>
      <x:c r="D7" s="380" t="str">
        <x:v>Metadata verified</x:v>
      </x:c>
      <x:c r="E7" s="380"/>
      <x:c r="F7" s="380"/>
      <x:c r="G7" s="380" t="str">
        <x:v>Integrity checked</x:v>
      </x:c>
      <x:c r="H7" s="380"/>
      <x:c r="I7" s="380"/>
      <x:c r="J7" s="380" t="str">
        <x:v>Claim-ready</x:v>
      </x:c>
      <x:c r="K7" s="380"/>
      <x:c r="L7" s="380"/>
      <x:c r="M7" s="381" t="str">
        <x:v>Gate metric</x:v>
      </x:c>
      <x:c r="N7" s="381" t="str">
        <x:v>Value</x:v>
      </x:c>
    </x:row>
    <x:row r="8">
      <x:c r="A8" s="382" t="n">
        <x:f>COUNTIF('Master Evidence'!$L$4:$L$503,"&lt;&gt;")</x:f>
        <x:v>0</x:v>
      </x:c>
      <x:c r="B8" s="383"/>
      <x:c r="C8" s="384"/>
      <x:c r="D8" s="385" t="n">
        <x:f>COUNTIFS('Master Evidence'!$L$4:$L$503,"&lt;&gt;",'Master Evidence'!$CJ$4:$CJ$503,"Yes")</x:f>
        <x:v>0</x:v>
      </x:c>
      <x:c r="E8" s="386"/>
      <x:c r="F8" s="387"/>
      <x:c r="G8" s="385" t="n">
        <x:f>COUNTIFS('Master Evidence'!$L$4:$L$503,"&lt;&gt;",'Master Evidence'!$CL$4:$CL$503,"Yes")</x:f>
        <x:v>0</x:v>
      </x:c>
      <x:c r="H8" s="386"/>
      <x:c r="I8" s="387"/>
      <x:c r="J8" s="385" t="n">
        <x:f>COUNTIFS('Master Evidence'!$L$4:$L$503,"&lt;&gt;",'Master Evidence'!$EB$4:$EB$503,"Yes")</x:f>
        <x:v>0</x:v>
      </x:c>
      <x:c r="K8" s="386"/>
      <x:c r="L8" s="387"/>
      <x:c r="M8" s="370" t="str">
        <x:v>Overall progress</x:v>
      </x:c>
      <x:c r="N8" s="388" t="n">
        <x:f>'Release Gates'!J10</x:f>
        <x:v>0.4594594594594595</x:v>
      </x:c>
    </x:row>
    <x:row r="9">
      <x:c r="A9" s="389"/>
      <x:c r="B9" s="390"/>
      <x:c r="C9" s="391"/>
      <x:c r="D9" s="392"/>
      <x:c r="E9" s="393"/>
      <x:c r="F9" s="394"/>
      <x:c r="G9" s="392"/>
      <x:c r="H9" s="393"/>
      <x:c r="I9" s="394"/>
      <x:c r="J9" s="392"/>
      <x:c r="K9" s="393"/>
      <x:c r="L9" s="394"/>
      <x:c r="M9" s="370" t="str">
        <x:v>Current stage</x:v>
      </x:c>
      <x:c r="N9" s="388" t="str">
        <x:v>Zotero Release Gate</x:v>
      </x:c>
    </x:row>
    <x:row r="10">
      <x:c r="A10" s="395"/>
      <x:c r="B10" s="396"/>
      <x:c r="C10" s="397"/>
      <x:c r="D10" s="398"/>
      <x:c r="E10" s="399"/>
      <x:c r="F10" s="400"/>
      <x:c r="G10" s="398"/>
      <x:c r="H10" s="399"/>
      <x:c r="I10" s="400"/>
      <x:c r="J10" s="398"/>
      <x:c r="K10" s="399"/>
      <x:c r="L10" s="400"/>
      <x:c r="M10" s="370" t="str">
        <x:v>Stage progress</x:v>
      </x:c>
      <x:c r="N10" s="388" t="n">
        <x:f>'Release Gates'!J7</x:f>
        <x:v>0.2857142857142857</x:v>
      </x:c>
    </x:row>
    <x:row r="11">
      <x:c r="A11" s="380" t="str">
        <x:v>Contextual</x:v>
      </x:c>
      <x:c r="B11" s="380"/>
      <x:c r="C11" s="380"/>
      <x:c r="D11" s="380" t="str">
        <x:v>Brazil evidence</x:v>
      </x:c>
      <x:c r="E11" s="380"/>
      <x:c r="F11" s="380"/>
      <x:c r="G11" s="380" t="str">
        <x:v>International evidence</x:v>
      </x:c>
      <x:c r="H11" s="380"/>
      <x:c r="I11" s="380"/>
      <x:c r="J11" s="380" t="str">
        <x:v>Military evidence</x:v>
      </x:c>
      <x:c r="K11" s="380"/>
      <x:c r="L11" s="380"/>
      <x:c r="M11" s="370" t="str">
        <x:v>Zotero API</x:v>
      </x:c>
      <x:c r="N11" s="370" t="str">
        <x:v>BLOCKED</x:v>
      </x:c>
    </x:row>
    <x:row r="12">
      <x:c r="A12" s="401" t="n">
        <x:f>COUNTIFS('Master Evidence'!$L$4:$L$503,"&lt;&gt;",'Master Evidence'!$F$4:$F$503,"Contextual")</x:f>
        <x:v>0</x:v>
      </x:c>
      <x:c r="B12" s="402"/>
      <x:c r="C12" s="403"/>
      <x:c r="D12" s="404" t="n">
        <x:f>COUNTIFS('Master Evidence'!$L$4:$L$503,"&lt;&gt;",'Master Evidence'!$AK$4:$AK$503,"Yes")</x:f>
        <x:v>0</x:v>
      </x:c>
      <x:c r="E12" s="405"/>
      <x:c r="F12" s="406"/>
      <x:c r="G12" s="404" t="n">
        <x:f>COUNTIFS('Master Evidence'!$L$4:$L$503,"&lt;&gt;",'Master Evidence'!$AK$4:$AK$503,"No")</x:f>
        <x:v>0</x:v>
      </x:c>
      <x:c r="H12" s="405"/>
      <x:c r="I12" s="406"/>
      <x:c r="J12" s="407" t="n">
        <x:f>COUNTIFS('Master Evidence'!$L$4:$L$503,"&lt;&gt;",'Master Evidence'!$AM$4:$AM$503,"*military*")</x:f>
        <x:v>0</x:v>
      </x:c>
      <x:c r="K12" s="408"/>
      <x:c r="L12" s="409"/>
      <x:c r="M12" s="370" t="str">
        <x:v>Evidence identification</x:v>
      </x:c>
      <x:c r="N12" s="370" t="str">
        <x:v>LOCKED</x:v>
      </x:c>
    </x:row>
    <x:row r="13">
      <x:c r="A13" s="410"/>
      <x:c r="B13" s="411"/>
      <x:c r="C13" s="412"/>
      <x:c r="D13" s="413"/>
      <x:c r="E13" s="414"/>
      <x:c r="F13" s="415"/>
      <x:c r="G13" s="413"/>
      <x:c r="H13" s="414"/>
      <x:c r="I13" s="415"/>
      <x:c r="J13" s="416"/>
      <x:c r="K13" s="417"/>
      <x:c r="L13" s="418"/>
      <x:c r="M13" s="370" t="str">
        <x:v>Master Evidence rows</x:v>
      </x:c>
      <x:c r="N13" s="370" t="str">
        <x:v>0 released</x:v>
      </x:c>
    </x:row>
    <x:row r="14">
      <x:c r="A14" s="419"/>
      <x:c r="B14" s="420"/>
      <x:c r="C14" s="421"/>
      <x:c r="D14" s="422"/>
      <x:c r="E14" s="423"/>
      <x:c r="F14" s="424"/>
      <x:c r="G14" s="422"/>
      <x:c r="H14" s="423"/>
      <x:c r="I14" s="424"/>
      <x:c r="J14" s="425"/>
      <x:c r="K14" s="426"/>
      <x:c r="L14" s="427"/>
      <x:c r="M14" s="370" t="str">
        <x:v>Decision</x:v>
      </x:c>
      <x:c r="N14" s="370" t="str">
        <x:v>BLOCKED</x:v>
      </x:c>
    </x:row>
    <x:row r="15">
      <x:c r="A15" s="380" t="str">
        <x:v>APHT evidence</x:v>
      </x:c>
      <x:c r="B15" s="380"/>
      <x:c r="C15" s="380"/>
      <x:c r="D15" s="380" t="str">
        <x:v>Implementation science</x:v>
      </x:c>
      <x:c r="E15" s="380"/>
      <x:c r="F15" s="380"/>
      <x:c r="G15" s="380" t="str">
        <x:v>Full text pending</x:v>
      </x:c>
      <x:c r="H15" s="380"/>
      <x:c r="I15" s="380"/>
      <x:c r="J15" s="380" t="str">
        <x:v>Analysis pending</x:v>
      </x:c>
      <x:c r="K15" s="380"/>
      <x:c r="L15" s="380"/>
      <x:c r="M15" s="370"/>
      <x:c r="N15" s="370"/>
    </x:row>
    <x:row r="16">
      <x:c r="A16" s="407" t="n">
        <x:f>COUNTIFS('Master Evidence'!$L$4:$L$503,"&lt;&gt;",'Master Evidence'!$J$4:$J$503,"B — APHT / Medical Readiness")</x:f>
        <x:v>0</x:v>
      </x:c>
      <x:c r="B16" s="408"/>
      <x:c r="C16" s="409"/>
      <x:c r="D16" s="407" t="n">
        <x:f>COUNTIFS('Master Evidence'!$L$4:$L$503,"&lt;&gt;",'Master Evidence'!$J$4:$J$503,"C — Implementation Science")</x:f>
        <x:v>0</x:v>
      </x:c>
      <x:c r="E16" s="408"/>
      <x:c r="F16" s="409"/>
      <x:c r="G16" s="401" t="n">
        <x:f>COUNTIFS('Master Evidence'!$L$4:$L$503,"&lt;&gt;",'Master Evidence'!$EF$4:$EF$503,"Pending")</x:f>
        <x:v>0</x:v>
      </x:c>
      <x:c r="H16" s="402"/>
      <x:c r="I16" s="403"/>
      <x:c r="J16" s="401" t="n">
        <x:f>COUNTIFS('Master Evidence'!$L$4:$L$503,"&lt;&gt;",'Master Evidence'!$EH$4:$EH$503,"")</x:f>
        <x:v>0</x:v>
      </x:c>
      <x:c r="K16" s="402"/>
      <x:c r="L16" s="403"/>
      <x:c r="M16" s="370"/>
      <x:c r="N16" s="370"/>
    </x:row>
    <x:row r="17">
      <x:c r="A17" s="416"/>
      <x:c r="B17" s="417"/>
      <x:c r="C17" s="418"/>
      <x:c r="D17" s="416"/>
      <x:c r="E17" s="417"/>
      <x:c r="F17" s="418"/>
      <x:c r="G17" s="410"/>
      <x:c r="H17" s="411"/>
      <x:c r="I17" s="412"/>
      <x:c r="J17" s="410"/>
      <x:c r="K17" s="411"/>
      <x:c r="L17" s="412"/>
      <x:c r="M17" s="370"/>
      <x:c r="N17" s="370"/>
    </x:row>
    <x:row r="18">
      <x:c r="A18" s="425"/>
      <x:c r="B18" s="426"/>
      <x:c r="C18" s="427"/>
      <x:c r="D18" s="425"/>
      <x:c r="E18" s="426"/>
      <x:c r="F18" s="427"/>
      <x:c r="G18" s="419"/>
      <x:c r="H18" s="420"/>
      <x:c r="I18" s="421"/>
      <x:c r="J18" s="419"/>
      <x:c r="K18" s="420"/>
      <x:c r="L18" s="421"/>
      <x:c r="M18" s="370"/>
      <x:c r="N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</x:row>
    <x:row r="21">
      <x:c r="A21" s="373" t="str">
        <x:v>Scientific traffic light</x:v>
      </x:c>
      <x:c r="B21" s="373" t="str">
        <x:v>Count</x:v>
      </x:c>
      <x:c r="C21" s="370"/>
      <x:c r="D21" s="373" t="str">
        <x:v>Transferability</x:v>
      </x:c>
      <x:c r="E21" s="373" t="str">
        <x:v>Count</x:v>
      </x:c>
      <x:c r="F21" s="370"/>
      <x:c r="G21" s="370"/>
      <x:c r="H21" s="373" t="str">
        <x:v>Project phase</x:v>
      </x:c>
      <x:c r="I21" s="373" t="str">
        <x:v>Progress</x:v>
      </x:c>
      <x:c r="J21" s="370"/>
      <x:c r="K21" s="370"/>
      <x:c r="L21" s="370"/>
      <x:c r="M21" s="370"/>
      <x:c r="N21" s="370"/>
    </x:row>
    <x:row r="22">
      <x:c r="A22" s="370" t="str">
        <x:v>🟢 Claim-ready</x:v>
      </x:c>
      <x:c r="B22" s="370" t="n">
        <x:f>COUNTIF('Master Evidence'!$C$4:$C$503,"*🟢*")</x:f>
        <x:v>0</x:v>
      </x:c>
      <x:c r="C22" s="370"/>
      <x:c r="D22" s="370" t="str">
        <x:v>HIGH</x:v>
      </x:c>
      <x:c r="E22" s="370" t="n">
        <x:f>COUNTIF('Master Evidence'!$DE$4:$DE$503,"HIGH")</x:f>
        <x:v>0</x:v>
      </x:c>
      <x:c r="F22" s="370"/>
      <x:c r="G22" s="370"/>
      <x:c r="H22" s="370" t="str">
        <x:v>Protocol &amp; design</x:v>
      </x:c>
      <x:c r="I22" s="388" t="n">
        <x:f>'Release Gates'!J5</x:f>
        <x:v>1</x:v>
      </x:c>
      <x:c r="J22" s="370"/>
      <x:c r="K22" s="370"/>
      <x:c r="L22" s="370"/>
      <x:c r="M22" s="370"/>
      <x:c r="N22" s="370"/>
    </x:row>
    <x:row r="23">
      <x:c r="A23" s="370" t="str">
        <x:v>🟡 Caution / context</x:v>
      </x:c>
      <x:c r="B23" s="370" t="n">
        <x:f>COUNTIF('Master Evidence'!$C$4:$C$503,"*🟡*")</x:f>
        <x:v>0</x:v>
      </x:c>
      <x:c r="C23" s="370"/>
      <x:c r="D23" s="370" t="str">
        <x:v>CONDITIONAL</x:v>
      </x:c>
      <x:c r="E23" s="370" t="n">
        <x:f>COUNTIF('Master Evidence'!$DE$4:$DE$503,"CONDITIONAL*")</x:f>
        <x:v>0</x:v>
      </x:c>
      <x:c r="F23" s="370"/>
      <x:c r="G23" s="370"/>
      <x:c r="H23" s="370" t="str">
        <x:v>Infrastructure</x:v>
      </x:c>
      <x:c r="I23" s="388" t="n">
        <x:f>'Release Gates'!J6</x:f>
        <x:v>0.8888888888888888</x:v>
      </x:c>
      <x:c r="J23" s="370"/>
      <x:c r="K23" s="370"/>
      <x:c r="L23" s="370"/>
      <x:c r="M23" s="370"/>
      <x:c r="N23" s="370"/>
    </x:row>
    <x:row r="24">
      <x:c r="A24" s="370" t="str">
        <x:v>🔴 Do not use</x:v>
      </x:c>
      <x:c r="B24" s="370" t="n">
        <x:f>COUNTIF('Master Evidence'!$C$4:$C$503,"*🔴*")</x:f>
        <x:v>0</x:v>
      </x:c>
      <x:c r="C24" s="370"/>
      <x:c r="D24" s="370" t="str">
        <x:v>LOW</x:v>
      </x:c>
      <x:c r="E24" s="370" t="n">
        <x:f>COUNTIF('Master Evidence'!$DE$4:$DE$503,"LOW")</x:f>
        <x:v>0</x:v>
      </x:c>
      <x:c r="F24" s="370"/>
      <x:c r="G24" s="370"/>
      <x:c r="H24" s="370" t="str">
        <x:v>Zotero Release Gate</x:v>
      </x:c>
      <x:c r="I24" s="388" t="n">
        <x:f>'Release Gates'!J7</x:f>
        <x:v>0.2857142857142857</x:v>
      </x:c>
      <x:c r="J24" s="370"/>
      <x:c r="K24" s="370"/>
      <x:c r="L24" s="370"/>
      <x:c r="M24" s="370"/>
      <x:c r="N24" s="370"/>
    </x:row>
    <x:row r="25">
      <x:c r="A25" s="370" t="str">
        <x:v>🔵 Official / contextual</x:v>
      </x:c>
      <x:c r="B25" s="370" t="n">
        <x:f>COUNTIF('Master Evidence'!$C$4:$C$503,"*🔵*")</x:f>
        <x:v>0</x:v>
      </x:c>
      <x:c r="C25" s="370"/>
      <x:c r="D25" s="370" t="str">
        <x:v>Pending</x:v>
      </x:c>
      <x:c r="E25" s="370" t="n">
        <x:f>COUNTIF('Master Evidence'!$DE$4:$DE$503,"Pending")</x:f>
        <x:v>0</x:v>
      </x:c>
      <x:c r="F25" s="370"/>
      <x:c r="G25" s="370"/>
      <x:c r="H25" s="370" t="str">
        <x:v>Evidence identification</x:v>
      </x:c>
      <x:c r="I25" s="388" t="n">
        <x:f>'Release Gates'!J8</x:f>
        <x:v>0</x:v>
      </x:c>
      <x:c r="J25" s="370"/>
      <x:c r="K25" s="370"/>
      <x:c r="L25" s="370"/>
      <x:c r="M25" s="370"/>
      <x:c r="N25" s="370"/>
    </x:row>
    <x:row r="26">
      <x:c r="A26" s="370" t="str">
        <x:v>🟣 Conceptual key</x:v>
      </x:c>
      <x:c r="B26" s="370" t="n">
        <x:f>COUNTIF('Master Evidence'!$C$4:$C$503,"*🟣*")</x:f>
        <x:v>0</x:v>
      </x:c>
      <x:c r="C26" s="370"/>
      <x:c r="D26" s="370" t="str">
        <x:v>Safety override</x:v>
      </x:c>
      <x:c r="E26" s="370" t="n">
        <x:f>COUNTIF('Master Evidence'!$DD$4:$DD$503,"Yes")</x:f>
        <x:v>0</x:v>
      </x:c>
      <x:c r="F26" s="370"/>
      <x:c r="G26" s="370"/>
      <x:c r="H26" s="370" t="str">
        <x:v>Synthesis &amp; framework</x:v>
      </x:c>
      <x:c r="I26" s="388" t="n">
        <x:f>'Release Gates'!J9</x:f>
        <x:v>0</x:v>
      </x:c>
      <x:c r="J26" s="370"/>
      <x:c r="K26" s="370"/>
      <x:c r="L26" s="370"/>
      <x:c r="M26" s="370"/>
      <x:c r="N26" s="370"/>
    </x:row>
    <x:row r="27">
      <x:c r="A27" s="370" t="str">
        <x:v>Total classified</x:v>
      </x:c>
      <x:c r="B27" s="370" t="n">
        <x:f>SUM(B22:B26)</x:f>
        <x:v>0</x:v>
      </x:c>
      <x:c r="C27" s="370"/>
      <x:c r="D27" s="370"/>
      <x:c r="E27" s="370"/>
      <x:c r="F27" s="370"/>
      <x:c r="G27" s="370"/>
      <x:c r="H27" s="370" t="str">
        <x:v>OVERALL</x:v>
      </x:c>
      <x:c r="I27" s="388" t="n">
        <x:f>'Release Gates'!J10</x:f>
        <x:v>0.4594594594594595</x:v>
      </x:c>
      <x:c r="J27" s="370"/>
      <x:c r="K27" s="370"/>
      <x:c r="L27" s="370"/>
      <x:c r="M27" s="370"/>
      <x:c r="N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</x:row>
    <x:row r="29">
      <x:c r="A29" s="370"/>
      <x:c r="B29" s="370"/>
      <x:c r="C29" s="370"/>
      <x:c r="D29" s="370"/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</x:row>
    <x:row r="30">
      <x:c r="A30" s="373" t="str">
        <x:v>Project completion</x:v>
      </x:c>
      <x:c r="B30" s="373" t="str">
        <x:v>Value</x:v>
      </x:c>
      <x:c r="C30" s="370"/>
      <x:c r="D30" s="370"/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</x:row>
    <x:row r="31">
      <x:c r="A31" s="370" t="str">
        <x:v>Complete</x:v>
      </x:c>
      <x:c r="B31" s="370" t="n">
        <x:f>'Release Gates'!H10</x:f>
        <x:v>34</x:v>
      </x:c>
      <x:c r="C31" s="370"/>
      <x:c r="D31" s="370"/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</x:row>
    <x:row r="32">
      <x:c r="A32" s="370" t="str">
        <x:v>Remaining</x:v>
      </x:c>
      <x:c r="B32" s="370" t="n">
        <x:f>'Release Gates'!I10-'Release Gates'!H10</x:f>
        <x:v>40</x:v>
      </x:c>
      <x:c r="C32" s="370"/>
      <x:c r="D32" s="370"/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</x:row>
  </x:sheetData>
  <x:mergeCells>
    <x:mergeCell ref="A1:N1"/>
    <x:mergeCell ref="A2:N2"/>
    <x:mergeCell ref="A4:N5"/>
    <x:mergeCell ref="A7:C7"/>
    <x:mergeCell ref="A8:C10"/>
    <x:mergeCell ref="D7:F7"/>
    <x:mergeCell ref="D8:F10"/>
    <x:mergeCell ref="G7:I7"/>
    <x:mergeCell ref="G8:I10"/>
    <x:mergeCell ref="J7:L7"/>
    <x:mergeCell ref="J8:L10"/>
    <x:mergeCell ref="A11:C11"/>
    <x:mergeCell ref="A12:C14"/>
    <x:mergeCell ref="D11:F11"/>
    <x:mergeCell ref="D12:F14"/>
    <x:mergeCell ref="G11:I11"/>
    <x:mergeCell ref="G12:I14"/>
    <x:mergeCell ref="J11:L11"/>
    <x:mergeCell ref="J12:L14"/>
    <x:mergeCell ref="A15:C15"/>
    <x:mergeCell ref="A16:C18"/>
    <x:mergeCell ref="D15:F15"/>
    <x:mergeCell ref="D16:F18"/>
    <x:mergeCell ref="G15:I15"/>
    <x:mergeCell ref="G16:I18"/>
    <x:mergeCell ref="J15:L15"/>
    <x:mergeCell ref="J16:L18"/>
  </x:mergeCells>
  <x:conditionalFormatting sqref="N11:N14">
    <x:cfRule type="containsText" dxfId="26" priority="1" operator="containsText" text="BLOCKED"/>
    <x:cfRule type="containsText" dxfId="27" priority="2" operator="containsText" text="LOCKED"/>
  </x:conditionalFormatting>
  <x:conditionalFormatting sqref="A22:A26">
    <x:cfRule type="containsText" dxfId="28" priority="3" operator="containsText" text="🟢"/>
    <x:cfRule type="containsText" dxfId="29" priority="4" operator="containsText" text="🟡"/>
    <x:cfRule type="containsText" dxfId="30" priority="5" operator="containsText" text="🔴"/>
    <x:cfRule type="containsText" dxfId="31" priority="6" operator="containsText" text="🔵"/>
    <x:cfRule type="containsText" dxfId="32" priority="7" operator="containsText" text="🟣"/>
  </x:conditionalFormatting>
  <x:conditionalFormatting sqref="D22:D25">
    <x:cfRule type="containsText" dxfId="33" priority="8" operator="containsText" text="HIGH"/>
    <x:cfRule type="containsText" dxfId="34" priority="9" operator="containsText" text="CONDITIONAL"/>
    <x:cfRule type="containsText" dxfId="35" priority="10" operator="containsText" text="LOW"/>
    <x:cfRule type="containsText" dxfId="36" priority="11" operator="containsText" text="Pending"/>
  </x:conditionalFormatting>
  <x:conditionalFormatting sqref="I22:I27">
    <x:cfRule type="dataBar" priority="12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{9FB71B9A-F398-1C5C-AB63-4C1EA09CC5DA}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2b30f84878b452e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2" id="{9FB71B9A-F398-1C5C-AB63-4C1EA09CC5DA}">
            <x14:dataBar gradient="1">
              <x14:cfvo type="min"/>
              <x14:cfvo type="max"/>
              <x14:fillColor rgb="FF00A6C7"/>
            </x14:dataBar>
          </x14:cfRule>
          <xm:sqref>I22:I27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38" hidden="0" customWidth="1"/>
    <x:col min="13" max="13" width="38" hidden="0" customWidth="1"/>
    <x:col min="14" max="14" width="38" hidden="0" customWidth="1"/>
    <x:col min="15" max="15" width="12" hidden="0" customWidth="1"/>
    <x:col min="16" max="16" width="3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32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28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2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38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38" hidden="0" customWidth="1"/>
    <x:col min="58" max="58" width="12" hidden="0" customWidth="1"/>
    <x:col min="59" max="59" width="12" hidden="0" customWidth="1"/>
    <x:col min="60" max="60" width="12" hidden="0" customWidth="1"/>
    <x:col min="61" max="61" width="12" hidden="0" customWidth="1"/>
    <x:col min="62" max="62" width="12" hidden="0" customWidth="1"/>
    <x:col min="63" max="63" width="12" hidden="0" customWidth="1"/>
    <x:col min="64" max="64" width="12" hidden="0" customWidth="1"/>
    <x:col min="65" max="65" width="12" hidden="0" customWidth="1"/>
    <x:col min="66" max="66" width="16" hidden="0" customWidth="1"/>
    <x:col min="67" max="67" width="16" hidden="0" customWidth="1"/>
    <x:col min="68" max="68" width="16" hidden="0" customWidth="1"/>
    <x:col min="69" max="69" width="16" hidden="0" customWidth="1"/>
    <x:col min="70" max="70" width="28" hidden="0" customWidth="1"/>
    <x:col min="71" max="71" width="16" hidden="0" customWidth="1"/>
    <x:col min="72" max="72" width="16" hidden="0" customWidth="1"/>
    <x:col min="73" max="73" width="16" hidden="0" customWidth="1"/>
    <x:col min="74" max="74" width="16" hidden="0" customWidth="1"/>
    <x:col min="75" max="75" width="16" hidden="0" customWidth="1"/>
    <x:col min="76" max="76" width="16" hidden="0" customWidth="1"/>
    <x:col min="77" max="77" width="16" hidden="0" customWidth="1"/>
    <x:col min="78" max="78" width="16" hidden="0" customWidth="1"/>
    <x:col min="79" max="79" width="16" hidden="0" customWidth="1"/>
    <x:col min="80" max="80" width="16" hidden="0" customWidth="1"/>
    <x:col min="81" max="81" width="16" hidden="0" customWidth="1"/>
    <x:col min="82" max="82" width="16" hidden="0" customWidth="1"/>
    <x:col min="83" max="83" width="16" hidden="0" customWidth="1"/>
    <x:col min="84" max="84" width="16" hidden="0" customWidth="1"/>
    <x:col min="85" max="85" width="16" hidden="0" customWidth="1"/>
    <x:col min="86" max="86" width="16" hidden="0" customWidth="1"/>
    <x:col min="87" max="87" width="16" hidden="0" customWidth="1"/>
    <x:col min="88" max="88" width="16" hidden="0" customWidth="1"/>
    <x:col min="89" max="89" width="16" hidden="0" customWidth="1"/>
    <x:col min="90" max="90" width="16" hidden="0" customWidth="1"/>
    <x:col min="91" max="91" width="16" hidden="0" customWidth="1"/>
    <x:col min="92" max="92" width="16" hidden="0" customWidth="1"/>
    <x:col min="93" max="93" width="16" hidden="0" customWidth="1"/>
    <x:col min="94" max="94" width="32" hidden="0" customWidth="1"/>
    <x:col min="95" max="95" width="16" hidden="0" customWidth="1"/>
    <x:col min="96" max="96" width="16" hidden="0" customWidth="1"/>
    <x:col min="97" max="97" width="38" hidden="0" customWidth="1"/>
    <x:col min="98" max="98" width="38" hidden="0" customWidth="1"/>
    <x:col min="99" max="99" width="16" hidden="0" customWidth="1"/>
    <x:col min="100" max="100" width="16" hidden="0" customWidth="1"/>
    <x:col min="101" max="101" width="16" hidden="0" customWidth="1"/>
    <x:col min="102" max="102" width="16" hidden="0" customWidth="1"/>
    <x:col min="103" max="103" width="16" hidden="0" customWidth="1"/>
    <x:col min="104" max="104" width="16" hidden="0" customWidth="1"/>
    <x:col min="105" max="105" width="16" hidden="0" customWidth="1"/>
    <x:col min="106" max="106" width="12" hidden="0" customWidth="1"/>
    <x:col min="107" max="107" width="12" hidden="0" customWidth="1"/>
    <x:col min="108" max="108" width="16" hidden="0" customWidth="1"/>
    <x:col min="109" max="109" width="16" hidden="0" customWidth="1"/>
    <x:col min="110" max="110" width="38" hidden="0" customWidth="1"/>
    <x:col min="111" max="111" width="28" hidden="0" customWidth="1"/>
    <x:col min="112" max="112" width="28" hidden="0" customWidth="1"/>
    <x:col min="113" max="113" width="28" hidden="0" customWidth="1"/>
    <x:col min="114" max="114" width="28" hidden="0" customWidth="1"/>
    <x:col min="115" max="115" width="28" hidden="0" customWidth="1"/>
    <x:col min="116" max="116" width="28" hidden="0" customWidth="1"/>
    <x:col min="117" max="117" width="28" hidden="0" customWidth="1"/>
    <x:col min="118" max="118" width="28" hidden="0" customWidth="1"/>
    <x:col min="119" max="119" width="28" hidden="0" customWidth="1"/>
    <x:col min="120" max="120" width="28" hidden="0" customWidth="1"/>
    <x:col min="121" max="121" width="16" hidden="0" customWidth="1"/>
    <x:col min="122" max="122" width="16" hidden="0" customWidth="1"/>
    <x:col min="123" max="123" width="16" hidden="0" customWidth="1"/>
    <x:col min="124" max="124" width="38" hidden="0" customWidth="1"/>
    <x:col min="125" max="125" width="16" hidden="0" customWidth="1"/>
    <x:col min="126" max="126" width="16" hidden="0" customWidth="1"/>
    <x:col min="127" max="127" width="16" hidden="0" customWidth="1"/>
    <x:col min="128" max="128" width="38" hidden="0" customWidth="1"/>
    <x:col min="129" max="129" width="38" hidden="0" customWidth="1"/>
    <x:col min="130" max="130" width="38" hidden="0" customWidth="1"/>
    <x:col min="131" max="131" width="16" hidden="0" customWidth="1"/>
    <x:col min="132" max="132" width="16" hidden="0" customWidth="1"/>
    <x:col min="133" max="133" width="16" hidden="0" customWidth="1"/>
    <x:col min="134" max="134" width="16" hidden="0" customWidth="1"/>
    <x:col min="135" max="135" width="32" hidden="0" customWidth="1"/>
    <x:col min="136" max="136" width="16" hidden="0" customWidth="1"/>
    <x:col min="137" max="137" width="16" hidden="0" customWidth="1"/>
    <x:col min="138" max="138" width="16" hidden="0" customWidth="1"/>
    <x:col min="139" max="139" width="16" hidden="0" customWidth="1"/>
    <x:col min="140" max="140" width="16" hidden="0" customWidth="1"/>
    <x:col min="141" max="141" width="16" hidden="0" customWidth="1"/>
    <x:col min="142" max="142" width="16" hidden="0" customWidth="1"/>
    <x:col min="143" max="143" width="38" hidden="0" customWidth="1"/>
    <x:col min="144" max="144" width="12" hidden="0" customWidth="1"/>
  </x:cols>
  <x:sheetData>
    <x:row r="1" ht="32" customHeight="1">
      <x:c r="A1" s="43" t="str">
        <x:v>MASTER EVIDENCE — one article/source per row | formal evidence entries remain locked until ZOTERO PASS</x:v>
      </x:c>
      <x:c r="B1" s="43"/>
      <x:c r="C1" s="43"/>
      <x:c r="D1" s="43"/>
      <x:c r="E1" s="43"/>
      <x:c r="F1" s="43"/>
      <x:c r="G1" s="43"/>
      <x:c r="H1" s="43"/>
      <x:c r="I1" s="43"/>
      <x:c r="J1" s="43"/>
      <x:c r="K1" s="43"/>
      <x:c r="L1" s="43"/>
      <x:c r="M1" s="43"/>
      <x:c r="N1" s="43"/>
      <x:c r="O1" s="43"/>
      <x:c r="P1" s="43"/>
      <x:c r="Q1" s="43"/>
      <x:c r="R1" s="43"/>
      <x:c r="S1" s="43"/>
      <x:c r="T1" s="43"/>
      <x:c r="U1" s="43"/>
      <x:c r="V1" s="43"/>
      <x:c r="W1" s="43"/>
      <x:c r="X1" s="43"/>
      <x:c r="Y1" s="43"/>
      <x:c r="Z1" s="43"/>
      <x:c r="AA1" s="43"/>
      <x:c r="AB1" s="43"/>
      <x:c r="AC1" s="43"/>
      <x:c r="AD1" s="43"/>
      <x:c r="AE1" s="43"/>
      <x:c r="AF1" s="43"/>
      <x:c r="AG1" s="43"/>
      <x:c r="AH1" s="43"/>
      <x:c r="AI1" s="43"/>
      <x:c r="AJ1" s="43"/>
      <x:c r="AK1" s="43"/>
      <x:c r="AL1" s="43"/>
      <x:c r="AM1" s="43"/>
      <x:c r="AN1" s="43"/>
      <x:c r="AO1" s="43"/>
      <x:c r="AP1" s="43"/>
      <x:c r="AQ1" s="43"/>
      <x:c r="AR1" s="43"/>
      <x:c r="AS1" s="43"/>
      <x:c r="AT1" s="43"/>
      <x:c r="AU1" s="43"/>
      <x:c r="AV1" s="43"/>
      <x:c r="AW1" s="43"/>
      <x:c r="AX1" s="43"/>
      <x:c r="AY1" s="43"/>
      <x:c r="AZ1" s="43"/>
      <x:c r="BA1" s="43"/>
      <x:c r="BB1" s="43"/>
      <x:c r="BC1" s="43"/>
      <x:c r="BD1" s="43"/>
      <x:c r="BE1" s="43"/>
      <x:c r="BF1" s="43"/>
      <x:c r="BG1" s="43"/>
      <x:c r="BH1" s="43"/>
      <x:c r="BI1" s="43"/>
      <x:c r="BJ1" s="43"/>
      <x:c r="BK1" s="43"/>
      <x:c r="BL1" s="43"/>
      <x:c r="BM1" s="43"/>
      <x:c r="BN1" s="43"/>
      <x:c r="BO1" s="43"/>
      <x:c r="BP1" s="43"/>
      <x:c r="BQ1" s="43"/>
      <x:c r="BR1" s="43"/>
      <x:c r="BS1" s="43"/>
      <x:c r="BT1" s="43"/>
      <x:c r="BU1" s="43"/>
      <x:c r="BV1" s="43"/>
      <x:c r="BW1" s="43"/>
      <x:c r="BX1" s="43"/>
      <x:c r="BY1" s="43"/>
      <x:c r="BZ1" s="43"/>
      <x:c r="CA1" s="43"/>
      <x:c r="CB1" s="43"/>
      <x:c r="CC1" s="43"/>
      <x:c r="CD1" s="43"/>
      <x:c r="CE1" s="43"/>
      <x:c r="CF1" s="43"/>
      <x:c r="CG1" s="43"/>
      <x:c r="CH1" s="43"/>
      <x:c r="CI1" s="43"/>
      <x:c r="CJ1" s="43"/>
      <x:c r="CK1" s="43"/>
      <x:c r="CL1" s="43"/>
      <x:c r="CM1" s="43"/>
      <x:c r="CN1" s="43"/>
      <x:c r="CO1" s="43"/>
      <x:c r="CP1" s="43"/>
      <x:c r="CQ1" s="43"/>
      <x:c r="CR1" s="43"/>
      <x:c r="CS1" s="43"/>
      <x:c r="CT1" s="43"/>
      <x:c r="CU1" s="43"/>
      <x:c r="CV1" s="43"/>
      <x:c r="CW1" s="43"/>
      <x:c r="CX1" s="43"/>
      <x:c r="CY1" s="43"/>
      <x:c r="CZ1" s="43"/>
      <x:c r="DA1" s="43"/>
      <x:c r="DB1" s="43"/>
      <x:c r="DC1" s="43"/>
      <x:c r="DD1" s="43"/>
      <x:c r="DE1" s="43"/>
      <x:c r="DF1" s="43"/>
      <x:c r="DG1" s="43"/>
      <x:c r="DH1" s="43"/>
      <x:c r="DI1" s="43"/>
      <x:c r="DJ1" s="43"/>
      <x:c r="DK1" s="43"/>
      <x:c r="DL1" s="43"/>
      <x:c r="DM1" s="43"/>
      <x:c r="DN1" s="43"/>
      <x:c r="DO1" s="43"/>
      <x:c r="DP1" s="43"/>
      <x:c r="DQ1" s="43"/>
      <x:c r="DR1" s="43"/>
      <x:c r="DS1" s="43"/>
      <x:c r="DT1" s="43"/>
      <x:c r="DU1" s="43"/>
      <x:c r="DV1" s="43"/>
      <x:c r="DW1" s="43"/>
      <x:c r="DX1" s="43"/>
      <x:c r="DY1" s="43"/>
      <x:c r="DZ1" s="43"/>
      <x:c r="EA1" s="43"/>
      <x:c r="EB1" s="43"/>
      <x:c r="EC1" s="43"/>
      <x:c r="ED1" s="43"/>
      <x:c r="EE1" s="43"/>
      <x:c r="EF1" s="43"/>
      <x:c r="EG1" s="43"/>
      <x:c r="EH1" s="43"/>
      <x:c r="EI1" s="43"/>
      <x:c r="EJ1" s="43"/>
      <x:c r="EK1" s="43"/>
      <x:c r="EL1" s="43"/>
      <x:c r="EM1" s="43"/>
      <x:c r="EN1" s="43"/>
    </x:row>
    <x:row r="2" ht="24" customHeight="1">
      <x:c r="A2" s="50" t="str">
        <x:v>Workflow</x:v>
      </x:c>
      <x:c r="B2" s="51"/>
      <x:c r="C2" s="51"/>
      <x:c r="D2" s="51"/>
      <x:c r="E2" s="51"/>
      <x:c r="F2" s="51"/>
      <x:c r="G2" s="51"/>
      <x:c r="H2" s="51"/>
      <x:c r="I2" s="51"/>
      <x:c r="J2" s="51"/>
      <x:c r="K2" s="52"/>
      <x:c r="L2" s="59" t="str">
        <x:v>Identification</x:v>
      </x:c>
      <x:c r="M2" s="60"/>
      <x:c r="N2" s="60"/>
      <x:c r="O2" s="60"/>
      <x:c r="P2" s="60"/>
      <x:c r="Q2" s="60"/>
      <x:c r="R2" s="60"/>
      <x:c r="S2" s="60"/>
      <x:c r="T2" s="60"/>
      <x:c r="U2" s="61"/>
      <x:c r="V2" s="70" t="str">
        <x:v>Identifiers &amp; Provenance</x:v>
      </x:c>
      <x:c r="W2" s="71"/>
      <x:c r="X2" s="71"/>
      <x:c r="Y2" s="71"/>
      <x:c r="Z2" s="71"/>
      <x:c r="AA2" s="71"/>
      <x:c r="AB2" s="71"/>
      <x:c r="AC2" s="71"/>
      <x:c r="AD2" s="71"/>
      <x:c r="AE2" s="71"/>
      <x:c r="AF2" s="71"/>
      <x:c r="AG2" s="71"/>
      <x:c r="AH2" s="71"/>
      <x:c r="AI2" s="72"/>
      <x:c r="AJ2" s="81" t="str">
        <x:v>Population &amp; Context</x:v>
      </x:c>
      <x:c r="AK2" s="82"/>
      <x:c r="AL2" s="82"/>
      <x:c r="AM2" s="82"/>
      <x:c r="AN2" s="82"/>
      <x:c r="AO2" s="82"/>
      <x:c r="AP2" s="82"/>
      <x:c r="AQ2" s="82"/>
      <x:c r="AR2" s="82"/>
      <x:c r="AS2" s="82"/>
      <x:c r="AT2" s="83"/>
      <x:c r="AU2" s="92" t="str">
        <x:v>Methods &amp; Measurement</x:v>
      </x:c>
      <x:c r="AV2" s="93"/>
      <x:c r="AW2" s="93"/>
      <x:c r="AX2" s="93"/>
      <x:c r="AY2" s="93"/>
      <x:c r="AZ2" s="93"/>
      <x:c r="BA2" s="93"/>
      <x:c r="BB2" s="93"/>
      <x:c r="BC2" s="93"/>
      <x:c r="BD2" s="94"/>
      <x:c r="BE2" s="103" t="str">
        <x:v>Results &amp; Statistics</x:v>
      </x:c>
      <x:c r="BF2" s="104"/>
      <x:c r="BG2" s="104"/>
      <x:c r="BH2" s="104"/>
      <x:c r="BI2" s="104"/>
      <x:c r="BJ2" s="104"/>
      <x:c r="BK2" s="104"/>
      <x:c r="BL2" s="104"/>
      <x:c r="BM2" s="104"/>
      <x:c r="BN2" s="104"/>
      <x:c r="BO2" s="104"/>
      <x:c r="BP2" s="105"/>
      <x:c r="BQ2" s="114" t="str">
        <x:v>Operational Domains</x:v>
      </x:c>
      <x:c r="BR2" s="115"/>
      <x:c r="BS2" s="115"/>
      <x:c r="BT2" s="115"/>
      <x:c r="BU2" s="115"/>
      <x:c r="BV2" s="115"/>
      <x:c r="BW2" s="115"/>
      <x:c r="BX2" s="115"/>
      <x:c r="BY2" s="115"/>
      <x:c r="BZ2" s="115"/>
      <x:c r="CA2" s="115"/>
      <x:c r="CB2" s="115"/>
      <x:c r="CC2" s="115"/>
      <x:c r="CD2" s="115"/>
      <x:c r="CE2" s="116"/>
      <x:c r="CF2" s="125" t="str">
        <x:v>Quality &amp; Integrity</x:v>
      </x:c>
      <x:c r="CG2" s="126"/>
      <x:c r="CH2" s="126"/>
      <x:c r="CI2" s="126"/>
      <x:c r="CJ2" s="126"/>
      <x:c r="CK2" s="126"/>
      <x:c r="CL2" s="126"/>
      <x:c r="CM2" s="126"/>
      <x:c r="CN2" s="126"/>
      <x:c r="CO2" s="126"/>
      <x:c r="CP2" s="126"/>
      <x:c r="CQ2" s="126"/>
      <x:c r="CR2" s="126"/>
      <x:c r="CS2" s="126"/>
      <x:c r="CT2" s="127"/>
      <x:c r="CU2" s="136" t="str">
        <x:v>Transferability</x:v>
      </x:c>
      <x:c r="CV2" s="137"/>
      <x:c r="CW2" s="137"/>
      <x:c r="CX2" s="137"/>
      <x:c r="CY2" s="137"/>
      <x:c r="CZ2" s="137"/>
      <x:c r="DA2" s="137"/>
      <x:c r="DB2" s="137"/>
      <x:c r="DC2" s="137"/>
      <x:c r="DD2" s="137"/>
      <x:c r="DE2" s="137"/>
      <x:c r="DF2" s="138"/>
      <x:c r="DG2" s="147" t="str">
        <x:v>Implementation Science</x:v>
      </x:c>
      <x:c r="DH2" s="148"/>
      <x:c r="DI2" s="148"/>
      <x:c r="DJ2" s="148"/>
      <x:c r="DK2" s="148"/>
      <x:c r="DL2" s="148"/>
      <x:c r="DM2" s="148"/>
      <x:c r="DN2" s="148"/>
      <x:c r="DO2" s="148"/>
      <x:c r="DP2" s="148"/>
      <x:c r="DQ2" s="148"/>
      <x:c r="DR2" s="148"/>
      <x:c r="DS2" s="149"/>
      <x:c r="DT2" s="158" t="str">
        <x:v>Claim Traceability</x:v>
      </x:c>
      <x:c r="DU2" s="159"/>
      <x:c r="DV2" s="159"/>
      <x:c r="DW2" s="159"/>
      <x:c r="DX2" s="159"/>
      <x:c r="DY2" s="159"/>
      <x:c r="DZ2" s="159"/>
      <x:c r="EA2" s="159"/>
      <x:c r="EB2" s="159"/>
      <x:c r="EC2" s="160"/>
      <x:c r="ED2" s="169" t="str">
        <x:v>Full Text &amp; Audit</x:v>
      </x:c>
      <x:c r="EE2" s="170"/>
      <x:c r="EF2" s="170"/>
      <x:c r="EG2" s="170"/>
      <x:c r="EH2" s="170"/>
      <x:c r="EI2" s="170"/>
      <x:c r="EJ2" s="170"/>
      <x:c r="EK2" s="170"/>
      <x:c r="EL2" s="170"/>
      <x:c r="EM2" s="170"/>
      <x:c r="EN2" s="171"/>
    </x:row>
    <x:row r="3" ht="74" customHeight="1">
      <x:c r="A3" s="23" t="str">
        <x:v>Evidence ID</x:v>
      </x:c>
      <x:c r="B3" s="23" t="str">
        <x:v>Scientific Workflow Status</x:v>
      </x:c>
      <x:c r="C3" s="23" t="str">
        <x:v>Objective Scientific Traffic Light</x:v>
      </x:c>
      <x:c r="D3" s="23" t="str">
        <x:v>Traffic-Light Reason</x:v>
      </x:c>
      <x:c r="E3" s="23" t="str">
        <x:v>Priority</x:v>
      </x:c>
      <x:c r="F3" s="23" t="str">
        <x:v>Use Decision</x:v>
      </x:c>
      <x:c r="G3" s="23" t="str">
        <x:v>Use Rationale</x:v>
      </x:c>
      <x:c r="H3" s="23" t="str">
        <x:v>Next Action</x:v>
      </x:c>
      <x:c r="I3" s="23" t="str">
        <x:v>Role in Essay</x:v>
      </x:c>
      <x:c r="J3" s="23" t="str">
        <x:v>Evidence Family</x:v>
      </x:c>
      <x:c r="K3" s="23" t="str">
        <x:v>Record Stage</x:v>
      </x:c>
      <x:c r="L3" s="23" t="str">
        <x:v>Title</x:v>
      </x:c>
      <x:c r="M3" s="23" t="str">
        <x:v>Portuguese Working Title</x:v>
      </x:c>
      <x:c r="N3" s="23" t="str">
        <x:v>Authors</x:v>
      </x:c>
      <x:c r="O3" s="23" t="str">
        <x:v>Year</x:v>
      </x:c>
      <x:c r="P3" s="23" t="str">
        <x:v>Journal / Source</x:v>
      </x:c>
      <x:c r="Q3" s="23" t="str">
        <x:v>Publication Type</x:v>
      </x:c>
      <x:c r="R3" s="23" t="str">
        <x:v>Peer-Review Status</x:v>
      </x:c>
      <x:c r="S3" s="23" t="str">
        <x:v>Open-Access Status</x:v>
      </x:c>
      <x:c r="T3" s="23" t="str">
        <x:v>Language</x:v>
      </x:c>
      <x:c r="U3" s="23" t="str">
        <x:v>Source URL</x:v>
      </x:c>
      <x:c r="V3" s="23" t="str">
        <x:v>DOI</x:v>
      </x:c>
      <x:c r="W3" s="23" t="str">
        <x:v>Normalized DOI</x:v>
      </x:c>
      <x:c r="X3" s="23" t="str">
        <x:v>PMID</x:v>
      </x:c>
      <x:c r="Y3" s="23" t="str">
        <x:v>PMCID</x:v>
      </x:c>
      <x:c r="Z3" s="23" t="str">
        <x:v>Other Identifier</x:v>
      </x:c>
      <x:c r="AA3" s="23" t="str">
        <x:v>Database / Platform</x:v>
      </x:c>
      <x:c r="AB3" s="23" t="str">
        <x:v>Exact Strategy / Query ID</x:v>
      </x:c>
      <x:c r="AC3" s="23" t="str">
        <x:v>Search Provenance Record ID</x:v>
      </x:c>
      <x:c r="AD3" s="23" t="str">
        <x:v>Identification Date</x:v>
      </x:c>
      <x:c r="AE3" s="23" t="str">
        <x:v>Access Date</x:v>
      </x:c>
      <x:c r="AF3" s="23" t="str">
        <x:v>Zotero Item Key</x:v>
      </x:c>
      <x:c r="AG3" s="23" t="str">
        <x:v>BibTeX Key</x:v>
      </x:c>
      <x:c r="AH3" s="23" t="str">
        <x:v>Zotero Collection</x:v>
      </x:c>
      <x:c r="AI3" s="23" t="str">
        <x:v>Zotero Tags</x:v>
      </x:c>
      <x:c r="AJ3" s="23" t="str">
        <x:v>Country</x:v>
      </x:c>
      <x:c r="AK3" s="23" t="str">
        <x:v>Brazil?</x:v>
      </x:c>
      <x:c r="AL3" s="23" t="str">
        <x:v>Institution / Context</x:v>
      </x:c>
      <x:c r="AM3" s="23" t="str">
        <x:v>Occupation / Population</x:v>
      </x:c>
      <x:c r="AN3" s="23" t="str">
        <x:v>Operational Role / Unit</x:v>
      </x:c>
      <x:c r="AO3" s="23" t="str">
        <x:v>Sample Size</x:v>
      </x:c>
      <x:c r="AP3" s="23" t="str">
        <x:v>Sex / Composition</x:v>
      </x:c>
      <x:c r="AQ3" s="23" t="str">
        <x:v>Age</x:v>
      </x:c>
      <x:c r="AR3" s="23" t="str">
        <x:v>Service Time</x:v>
      </x:c>
      <x:c r="AS3" s="23" t="str">
        <x:v>Occupational Environment / Exposure</x:v>
      </x:c>
      <x:c r="AT3" s="23" t="str">
        <x:v>Equipment / Load</x:v>
      </x:c>
      <x:c r="AU3" s="23" t="str">
        <x:v>Study Design</x:v>
      </x:c>
      <x:c r="AV3" s="23" t="str">
        <x:v>Objective</x:v>
      </x:c>
      <x:c r="AW3" s="23" t="str">
        <x:v>Intervention / Exposure</x:v>
      </x:c>
      <x:c r="AX3" s="23" t="str">
        <x:v>Comparator</x:v>
      </x:c>
      <x:c r="AY3" s="23" t="str">
        <x:v>Primary Outcomes</x:v>
      </x:c>
      <x:c r="AZ3" s="23" t="str">
        <x:v>Secondary Outcomes</x:v>
      </x:c>
      <x:c r="BA3" s="23" t="str">
        <x:v>Instruments / Measures</x:v>
      </x:c>
      <x:c r="BB3" s="23" t="str">
        <x:v>Instrument Validity</x:v>
      </x:c>
      <x:c r="BC3" s="23" t="str">
        <x:v>Follow-up</x:v>
      </x:c>
      <x:c r="BD3" s="23" t="str">
        <x:v>Missing Data / Attrition</x:v>
      </x:c>
      <x:c r="BE3" s="23" t="str">
        <x:v>Main Findings</x:v>
      </x:c>
      <x:c r="BF3" s="23" t="str">
        <x:v>Effect Estimate</x:v>
      </x:c>
      <x:c r="BG3" s="23" t="str">
        <x:v>95% CI</x:v>
      </x:c>
      <x:c r="BH3" s="23" t="str">
        <x:v>p Value</x:v>
      </x:c>
      <x:c r="BI3" s="23" t="str">
        <x:v>OR</x:v>
      </x:c>
      <x:c r="BJ3" s="23" t="str">
        <x:v>RR</x:v>
      </x:c>
      <x:c r="BK3" s="23" t="str">
        <x:v>HR</x:v>
      </x:c>
      <x:c r="BL3" s="23" t="str">
        <x:v>Correlation Estimate</x:v>
      </x:c>
      <x:c r="BM3" s="23" t="str">
        <x:v>Regression Estimate</x:v>
      </x:c>
      <x:c r="BN3" s="23" t="str">
        <x:v>Other Relevant Statistics</x:v>
      </x:c>
      <x:c r="BO3" s="23" t="str">
        <x:v>Operational / Clinical Significance</x:v>
      </x:c>
      <x:c r="BP3" s="23" t="str">
        <x:v>Consistency / Conflict with Literature</x:v>
      </x:c>
      <x:c r="BQ3" s="23" t="str">
        <x:v>Primary Readiness Domain</x:v>
      </x:c>
      <x:c r="BR3" s="23" t="str">
        <x:v>Secondary Domains</x:v>
      </x:c>
      <x:c r="BS3" s="23" t="str">
        <x:v>Tactical-Athlete Relationship</x:v>
      </x:c>
      <x:c r="BT3" s="23" t="str">
        <x:v>Operational-Readiness Relationship</x:v>
      </x:c>
      <x:c r="BU3" s="23" t="str">
        <x:v>APHT / TEMS / TCCC / TECC Relationship</x:v>
      </x:c>
      <x:c r="BV3" s="23" t="str">
        <x:v>Health</x:v>
      </x:c>
      <x:c r="BW3" s="23" t="str">
        <x:v>Physical Capability</x:v>
      </x:c>
      <x:c r="BX3" s="23" t="str">
        <x:v>Cognition</x:v>
      </x:c>
      <x:c r="BY3" s="23" t="str">
        <x:v>Sleep / Recovery</x:v>
      </x:c>
      <x:c r="BZ3" s="23" t="str">
        <x:v>Occupational Load</x:v>
      </x:c>
      <x:c r="CA3" s="23" t="str">
        <x:v>Musculoskeletal Injury</x:v>
      </x:c>
      <x:c r="CB3" s="23" t="str">
        <x:v>Nutrition / Hydration</x:v>
      </x:c>
      <x:c r="CC3" s="23" t="str">
        <x:v>Medical Readiness</x:v>
      </x:c>
      <x:c r="CD3" s="23" t="str">
        <x:v>Monitoring / Wearables</x:v>
      </x:c>
      <x:c r="CE3" s="23" t="str">
        <x:v>Occupational Longevity</x:v>
      </x:c>
      <x:c r="CF3" s="23" t="str">
        <x:v>Design-Appropriate Quality / RoB Instrument</x:v>
      </x:c>
      <x:c r="CG3" s="23" t="str">
        <x:v>Methodological Quality</x:v>
      </x:c>
      <x:c r="CH3" s="23" t="str">
        <x:v>Risk of Bias</x:v>
      </x:c>
      <x:c r="CI3" s="23" t="str">
        <x:v>Transparent Project Quality Score</x:v>
      </x:c>
      <x:c r="CJ3" s="23" t="str">
        <x:v>Metadata Verified</x:v>
      </x:c>
      <x:c r="CK3" s="23" t="str">
        <x:v>DOI / PMID Verified</x:v>
      </x:c>
      <x:c r="CL3" s="23" t="str">
        <x:v>Correction / Retraction / EoC Checked</x:v>
      </x:c>
      <x:c r="CM3" s="23" t="str">
        <x:v>Correction / Retraction Status</x:v>
      </x:c>
      <x:c r="CN3" s="23" t="str">
        <x:v>Integrity Status</x:v>
      </x:c>
      <x:c r="CO3" s="23" t="str">
        <x:v>Integrity Check Date</x:v>
      </x:c>
      <x:c r="CP3" s="23" t="str">
        <x:v>Integrity Source URL</x:v>
      </x:c>
      <x:c r="CQ3" s="23" t="str">
        <x:v>Funding</x:v>
      </x:c>
      <x:c r="CR3" s="23" t="str">
        <x:v>Conflicts of Interest</x:v>
      </x:c>
      <x:c r="CS3" s="23" t="str">
        <x:v>Limitations Reported by Authors</x:v>
      </x:c>
      <x:c r="CT3" s="23" t="str">
        <x:v>Limitations Identified by Project Team</x:v>
      </x:c>
      <x:c r="CU3" s="23" t="str">
        <x:v>Transferability — Task / Demand Similarity (0–2)</x:v>
      </x:c>
      <x:c r="CV3" s="23" t="str">
        <x:v>Transferability — Equipment / Load Similarity (0–2)</x:v>
      </x:c>
      <x:c r="CW3" s="23" t="str">
        <x:v>Transferability — Environment / Exposure (0–2)</x:v>
      </x:c>
      <x:c r="CX3" s="23" t="str">
        <x:v>Transferability — Construct / Outcome Relevance (0–2)</x:v>
      </x:c>
      <x:c r="CY3" s="23" t="str">
        <x:v>Transferability — Population Comparability (0–2)</x:v>
      </x:c>
      <x:c r="CZ3" s="23" t="str">
        <x:v>Transferability — Assessment / Intervention Feasibility (0–2)</x:v>
      </x:c>
      <x:c r="DA3" s="23" t="str">
        <x:v>Transferability — Legal / Ethical / Institutional Compatibility (0–2)</x:v>
      </x:c>
      <x:c r="DB3" s="23" t="str">
        <x:v>Transferability Raw Score (0–14)</x:v>
      </x:c>
      <x:c r="DC3" s="23" t="str">
        <x:v>Transferability Normalized Score (0–10)</x:v>
      </x:c>
      <x:c r="DD3" s="23" t="str">
        <x:v>Military Safety Override</x:v>
      </x:c>
      <x:c r="DE3" s="23" t="str">
        <x:v>Transferability Class</x:v>
      </x:c>
      <x:c r="DF3" s="23" t="str">
        <x:v>Transferability Rationale</x:v>
      </x:c>
      <x:c r="DG3" s="23" t="str">
        <x:v>CFIR — Innovation</x:v>
      </x:c>
      <x:c r="DH3" s="23" t="str">
        <x:v>CFIR — Outer Setting</x:v>
      </x:c>
      <x:c r="DI3" s="23" t="str">
        <x:v>CFIR — Inner Setting</x:v>
      </x:c>
      <x:c r="DJ3" s="23" t="str">
        <x:v>CFIR — Individuals</x:v>
      </x:c>
      <x:c r="DK3" s="23" t="str">
        <x:v>CFIR — Process</x:v>
      </x:c>
      <x:c r="DL3" s="23" t="str">
        <x:v>Proctor Implementation Outcomes</x:v>
      </x:c>
      <x:c r="DM3" s="23" t="str">
        <x:v>ERIC Strategy Terminology</x:v>
      </x:c>
      <x:c r="DN3" s="23" t="str">
        <x:v>Barriers</x:v>
      </x:c>
      <x:c r="DO3" s="23" t="str">
        <x:v>Facilitators</x:v>
      </x:c>
      <x:c r="DP3" s="23" t="str">
        <x:v>Required Resources</x:v>
      </x:c>
      <x:c r="DQ3" s="23" t="str">
        <x:v>Responsible Institutional Actor</x:v>
      </x:c>
      <x:c r="DR3" s="23" t="str">
        <x:v>Implementation Horizon</x:v>
      </x:c>
      <x:c r="DS3" s="23" t="str">
        <x:v>Implementation Indicator</x:v>
      </x:c>
      <x:c r="DT3" s="23" t="str">
        <x:v>Manuscript Claim Supported</x:v>
      </x:c>
      <x:c r="DU3" s="23" t="str">
        <x:v>Manuscript Claim Location</x:v>
      </x:c>
      <x:c r="DV3" s="23" t="str">
        <x:v>Page / Section</x:v>
      </x:c>
      <x:c r="DW3" s="23" t="str">
        <x:v>Table / Figure</x:v>
      </x:c>
      <x:c r="DX3" s="23" t="str">
        <x:v>Exact Result Supporting the Claim</x:v>
      </x:c>
      <x:c r="DY3" s="23" t="str">
        <x:v>Controlled Paraphrase / Note</x:v>
      </x:c>
      <x:c r="DZ3" s="23" t="str">
        <x:v>What this article does NOT allow us to claim</x:v>
      </x:c>
      <x:c r="EA3" s="23" t="str">
        <x:v>Strength for Claim</x:v>
      </x:c>
      <x:c r="EB3" s="23" t="str">
        <x:v>Claim-Ready?</x:v>
      </x:c>
      <x:c r="EC3" s="23" t="str">
        <x:v>Claim-Readiness Reason</x:v>
      </x:c>
      <x:c r="ED3" s="23" t="str">
        <x:v>Lawful PDF Availability</x:v>
      </x:c>
      <x:c r="EE3" s="23" t="str">
        <x:v>Lawful PDF Location</x:v>
      </x:c>
      <x:c r="EF3" s="23" t="str">
        <x:v>Full-Text Status</x:v>
      </x:c>
      <x:c r="EG3" s="23" t="str">
        <x:v>Zotero Note Status</x:v>
      </x:c>
      <x:c r="EH3" s="23" t="str">
        <x:v>Analysis Date</x:v>
      </x:c>
      <x:c r="EI3" s="23" t="str">
        <x:v>Reviewer</x:v>
      </x:c>
      <x:c r="EJ3" s="23" t="str">
        <x:v>Second Reviewer</x:v>
      </x:c>
      <x:c r="EK3" s="23" t="str">
        <x:v>Adjudication Status</x:v>
      </x:c>
      <x:c r="EL3" s="23" t="str">
        <x:v>Last Updated</x:v>
      </x:c>
      <x:c r="EM3" s="23" t="str">
        <x:v>Audit Notes</x:v>
      </x:c>
      <x:c r="EN3" s="23" t="str">
        <x:v>Record Completeness</x:v>
      </x:c>
    </x:row>
    <x:row r="4">
      <x:c r="A4" s="175" t="str">
        <x:f>IF(L4="","","EV-"&amp;TEXT(ROW()-3,"0000"))</x:f>
      </x:c>
      <x:c r="B4" s="174"/>
      <x:c r="C4" s="175" t="str">
        <x:f>IF(L4="","",IF(OR(CM4="Retracted",CN4="Retracted",F4="Not used"),"🔴 Do not use for conclusion",IF(OR(R4="Official / Institutional",I4="Official / contextual"),"🔵 Official / contextual",IF(OR(I4="Definition",I4="Framework",I4="Paradigm shift"),"🟣 Conceptual key source",IF(AND(CJ4="Yes",CL4="Yes",OR(CG4="High",CG4="Moderate"),CH4&lt;&gt;"High",CH4&lt;&gt;"Critical",F4="Claim-ready"),"🟢 Claim-ready","🟡 Caution / context")))))</x:f>
      </x:c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6"/>
      <x:c r="P4" s="174"/>
      <x:c r="Q4" s="174"/>
      <x:c r="R4" s="174"/>
      <x:c r="S4" s="174"/>
      <x:c r="T4" s="174"/>
      <x:c r="U4" s="174"/>
      <x:c r="V4" s="174"/>
      <x:c r="W4" s="175" t="str">
        <x:f>IF(V4="","",LOWER(SUBSTITUTE(SUBSTITUTE(SUBSTITUTE(SUBSTITUTE(TRIM(V4),"https://doi.org/",""),"http://doi.org/",""),"https://dx.doi.org/",""),"doi:","")))</x:f>
      </x:c>
      <x:c r="X4" s="174"/>
      <x:c r="Y4" s="174"/>
      <x:c r="Z4" s="174"/>
      <x:c r="AA4" s="174"/>
      <x:c r="AB4" s="174"/>
      <x:c r="AC4" s="174"/>
      <x:c r="AD4" s="177"/>
      <x:c r="AE4" s="177"/>
      <x:c r="AF4" s="174"/>
      <x:c r="AG4" s="174"/>
      <x:c r="AH4" s="174"/>
      <x:c r="AI4" s="174"/>
      <x:c r="AJ4" s="174"/>
      <x:c r="AK4" s="175" t="str">
        <x:f>IF(AJ4="","",IF(OR(LOWER(AJ4)="brazil",LOWER(AJ4)="brasil"),"Yes","No"))</x:f>
      </x:c>
      <x:c r="AL4" s="174"/>
      <x:c r="AM4" s="174"/>
      <x:c r="AN4" s="174"/>
      <x:c r="AO4" s="178"/>
      <x:c r="AP4" s="174"/>
      <x:c r="AQ4" s="174"/>
      <x:c r="AR4" s="174"/>
      <x:c r="AS4" s="174"/>
      <x:c r="AT4" s="174"/>
      <x:c r="AU4" s="174"/>
      <x:c r="AV4" s="174"/>
      <x:c r="AW4" s="174"/>
      <x:c r="AX4" s="174"/>
      <x:c r="AY4" s="174"/>
      <x:c r="AZ4" s="174"/>
      <x:c r="BA4" s="174"/>
      <x:c r="BB4" s="174"/>
      <x:c r="BC4" s="174"/>
      <x:c r="BD4" s="174"/>
      <x:c r="BE4" s="174"/>
      <x:c r="BF4" s="174"/>
      <x:c r="BG4" s="174"/>
      <x:c r="BH4" s="174"/>
      <x:c r="BI4" s="174"/>
      <x:c r="BJ4" s="174"/>
      <x:c r="BK4" s="174"/>
      <x:c r="BL4" s="174"/>
      <x:c r="BM4" s="174"/>
      <x:c r="BN4" s="174"/>
      <x:c r="BO4" s="174"/>
      <x:c r="BP4" s="174"/>
      <x:c r="BQ4" s="174"/>
      <x:c r="BR4" s="174"/>
      <x:c r="BS4" s="174"/>
      <x:c r="BT4" s="174"/>
      <x:c r="BU4" s="174"/>
      <x:c r="BV4" s="174"/>
      <x:c r="BW4" s="174"/>
      <x:c r="BX4" s="174"/>
      <x:c r="BY4" s="174"/>
      <x:c r="BZ4" s="174"/>
      <x:c r="CA4" s="174"/>
      <x:c r="CB4" s="174"/>
      <x:c r="CC4" s="174"/>
      <x:c r="CD4" s="174"/>
      <x:c r="CE4" s="174"/>
      <x:c r="CF4" s="174"/>
      <x:c r="CG4" s="174"/>
      <x:c r="CH4" s="174"/>
      <x:c r="CI4" s="179"/>
      <x:c r="CJ4" s="174"/>
      <x:c r="CK4" s="174"/>
      <x:c r="CL4" s="174"/>
      <x:c r="CM4" s="174"/>
      <x:c r="CN4" s="174"/>
      <x:c r="CO4" s="177"/>
      <x:c r="CP4" s="174"/>
      <x:c r="CQ4" s="174"/>
      <x:c r="CR4" s="174"/>
      <x:c r="CS4" s="174"/>
      <x:c r="CT4" s="174"/>
      <x:c r="CU4" s="176"/>
      <x:c r="CV4" s="176"/>
      <x:c r="CW4" s="176"/>
      <x:c r="CX4" s="176"/>
      <x:c r="CY4" s="176"/>
      <x:c r="CZ4" s="176"/>
      <x:c r="DA4" s="176"/>
      <x:c r="DB4" s="175" t="str">
        <x:f>IF(L4="","",IF(COUNT(CU4:DA4)&lt;7,"",SUM(CU4:DA4)))</x:f>
      </x:c>
      <x:c r="DC4" s="180" t="str">
        <x:f>IF(DB4="","",ROUND(DB4/14*10,1))</x:f>
      </x:c>
      <x:c r="DD4" s="174"/>
      <x:c r="DE4" s="175" t="str">
        <x:f>IF(L4="","",IF(DC4="","Pending",IF(DD4="Yes","CONDITIONAL — safety override",IF(DC4&gt;=8,"HIGH",IF(DC4&gt;=5,"CONDITIONAL","LOW")))))</x:f>
      </x:c>
      <x:c r="DF4" s="174"/>
      <x:c r="DG4" s="174"/>
      <x:c r="DH4" s="174"/>
      <x:c r="DI4" s="174"/>
      <x:c r="DJ4" s="174"/>
      <x:c r="DK4" s="174"/>
      <x:c r="DL4" s="174"/>
      <x:c r="DM4" s="174"/>
      <x:c r="DN4" s="174"/>
      <x:c r="DO4" s="174"/>
      <x:c r="DP4" s="174"/>
      <x:c r="DQ4" s="174"/>
      <x:c r="DR4" s="174"/>
      <x:c r="DS4" s="174"/>
      <x:c r="DT4" s="174"/>
      <x:c r="DU4" s="174"/>
      <x:c r="DV4" s="174"/>
      <x:c r="DW4" s="174"/>
      <x:c r="DX4" s="174"/>
      <x:c r="DY4" s="174"/>
      <x:c r="DZ4" s="174"/>
      <x:c r="EA4" s="174"/>
      <x:c r="EB4" s="175" t="str">
        <x:f>IF(L4="","",IF(AND(F4="Claim-ready",CJ4="Yes",CL4="Yes",DZ4&lt;&gt;""),"Yes","No / Pending"))</x:f>
      </x:c>
      <x:c r="EC4" s="174"/>
      <x:c r="ED4" s="174"/>
      <x:c r="EE4" s="174"/>
      <x:c r="EF4" s="174"/>
      <x:c r="EG4" s="174"/>
      <x:c r="EH4" s="177"/>
      <x:c r="EI4" s="174"/>
      <x:c r="EJ4" s="174"/>
      <x:c r="EK4" s="174"/>
      <x:c r="EL4" s="177"/>
      <x:c r="EM4" s="174"/>
      <x:c r="EN4" s="181" t="str">
        <x:f>IF(L4="","",(IF(N4&lt;&gt;"",1,0)+IF(O4&lt;&gt;"",1,0)+IF(AJ4&lt;&gt;"",1,0)+IF(AU4&lt;&gt;"",1,0)+IF(BE4&lt;&gt;"",1,0)+IF(CF4&lt;&gt;"",1,0)+IF(CJ4="Yes",1,0)+IF(CL4="Yes",1,0)+IF(DE4&lt;&gt;"Pending",1,0)+IF(F4&lt;&gt;"",1,0)+IF(DZ4&lt;&gt;"",1,0)+IF(EI4&lt;&gt;"",1,0))/12)</x:f>
      </x:c>
    </x:row>
    <x:row r="5">
      <x:c r="A5" s="175" t="str">
        <x:f>IF(L5="","","EV-"&amp;TEXT(ROW()-3,"0000"))</x:f>
      </x:c>
      <x:c r="B5" s="174"/>
      <x:c r="C5" s="175" t="str">
        <x:f>IF(L5="","",IF(OR(CM5="Retracted",CN5="Retracted",F5="Not used"),"🔴 Do not use for conclusion",IF(OR(R5="Official / Institutional",I5="Official / contextual"),"🔵 Official / contextual",IF(OR(I5="Definition",I5="Framework",I5="Paradigm shift"),"🟣 Conceptual key source",IF(AND(CJ5="Yes",CL5="Yes",OR(CG5="High",CG5="Moderate"),CH5&lt;&gt;"High",CH5&lt;&gt;"Critical",F5="Claim-ready"),"🟢 Claim-ready","🟡 Caution / context")))))</x:f>
      </x:c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6"/>
      <x:c r="P5" s="174"/>
      <x:c r="Q5" s="174"/>
      <x:c r="R5" s="174"/>
      <x:c r="S5" s="174"/>
      <x:c r="T5" s="174"/>
      <x:c r="U5" s="174"/>
      <x:c r="V5" s="174"/>
      <x:c r="W5" s="175" t="str">
        <x:f>IF(V5="","",LOWER(SUBSTITUTE(SUBSTITUTE(SUBSTITUTE(SUBSTITUTE(TRIM(V5),"https://doi.org/",""),"http://doi.org/",""),"https://dx.doi.org/",""),"doi:","")))</x:f>
      </x:c>
      <x:c r="X5" s="174"/>
      <x:c r="Y5" s="174"/>
      <x:c r="Z5" s="174"/>
      <x:c r="AA5" s="174"/>
      <x:c r="AB5" s="174"/>
      <x:c r="AC5" s="174"/>
      <x:c r="AD5" s="177"/>
      <x:c r="AE5" s="177"/>
      <x:c r="AF5" s="174"/>
      <x:c r="AG5" s="174"/>
      <x:c r="AH5" s="174"/>
      <x:c r="AI5" s="174"/>
      <x:c r="AJ5" s="174"/>
      <x:c r="AK5" s="175" t="str">
        <x:f>IF(AJ5="","",IF(OR(LOWER(AJ5)="brazil",LOWER(AJ5)="brasil"),"Yes","No"))</x:f>
      </x:c>
      <x:c r="AL5" s="174"/>
      <x:c r="AM5" s="174"/>
      <x:c r="AN5" s="174"/>
      <x:c r="AO5" s="178"/>
      <x:c r="AP5" s="174"/>
      <x:c r="AQ5" s="174"/>
      <x:c r="AR5" s="174"/>
      <x:c r="AS5" s="174"/>
      <x:c r="AT5" s="174"/>
      <x:c r="AU5" s="174"/>
      <x:c r="AV5" s="174"/>
      <x:c r="AW5" s="174"/>
      <x:c r="AX5" s="174"/>
      <x:c r="AY5" s="174"/>
      <x:c r="AZ5" s="174"/>
      <x:c r="BA5" s="174"/>
      <x:c r="BB5" s="174"/>
      <x:c r="BC5" s="174"/>
      <x:c r="BD5" s="174"/>
      <x:c r="BE5" s="174"/>
      <x:c r="BF5" s="174"/>
      <x:c r="BG5" s="174"/>
      <x:c r="BH5" s="174"/>
      <x:c r="BI5" s="174"/>
      <x:c r="BJ5" s="174"/>
      <x:c r="BK5" s="174"/>
      <x:c r="BL5" s="174"/>
      <x:c r="BM5" s="174"/>
      <x:c r="BN5" s="174"/>
      <x:c r="BO5" s="174"/>
      <x:c r="BP5" s="174"/>
      <x:c r="BQ5" s="174"/>
      <x:c r="BR5" s="174"/>
      <x:c r="BS5" s="174"/>
      <x:c r="BT5" s="174"/>
      <x:c r="BU5" s="174"/>
      <x:c r="BV5" s="174"/>
      <x:c r="BW5" s="174"/>
      <x:c r="BX5" s="174"/>
      <x:c r="BY5" s="174"/>
      <x:c r="BZ5" s="174"/>
      <x:c r="CA5" s="174"/>
      <x:c r="CB5" s="174"/>
      <x:c r="CC5" s="174"/>
      <x:c r="CD5" s="174"/>
      <x:c r="CE5" s="174"/>
      <x:c r="CF5" s="174"/>
      <x:c r="CG5" s="174"/>
      <x:c r="CH5" s="174"/>
      <x:c r="CI5" s="179"/>
      <x:c r="CJ5" s="174"/>
      <x:c r="CK5" s="174"/>
      <x:c r="CL5" s="174"/>
      <x:c r="CM5" s="174"/>
      <x:c r="CN5" s="174"/>
      <x:c r="CO5" s="177"/>
      <x:c r="CP5" s="174"/>
      <x:c r="CQ5" s="174"/>
      <x:c r="CR5" s="174"/>
      <x:c r="CS5" s="174"/>
      <x:c r="CT5" s="174"/>
      <x:c r="CU5" s="176"/>
      <x:c r="CV5" s="176"/>
      <x:c r="CW5" s="176"/>
      <x:c r="CX5" s="176"/>
      <x:c r="CY5" s="176"/>
      <x:c r="CZ5" s="176"/>
      <x:c r="DA5" s="176"/>
      <x:c r="DB5" s="175" t="str">
        <x:f>IF(L5="","",IF(COUNT(CU5:DA5)&lt;7,"",SUM(CU5:DA5)))</x:f>
      </x:c>
      <x:c r="DC5" s="180" t="str">
        <x:f>IF(DB5="","",ROUND(DB5/14*10,1))</x:f>
      </x:c>
      <x:c r="DD5" s="174"/>
      <x:c r="DE5" s="175" t="str">
        <x:f>IF(L5="","",IF(DC5="","Pending",IF(DD5="Yes","CONDITIONAL — safety override",IF(DC5&gt;=8,"HIGH",IF(DC5&gt;=5,"CONDITIONAL","LOW")))))</x:f>
      </x:c>
      <x:c r="DF5" s="174"/>
      <x:c r="DG5" s="174"/>
      <x:c r="DH5" s="174"/>
      <x:c r="DI5" s="174"/>
      <x:c r="DJ5" s="174"/>
      <x:c r="DK5" s="174"/>
      <x:c r="DL5" s="174"/>
      <x:c r="DM5" s="174"/>
      <x:c r="DN5" s="174"/>
      <x:c r="DO5" s="174"/>
      <x:c r="DP5" s="174"/>
      <x:c r="DQ5" s="174"/>
      <x:c r="DR5" s="174"/>
      <x:c r="DS5" s="174"/>
      <x:c r="DT5" s="174"/>
      <x:c r="DU5" s="174"/>
      <x:c r="DV5" s="174"/>
      <x:c r="DW5" s="174"/>
      <x:c r="DX5" s="174"/>
      <x:c r="DY5" s="174"/>
      <x:c r="DZ5" s="174"/>
      <x:c r="EA5" s="174"/>
      <x:c r="EB5" s="175" t="str">
        <x:f>IF(L5="","",IF(AND(F5="Claim-ready",CJ5="Yes",CL5="Yes",DZ5&lt;&gt;""),"Yes","No / Pending"))</x:f>
      </x:c>
      <x:c r="EC5" s="174"/>
      <x:c r="ED5" s="174"/>
      <x:c r="EE5" s="174"/>
      <x:c r="EF5" s="174"/>
      <x:c r="EG5" s="174"/>
      <x:c r="EH5" s="177"/>
      <x:c r="EI5" s="174"/>
      <x:c r="EJ5" s="174"/>
      <x:c r="EK5" s="174"/>
      <x:c r="EL5" s="177"/>
      <x:c r="EM5" s="174"/>
      <x:c r="EN5" s="181" t="str">
        <x:f>IF(L5="","",(IF(N5&lt;&gt;"",1,0)+IF(O5&lt;&gt;"",1,0)+IF(AJ5&lt;&gt;"",1,0)+IF(AU5&lt;&gt;"",1,0)+IF(BE5&lt;&gt;"",1,0)+IF(CF5&lt;&gt;"",1,0)+IF(CJ5="Yes",1,0)+IF(CL5="Yes",1,0)+IF(DE5&lt;&gt;"Pending",1,0)+IF(F5&lt;&gt;"",1,0)+IF(DZ5&lt;&gt;"",1,0)+IF(EI5&lt;&gt;"",1,0))/12)</x:f>
      </x:c>
    </x:row>
    <x:row r="6">
      <x:c r="A6" s="175" t="str">
        <x:f>IF(L6="","","EV-"&amp;TEXT(ROW()-3,"0000"))</x:f>
      </x:c>
      <x:c r="B6" s="174"/>
      <x:c r="C6" s="175" t="str">
        <x:f>IF(L6="","",IF(OR(CM6="Retracted",CN6="Retracted",F6="Not used"),"🔴 Do not use for conclusion",IF(OR(R6="Official / Institutional",I6="Official / contextual"),"🔵 Official / contextual",IF(OR(I6="Definition",I6="Framework",I6="Paradigm shift"),"🟣 Conceptual key source",IF(AND(CJ6="Yes",CL6="Yes",OR(CG6="High",CG6="Moderate"),CH6&lt;&gt;"High",CH6&lt;&gt;"Critical",F6="Claim-ready"),"🟢 Claim-ready","🟡 Caution / context")))))</x:f>
      </x:c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6"/>
      <x:c r="P6" s="174"/>
      <x:c r="Q6" s="174"/>
      <x:c r="R6" s="174"/>
      <x:c r="S6" s="174"/>
      <x:c r="T6" s="174"/>
      <x:c r="U6" s="174"/>
      <x:c r="V6" s="174"/>
      <x:c r="W6" s="175" t="str">
        <x:f>IF(V6="","",LOWER(SUBSTITUTE(SUBSTITUTE(SUBSTITUTE(SUBSTITUTE(TRIM(V6),"https://doi.org/",""),"http://doi.org/",""),"https://dx.doi.org/",""),"doi:","")))</x:f>
      </x:c>
      <x:c r="X6" s="174"/>
      <x:c r="Y6" s="174"/>
      <x:c r="Z6" s="174"/>
      <x:c r="AA6" s="174"/>
      <x:c r="AB6" s="174"/>
      <x:c r="AC6" s="174"/>
      <x:c r="AD6" s="177"/>
      <x:c r="AE6" s="177"/>
      <x:c r="AF6" s="174"/>
      <x:c r="AG6" s="174"/>
      <x:c r="AH6" s="174"/>
      <x:c r="AI6" s="174"/>
      <x:c r="AJ6" s="174"/>
      <x:c r="AK6" s="175" t="str">
        <x:f>IF(AJ6="","",IF(OR(LOWER(AJ6)="brazil",LOWER(AJ6)="brasil"),"Yes","No"))</x:f>
      </x:c>
      <x:c r="AL6" s="174"/>
      <x:c r="AM6" s="174"/>
      <x:c r="AN6" s="174"/>
      <x:c r="AO6" s="178"/>
      <x:c r="AP6" s="174"/>
      <x:c r="AQ6" s="174"/>
      <x:c r="AR6" s="174"/>
      <x:c r="AS6" s="174"/>
      <x:c r="AT6" s="174"/>
      <x:c r="AU6" s="174"/>
      <x:c r="AV6" s="174"/>
      <x:c r="AW6" s="174"/>
      <x:c r="AX6" s="174"/>
      <x:c r="AY6" s="174"/>
      <x:c r="AZ6" s="174"/>
      <x:c r="BA6" s="174"/>
      <x:c r="BB6" s="174"/>
      <x:c r="BC6" s="174"/>
      <x:c r="BD6" s="174"/>
      <x:c r="BE6" s="174"/>
      <x:c r="BF6" s="174"/>
      <x:c r="BG6" s="174"/>
      <x:c r="BH6" s="174"/>
      <x:c r="BI6" s="174"/>
      <x:c r="BJ6" s="174"/>
      <x:c r="BK6" s="174"/>
      <x:c r="BL6" s="174"/>
      <x:c r="BM6" s="174"/>
      <x:c r="BN6" s="174"/>
      <x:c r="BO6" s="174"/>
      <x:c r="BP6" s="174"/>
      <x:c r="BQ6" s="174"/>
      <x:c r="BR6" s="174"/>
      <x:c r="BS6" s="174"/>
      <x:c r="BT6" s="174"/>
      <x:c r="BU6" s="174"/>
      <x:c r="BV6" s="174"/>
      <x:c r="BW6" s="174"/>
      <x:c r="BX6" s="174"/>
      <x:c r="BY6" s="174"/>
      <x:c r="BZ6" s="174"/>
      <x:c r="CA6" s="174"/>
      <x:c r="CB6" s="174"/>
      <x:c r="CC6" s="174"/>
      <x:c r="CD6" s="174"/>
      <x:c r="CE6" s="174"/>
      <x:c r="CF6" s="174"/>
      <x:c r="CG6" s="174"/>
      <x:c r="CH6" s="174"/>
      <x:c r="CI6" s="179"/>
      <x:c r="CJ6" s="174"/>
      <x:c r="CK6" s="174"/>
      <x:c r="CL6" s="174"/>
      <x:c r="CM6" s="174"/>
      <x:c r="CN6" s="174"/>
      <x:c r="CO6" s="177"/>
      <x:c r="CP6" s="174"/>
      <x:c r="CQ6" s="174"/>
      <x:c r="CR6" s="174"/>
      <x:c r="CS6" s="174"/>
      <x:c r="CT6" s="174"/>
      <x:c r="CU6" s="176"/>
      <x:c r="CV6" s="176"/>
      <x:c r="CW6" s="176"/>
      <x:c r="CX6" s="176"/>
      <x:c r="CY6" s="176"/>
      <x:c r="CZ6" s="176"/>
      <x:c r="DA6" s="176"/>
      <x:c r="DB6" s="175" t="str">
        <x:f>IF(L6="","",IF(COUNT(CU6:DA6)&lt;7,"",SUM(CU6:DA6)))</x:f>
      </x:c>
      <x:c r="DC6" s="180" t="str">
        <x:f>IF(DB6="","",ROUND(DB6/14*10,1))</x:f>
      </x:c>
      <x:c r="DD6" s="174"/>
      <x:c r="DE6" s="175" t="str">
        <x:f>IF(L6="","",IF(DC6="","Pending",IF(DD6="Yes","CONDITIONAL — safety override",IF(DC6&gt;=8,"HIGH",IF(DC6&gt;=5,"CONDITIONAL","LOW")))))</x:f>
      </x:c>
      <x:c r="DF6" s="174"/>
      <x:c r="DG6" s="174"/>
      <x:c r="DH6" s="174"/>
      <x:c r="DI6" s="174"/>
      <x:c r="DJ6" s="174"/>
      <x:c r="DK6" s="174"/>
      <x:c r="DL6" s="174"/>
      <x:c r="DM6" s="174"/>
      <x:c r="DN6" s="174"/>
      <x:c r="DO6" s="174"/>
      <x:c r="DP6" s="174"/>
      <x:c r="DQ6" s="174"/>
      <x:c r="DR6" s="174"/>
      <x:c r="DS6" s="174"/>
      <x:c r="DT6" s="174"/>
      <x:c r="DU6" s="174"/>
      <x:c r="DV6" s="174"/>
      <x:c r="DW6" s="174"/>
      <x:c r="DX6" s="174"/>
      <x:c r="DY6" s="174"/>
      <x:c r="DZ6" s="174"/>
      <x:c r="EA6" s="174"/>
      <x:c r="EB6" s="175" t="str">
        <x:f>IF(L6="","",IF(AND(F6="Claim-ready",CJ6="Yes",CL6="Yes",DZ6&lt;&gt;""),"Yes","No / Pending"))</x:f>
      </x:c>
      <x:c r="EC6" s="174"/>
      <x:c r="ED6" s="174"/>
      <x:c r="EE6" s="174"/>
      <x:c r="EF6" s="174"/>
      <x:c r="EG6" s="174"/>
      <x:c r="EH6" s="177"/>
      <x:c r="EI6" s="174"/>
      <x:c r="EJ6" s="174"/>
      <x:c r="EK6" s="174"/>
      <x:c r="EL6" s="177"/>
      <x:c r="EM6" s="174"/>
      <x:c r="EN6" s="181" t="str">
        <x:f>IF(L6="","",(IF(N6&lt;&gt;"",1,0)+IF(O6&lt;&gt;"",1,0)+IF(AJ6&lt;&gt;"",1,0)+IF(AU6&lt;&gt;"",1,0)+IF(BE6&lt;&gt;"",1,0)+IF(CF6&lt;&gt;"",1,0)+IF(CJ6="Yes",1,0)+IF(CL6="Yes",1,0)+IF(DE6&lt;&gt;"Pending",1,0)+IF(F6&lt;&gt;"",1,0)+IF(DZ6&lt;&gt;"",1,0)+IF(EI6&lt;&gt;"",1,0))/12)</x:f>
      </x:c>
    </x:row>
    <x:row r="7">
      <x:c r="A7" s="175" t="str">
        <x:f>IF(L7="","","EV-"&amp;TEXT(ROW()-3,"0000"))</x:f>
      </x:c>
      <x:c r="B7" s="174"/>
      <x:c r="C7" s="175" t="str">
        <x:f>IF(L7="","",IF(OR(CM7="Retracted",CN7="Retracted",F7="Not used"),"🔴 Do not use for conclusion",IF(OR(R7="Official / Institutional",I7="Official / contextual"),"🔵 Official / contextual",IF(OR(I7="Definition",I7="Framework",I7="Paradigm shift"),"🟣 Conceptual key source",IF(AND(CJ7="Yes",CL7="Yes",OR(CG7="High",CG7="Moderate"),CH7&lt;&gt;"High",CH7&lt;&gt;"Critical",F7="Claim-ready"),"🟢 Claim-ready","🟡 Caution / context")))))</x:f>
      </x:c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6"/>
      <x:c r="P7" s="174"/>
      <x:c r="Q7" s="174"/>
      <x:c r="R7" s="174"/>
      <x:c r="S7" s="174"/>
      <x:c r="T7" s="174"/>
      <x:c r="U7" s="174"/>
      <x:c r="V7" s="174"/>
      <x:c r="W7" s="175" t="str">
        <x:f>IF(V7="","",LOWER(SUBSTITUTE(SUBSTITUTE(SUBSTITUTE(SUBSTITUTE(TRIM(V7),"https://doi.org/",""),"http://doi.org/",""),"https://dx.doi.org/",""),"doi:","")))</x:f>
      </x:c>
      <x:c r="X7" s="174"/>
      <x:c r="Y7" s="174"/>
      <x:c r="Z7" s="174"/>
      <x:c r="AA7" s="174"/>
      <x:c r="AB7" s="174"/>
      <x:c r="AC7" s="174"/>
      <x:c r="AD7" s="177"/>
      <x:c r="AE7" s="177"/>
      <x:c r="AF7" s="174"/>
      <x:c r="AG7" s="174"/>
      <x:c r="AH7" s="174"/>
      <x:c r="AI7" s="174"/>
      <x:c r="AJ7" s="174"/>
      <x:c r="AK7" s="175" t="str">
        <x:f>IF(AJ7="","",IF(OR(LOWER(AJ7)="brazil",LOWER(AJ7)="brasil"),"Yes","No"))</x:f>
      </x:c>
      <x:c r="AL7" s="174"/>
      <x:c r="AM7" s="174"/>
      <x:c r="AN7" s="174"/>
      <x:c r="AO7" s="178"/>
      <x:c r="AP7" s="174"/>
      <x:c r="AQ7" s="174"/>
      <x:c r="AR7" s="174"/>
      <x:c r="AS7" s="174"/>
      <x:c r="AT7" s="174"/>
      <x:c r="AU7" s="174"/>
      <x:c r="AV7" s="174"/>
      <x:c r="AW7" s="174"/>
      <x:c r="AX7" s="174"/>
      <x:c r="AY7" s="174"/>
      <x:c r="AZ7" s="174"/>
      <x:c r="BA7" s="174"/>
      <x:c r="BB7" s="174"/>
      <x:c r="BC7" s="174"/>
      <x:c r="BD7" s="174"/>
      <x:c r="BE7" s="174"/>
      <x:c r="BF7" s="174"/>
      <x:c r="BG7" s="174"/>
      <x:c r="BH7" s="174"/>
      <x:c r="BI7" s="174"/>
      <x:c r="BJ7" s="174"/>
      <x:c r="BK7" s="174"/>
      <x:c r="BL7" s="174"/>
      <x:c r="BM7" s="174"/>
      <x:c r="BN7" s="174"/>
      <x:c r="BO7" s="174"/>
      <x:c r="BP7" s="174"/>
      <x:c r="BQ7" s="174"/>
      <x:c r="BR7" s="174"/>
      <x:c r="BS7" s="174"/>
      <x:c r="BT7" s="174"/>
      <x:c r="BU7" s="174"/>
      <x:c r="BV7" s="174"/>
      <x:c r="BW7" s="174"/>
      <x:c r="BX7" s="174"/>
      <x:c r="BY7" s="174"/>
      <x:c r="BZ7" s="174"/>
      <x:c r="CA7" s="174"/>
      <x:c r="CB7" s="174"/>
      <x:c r="CC7" s="174"/>
      <x:c r="CD7" s="174"/>
      <x:c r="CE7" s="174"/>
      <x:c r="CF7" s="174"/>
      <x:c r="CG7" s="174"/>
      <x:c r="CH7" s="174"/>
      <x:c r="CI7" s="179"/>
      <x:c r="CJ7" s="174"/>
      <x:c r="CK7" s="174"/>
      <x:c r="CL7" s="174"/>
      <x:c r="CM7" s="174"/>
      <x:c r="CN7" s="174"/>
      <x:c r="CO7" s="177"/>
      <x:c r="CP7" s="174"/>
      <x:c r="CQ7" s="174"/>
      <x:c r="CR7" s="174"/>
      <x:c r="CS7" s="174"/>
      <x:c r="CT7" s="174"/>
      <x:c r="CU7" s="176"/>
      <x:c r="CV7" s="176"/>
      <x:c r="CW7" s="176"/>
      <x:c r="CX7" s="176"/>
      <x:c r="CY7" s="176"/>
      <x:c r="CZ7" s="176"/>
      <x:c r="DA7" s="176"/>
      <x:c r="DB7" s="175" t="str">
        <x:f>IF(L7="","",IF(COUNT(CU7:DA7)&lt;7,"",SUM(CU7:DA7)))</x:f>
      </x:c>
      <x:c r="DC7" s="180" t="str">
        <x:f>IF(DB7="","",ROUND(DB7/14*10,1))</x:f>
      </x:c>
      <x:c r="DD7" s="174"/>
      <x:c r="DE7" s="175" t="str">
        <x:f>IF(L7="","",IF(DC7="","Pending",IF(DD7="Yes","CONDITIONAL — safety override",IF(DC7&gt;=8,"HIGH",IF(DC7&gt;=5,"CONDITIONAL","LOW")))))</x:f>
      </x:c>
      <x:c r="DF7" s="174"/>
      <x:c r="DG7" s="174"/>
      <x:c r="DH7" s="174"/>
      <x:c r="DI7" s="174"/>
      <x:c r="DJ7" s="174"/>
      <x:c r="DK7" s="174"/>
      <x:c r="DL7" s="174"/>
      <x:c r="DM7" s="174"/>
      <x:c r="DN7" s="174"/>
      <x:c r="DO7" s="174"/>
      <x:c r="DP7" s="174"/>
      <x:c r="DQ7" s="174"/>
      <x:c r="DR7" s="174"/>
      <x:c r="DS7" s="174"/>
      <x:c r="DT7" s="174"/>
      <x:c r="DU7" s="174"/>
      <x:c r="DV7" s="174"/>
      <x:c r="DW7" s="174"/>
      <x:c r="DX7" s="174"/>
      <x:c r="DY7" s="174"/>
      <x:c r="DZ7" s="174"/>
      <x:c r="EA7" s="174"/>
      <x:c r="EB7" s="175" t="str">
        <x:f>IF(L7="","",IF(AND(F7="Claim-ready",CJ7="Yes",CL7="Yes",DZ7&lt;&gt;""),"Yes","No / Pending"))</x:f>
      </x:c>
      <x:c r="EC7" s="174"/>
      <x:c r="ED7" s="174"/>
      <x:c r="EE7" s="174"/>
      <x:c r="EF7" s="174"/>
      <x:c r="EG7" s="174"/>
      <x:c r="EH7" s="177"/>
      <x:c r="EI7" s="174"/>
      <x:c r="EJ7" s="174"/>
      <x:c r="EK7" s="174"/>
      <x:c r="EL7" s="177"/>
      <x:c r="EM7" s="174"/>
      <x:c r="EN7" s="181" t="str">
        <x:f>IF(L7="","",(IF(N7&lt;&gt;"",1,0)+IF(O7&lt;&gt;"",1,0)+IF(AJ7&lt;&gt;"",1,0)+IF(AU7&lt;&gt;"",1,0)+IF(BE7&lt;&gt;"",1,0)+IF(CF7&lt;&gt;"",1,0)+IF(CJ7="Yes",1,0)+IF(CL7="Yes",1,0)+IF(DE7&lt;&gt;"Pending",1,0)+IF(F7&lt;&gt;"",1,0)+IF(DZ7&lt;&gt;"",1,0)+IF(EI7&lt;&gt;"",1,0))/12)</x:f>
      </x:c>
    </x:row>
    <x:row r="8">
      <x:c r="A8" s="175" t="str">
        <x:f>IF(L8="","","EV-"&amp;TEXT(ROW()-3,"0000"))</x:f>
      </x:c>
      <x:c r="B8" s="174"/>
      <x:c r="C8" s="175" t="str">
        <x:f>IF(L8="","",IF(OR(CM8="Retracted",CN8="Retracted",F8="Not used"),"🔴 Do not use for conclusion",IF(OR(R8="Official / Institutional",I8="Official / contextual"),"🔵 Official / contextual",IF(OR(I8="Definition",I8="Framework",I8="Paradigm shift"),"🟣 Conceptual key source",IF(AND(CJ8="Yes",CL8="Yes",OR(CG8="High",CG8="Moderate"),CH8&lt;&gt;"High",CH8&lt;&gt;"Critical",F8="Claim-ready"),"🟢 Claim-ready","🟡 Caution / context")))))</x:f>
      </x:c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6"/>
      <x:c r="P8" s="174"/>
      <x:c r="Q8" s="174"/>
      <x:c r="R8" s="174"/>
      <x:c r="S8" s="174"/>
      <x:c r="T8" s="174"/>
      <x:c r="U8" s="174"/>
      <x:c r="V8" s="174"/>
      <x:c r="W8" s="175" t="str">
        <x:f>IF(V8="","",LOWER(SUBSTITUTE(SUBSTITUTE(SUBSTITUTE(SUBSTITUTE(TRIM(V8),"https://doi.org/",""),"http://doi.org/",""),"https://dx.doi.org/",""),"doi:","")))</x:f>
      </x:c>
      <x:c r="X8" s="174"/>
      <x:c r="Y8" s="174"/>
      <x:c r="Z8" s="174"/>
      <x:c r="AA8" s="174"/>
      <x:c r="AB8" s="174"/>
      <x:c r="AC8" s="174"/>
      <x:c r="AD8" s="177"/>
      <x:c r="AE8" s="177"/>
      <x:c r="AF8" s="174"/>
      <x:c r="AG8" s="174"/>
      <x:c r="AH8" s="174"/>
      <x:c r="AI8" s="174"/>
      <x:c r="AJ8" s="174"/>
      <x:c r="AK8" s="175" t="str">
        <x:f>IF(AJ8="","",IF(OR(LOWER(AJ8)="brazil",LOWER(AJ8)="brasil"),"Yes","No"))</x:f>
      </x:c>
      <x:c r="AL8" s="174"/>
      <x:c r="AM8" s="174"/>
      <x:c r="AN8" s="174"/>
      <x:c r="AO8" s="178"/>
      <x:c r="AP8" s="174"/>
      <x:c r="AQ8" s="174"/>
      <x:c r="AR8" s="174"/>
      <x:c r="AS8" s="174"/>
      <x:c r="AT8" s="174"/>
      <x:c r="AU8" s="174"/>
      <x:c r="AV8" s="174"/>
      <x:c r="AW8" s="174"/>
      <x:c r="AX8" s="174"/>
      <x:c r="AY8" s="174"/>
      <x:c r="AZ8" s="174"/>
      <x:c r="BA8" s="174"/>
      <x:c r="BB8" s="174"/>
      <x:c r="BC8" s="174"/>
      <x:c r="BD8" s="174"/>
      <x:c r="BE8" s="174"/>
      <x:c r="BF8" s="174"/>
      <x:c r="BG8" s="174"/>
      <x:c r="BH8" s="174"/>
      <x:c r="BI8" s="174"/>
      <x:c r="BJ8" s="174"/>
      <x:c r="BK8" s="174"/>
      <x:c r="BL8" s="174"/>
      <x:c r="BM8" s="174"/>
      <x:c r="BN8" s="174"/>
      <x:c r="BO8" s="174"/>
      <x:c r="BP8" s="174"/>
      <x:c r="BQ8" s="174"/>
      <x:c r="BR8" s="174"/>
      <x:c r="BS8" s="174"/>
      <x:c r="BT8" s="174"/>
      <x:c r="BU8" s="174"/>
      <x:c r="BV8" s="174"/>
      <x:c r="BW8" s="174"/>
      <x:c r="BX8" s="174"/>
      <x:c r="BY8" s="174"/>
      <x:c r="BZ8" s="174"/>
      <x:c r="CA8" s="174"/>
      <x:c r="CB8" s="174"/>
      <x:c r="CC8" s="174"/>
      <x:c r="CD8" s="174"/>
      <x:c r="CE8" s="174"/>
      <x:c r="CF8" s="174"/>
      <x:c r="CG8" s="174"/>
      <x:c r="CH8" s="174"/>
      <x:c r="CI8" s="179"/>
      <x:c r="CJ8" s="174"/>
      <x:c r="CK8" s="174"/>
      <x:c r="CL8" s="174"/>
      <x:c r="CM8" s="174"/>
      <x:c r="CN8" s="174"/>
      <x:c r="CO8" s="177"/>
      <x:c r="CP8" s="174"/>
      <x:c r="CQ8" s="174"/>
      <x:c r="CR8" s="174"/>
      <x:c r="CS8" s="174"/>
      <x:c r="CT8" s="174"/>
      <x:c r="CU8" s="176"/>
      <x:c r="CV8" s="176"/>
      <x:c r="CW8" s="176"/>
      <x:c r="CX8" s="176"/>
      <x:c r="CY8" s="176"/>
      <x:c r="CZ8" s="176"/>
      <x:c r="DA8" s="176"/>
      <x:c r="DB8" s="175" t="str">
        <x:f>IF(L8="","",IF(COUNT(CU8:DA8)&lt;7,"",SUM(CU8:DA8)))</x:f>
      </x:c>
      <x:c r="DC8" s="180" t="str">
        <x:f>IF(DB8="","",ROUND(DB8/14*10,1))</x:f>
      </x:c>
      <x:c r="DD8" s="174"/>
      <x:c r="DE8" s="175" t="str">
        <x:f>IF(L8="","",IF(DC8="","Pending",IF(DD8="Yes","CONDITIONAL — safety override",IF(DC8&gt;=8,"HIGH",IF(DC8&gt;=5,"CONDITIONAL","LOW")))))</x:f>
      </x:c>
      <x:c r="DF8" s="174"/>
      <x:c r="DG8" s="174"/>
      <x:c r="DH8" s="174"/>
      <x:c r="DI8" s="174"/>
      <x:c r="DJ8" s="174"/>
      <x:c r="DK8" s="174"/>
      <x:c r="DL8" s="174"/>
      <x:c r="DM8" s="174"/>
      <x:c r="DN8" s="174"/>
      <x:c r="DO8" s="174"/>
      <x:c r="DP8" s="174"/>
      <x:c r="DQ8" s="174"/>
      <x:c r="DR8" s="174"/>
      <x:c r="DS8" s="174"/>
      <x:c r="DT8" s="174"/>
      <x:c r="DU8" s="174"/>
      <x:c r="DV8" s="174"/>
      <x:c r="DW8" s="174"/>
      <x:c r="DX8" s="174"/>
      <x:c r="DY8" s="174"/>
      <x:c r="DZ8" s="174"/>
      <x:c r="EA8" s="174"/>
      <x:c r="EB8" s="175" t="str">
        <x:f>IF(L8="","",IF(AND(F8="Claim-ready",CJ8="Yes",CL8="Yes",DZ8&lt;&gt;""),"Yes","No / Pending"))</x:f>
      </x:c>
      <x:c r="EC8" s="174"/>
      <x:c r="ED8" s="174"/>
      <x:c r="EE8" s="174"/>
      <x:c r="EF8" s="174"/>
      <x:c r="EG8" s="174"/>
      <x:c r="EH8" s="177"/>
      <x:c r="EI8" s="174"/>
      <x:c r="EJ8" s="174"/>
      <x:c r="EK8" s="174"/>
      <x:c r="EL8" s="177"/>
      <x:c r="EM8" s="174"/>
      <x:c r="EN8" s="181" t="str">
        <x:f>IF(L8="","",(IF(N8&lt;&gt;"",1,0)+IF(O8&lt;&gt;"",1,0)+IF(AJ8&lt;&gt;"",1,0)+IF(AU8&lt;&gt;"",1,0)+IF(BE8&lt;&gt;"",1,0)+IF(CF8&lt;&gt;"",1,0)+IF(CJ8="Yes",1,0)+IF(CL8="Yes",1,0)+IF(DE8&lt;&gt;"Pending",1,0)+IF(F8&lt;&gt;"",1,0)+IF(DZ8&lt;&gt;"",1,0)+IF(EI8&lt;&gt;"",1,0))/12)</x:f>
      </x:c>
    </x:row>
    <x:row r="9">
      <x:c r="A9" s="175" t="str">
        <x:f>IF(L9="","","EV-"&amp;TEXT(ROW()-3,"0000"))</x:f>
      </x:c>
      <x:c r="B9" s="174"/>
      <x:c r="C9" s="175" t="str">
        <x:f>IF(L9="","",IF(OR(CM9="Retracted",CN9="Retracted",F9="Not used"),"🔴 Do not use for conclusion",IF(OR(R9="Official / Institutional",I9="Official / contextual"),"🔵 Official / contextual",IF(OR(I9="Definition",I9="Framework",I9="Paradigm shift"),"🟣 Conceptual key source",IF(AND(CJ9="Yes",CL9="Yes",OR(CG9="High",CG9="Moderate"),CH9&lt;&gt;"High",CH9&lt;&gt;"Critical",F9="Claim-ready"),"🟢 Claim-ready","🟡 Caution / context")))))</x:f>
      </x:c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6"/>
      <x:c r="P9" s="174"/>
      <x:c r="Q9" s="174"/>
      <x:c r="R9" s="174"/>
      <x:c r="S9" s="174"/>
      <x:c r="T9" s="174"/>
      <x:c r="U9" s="174"/>
      <x:c r="V9" s="174"/>
      <x:c r="W9" s="175" t="str">
        <x:f>IF(V9="","",LOWER(SUBSTITUTE(SUBSTITUTE(SUBSTITUTE(SUBSTITUTE(TRIM(V9),"https://doi.org/",""),"http://doi.org/",""),"https://dx.doi.org/",""),"doi:","")))</x:f>
      </x:c>
      <x:c r="X9" s="174"/>
      <x:c r="Y9" s="174"/>
      <x:c r="Z9" s="174"/>
      <x:c r="AA9" s="174"/>
      <x:c r="AB9" s="174"/>
      <x:c r="AC9" s="174"/>
      <x:c r="AD9" s="177"/>
      <x:c r="AE9" s="177"/>
      <x:c r="AF9" s="174"/>
      <x:c r="AG9" s="174"/>
      <x:c r="AH9" s="174"/>
      <x:c r="AI9" s="174"/>
      <x:c r="AJ9" s="174"/>
      <x:c r="AK9" s="175" t="str">
        <x:f>IF(AJ9="","",IF(OR(LOWER(AJ9)="brazil",LOWER(AJ9)="brasil"),"Yes","No"))</x:f>
      </x:c>
      <x:c r="AL9" s="174"/>
      <x:c r="AM9" s="174"/>
      <x:c r="AN9" s="174"/>
      <x:c r="AO9" s="178"/>
      <x:c r="AP9" s="174"/>
      <x:c r="AQ9" s="174"/>
      <x:c r="AR9" s="174"/>
      <x:c r="AS9" s="174"/>
      <x:c r="AT9" s="174"/>
      <x:c r="AU9" s="174"/>
      <x:c r="AV9" s="174"/>
      <x:c r="AW9" s="174"/>
      <x:c r="AX9" s="174"/>
      <x:c r="AY9" s="174"/>
      <x:c r="AZ9" s="174"/>
      <x:c r="BA9" s="174"/>
      <x:c r="BB9" s="174"/>
      <x:c r="BC9" s="174"/>
      <x:c r="BD9" s="174"/>
      <x:c r="BE9" s="174"/>
      <x:c r="BF9" s="174"/>
      <x:c r="BG9" s="174"/>
      <x:c r="BH9" s="174"/>
      <x:c r="BI9" s="174"/>
      <x:c r="BJ9" s="174"/>
      <x:c r="BK9" s="174"/>
      <x:c r="BL9" s="174"/>
      <x:c r="BM9" s="174"/>
      <x:c r="BN9" s="174"/>
      <x:c r="BO9" s="174"/>
      <x:c r="BP9" s="174"/>
      <x:c r="BQ9" s="174"/>
      <x:c r="BR9" s="174"/>
      <x:c r="BS9" s="174"/>
      <x:c r="BT9" s="174"/>
      <x:c r="BU9" s="174"/>
      <x:c r="BV9" s="174"/>
      <x:c r="BW9" s="174"/>
      <x:c r="BX9" s="174"/>
      <x:c r="BY9" s="174"/>
      <x:c r="BZ9" s="174"/>
      <x:c r="CA9" s="174"/>
      <x:c r="CB9" s="174"/>
      <x:c r="CC9" s="174"/>
      <x:c r="CD9" s="174"/>
      <x:c r="CE9" s="174"/>
      <x:c r="CF9" s="174"/>
      <x:c r="CG9" s="174"/>
      <x:c r="CH9" s="174"/>
      <x:c r="CI9" s="179"/>
      <x:c r="CJ9" s="174"/>
      <x:c r="CK9" s="174"/>
      <x:c r="CL9" s="174"/>
      <x:c r="CM9" s="174"/>
      <x:c r="CN9" s="174"/>
      <x:c r="CO9" s="177"/>
      <x:c r="CP9" s="174"/>
      <x:c r="CQ9" s="174"/>
      <x:c r="CR9" s="174"/>
      <x:c r="CS9" s="174"/>
      <x:c r="CT9" s="174"/>
      <x:c r="CU9" s="176"/>
      <x:c r="CV9" s="176"/>
      <x:c r="CW9" s="176"/>
      <x:c r="CX9" s="176"/>
      <x:c r="CY9" s="176"/>
      <x:c r="CZ9" s="176"/>
      <x:c r="DA9" s="176"/>
      <x:c r="DB9" s="175" t="str">
        <x:f>IF(L9="","",IF(COUNT(CU9:DA9)&lt;7,"",SUM(CU9:DA9)))</x:f>
      </x:c>
      <x:c r="DC9" s="180" t="str">
        <x:f>IF(DB9="","",ROUND(DB9/14*10,1))</x:f>
      </x:c>
      <x:c r="DD9" s="174"/>
      <x:c r="DE9" s="175" t="str">
        <x:f>IF(L9="","",IF(DC9="","Pending",IF(DD9="Yes","CONDITIONAL — safety override",IF(DC9&gt;=8,"HIGH",IF(DC9&gt;=5,"CONDITIONAL","LOW")))))</x:f>
      </x:c>
      <x:c r="DF9" s="174"/>
      <x:c r="DG9" s="174"/>
      <x:c r="DH9" s="174"/>
      <x:c r="DI9" s="174"/>
      <x:c r="DJ9" s="174"/>
      <x:c r="DK9" s="174"/>
      <x:c r="DL9" s="174"/>
      <x:c r="DM9" s="174"/>
      <x:c r="DN9" s="174"/>
      <x:c r="DO9" s="174"/>
      <x:c r="DP9" s="174"/>
      <x:c r="DQ9" s="174"/>
      <x:c r="DR9" s="174"/>
      <x:c r="DS9" s="174"/>
      <x:c r="DT9" s="174"/>
      <x:c r="DU9" s="174"/>
      <x:c r="DV9" s="174"/>
      <x:c r="DW9" s="174"/>
      <x:c r="DX9" s="174"/>
      <x:c r="DY9" s="174"/>
      <x:c r="DZ9" s="174"/>
      <x:c r="EA9" s="174"/>
      <x:c r="EB9" s="175" t="str">
        <x:f>IF(L9="","",IF(AND(F9="Claim-ready",CJ9="Yes",CL9="Yes",DZ9&lt;&gt;""),"Yes","No / Pending"))</x:f>
      </x:c>
      <x:c r="EC9" s="174"/>
      <x:c r="ED9" s="174"/>
      <x:c r="EE9" s="174"/>
      <x:c r="EF9" s="174"/>
      <x:c r="EG9" s="174"/>
      <x:c r="EH9" s="177"/>
      <x:c r="EI9" s="174"/>
      <x:c r="EJ9" s="174"/>
      <x:c r="EK9" s="174"/>
      <x:c r="EL9" s="177"/>
      <x:c r="EM9" s="174"/>
      <x:c r="EN9" s="181" t="str">
        <x:f>IF(L9="","",(IF(N9&lt;&gt;"",1,0)+IF(O9&lt;&gt;"",1,0)+IF(AJ9&lt;&gt;"",1,0)+IF(AU9&lt;&gt;"",1,0)+IF(BE9&lt;&gt;"",1,0)+IF(CF9&lt;&gt;"",1,0)+IF(CJ9="Yes",1,0)+IF(CL9="Yes",1,0)+IF(DE9&lt;&gt;"Pending",1,0)+IF(F9&lt;&gt;"",1,0)+IF(DZ9&lt;&gt;"",1,0)+IF(EI9&lt;&gt;"",1,0))/12)</x:f>
      </x:c>
    </x:row>
    <x:row r="10">
      <x:c r="A10" s="175" t="str">
        <x:f>IF(L10="","","EV-"&amp;TEXT(ROW()-3,"0000"))</x:f>
      </x:c>
      <x:c r="B10" s="174"/>
      <x:c r="C10" s="175" t="str">
        <x:f>IF(L10="","",IF(OR(CM10="Retracted",CN10="Retracted",F10="Not used"),"🔴 Do not use for conclusion",IF(OR(R10="Official / Institutional",I10="Official / contextual"),"🔵 Official / contextual",IF(OR(I10="Definition",I10="Framework",I10="Paradigm shift"),"🟣 Conceptual key source",IF(AND(CJ10="Yes",CL10="Yes",OR(CG10="High",CG10="Moderate"),CH10&lt;&gt;"High",CH10&lt;&gt;"Critical",F10="Claim-ready"),"🟢 Claim-ready","🟡 Caution / context")))))</x:f>
      </x:c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6"/>
      <x:c r="P10" s="174"/>
      <x:c r="Q10" s="174"/>
      <x:c r="R10" s="174"/>
      <x:c r="S10" s="174"/>
      <x:c r="T10" s="174"/>
      <x:c r="U10" s="174"/>
      <x:c r="V10" s="174"/>
      <x:c r="W10" s="175" t="str">
        <x:f>IF(V10="","",LOWER(SUBSTITUTE(SUBSTITUTE(SUBSTITUTE(SUBSTITUTE(TRIM(V10),"https://doi.org/",""),"http://doi.org/",""),"https://dx.doi.org/",""),"doi:","")))</x:f>
      </x:c>
      <x:c r="X10" s="174"/>
      <x:c r="Y10" s="174"/>
      <x:c r="Z10" s="174"/>
      <x:c r="AA10" s="174"/>
      <x:c r="AB10" s="174"/>
      <x:c r="AC10" s="174"/>
      <x:c r="AD10" s="177"/>
      <x:c r="AE10" s="177"/>
      <x:c r="AF10" s="174"/>
      <x:c r="AG10" s="174"/>
      <x:c r="AH10" s="174"/>
      <x:c r="AI10" s="174"/>
      <x:c r="AJ10" s="174"/>
      <x:c r="AK10" s="175" t="str">
        <x:f>IF(AJ10="","",IF(OR(LOWER(AJ10)="brazil",LOWER(AJ10)="brasil"),"Yes","No"))</x:f>
      </x:c>
      <x:c r="AL10" s="174"/>
      <x:c r="AM10" s="174"/>
      <x:c r="AN10" s="174"/>
      <x:c r="AO10" s="178"/>
      <x:c r="AP10" s="174"/>
      <x:c r="AQ10" s="174"/>
      <x:c r="AR10" s="174"/>
      <x:c r="AS10" s="174"/>
      <x:c r="AT10" s="174"/>
      <x:c r="AU10" s="174"/>
      <x:c r="AV10" s="174"/>
      <x:c r="AW10" s="174"/>
      <x:c r="AX10" s="174"/>
      <x:c r="AY10" s="174"/>
      <x:c r="AZ10" s="174"/>
      <x:c r="BA10" s="174"/>
      <x:c r="BB10" s="174"/>
      <x:c r="BC10" s="174"/>
      <x:c r="BD10" s="174"/>
      <x:c r="BE10" s="174"/>
      <x:c r="BF10" s="174"/>
      <x:c r="BG10" s="174"/>
      <x:c r="BH10" s="174"/>
      <x:c r="BI10" s="174"/>
      <x:c r="BJ10" s="174"/>
      <x:c r="BK10" s="174"/>
      <x:c r="BL10" s="174"/>
      <x:c r="BM10" s="174"/>
      <x:c r="BN10" s="174"/>
      <x:c r="BO10" s="174"/>
      <x:c r="BP10" s="174"/>
      <x:c r="BQ10" s="174"/>
      <x:c r="BR10" s="174"/>
      <x:c r="BS10" s="174"/>
      <x:c r="BT10" s="174"/>
      <x:c r="BU10" s="174"/>
      <x:c r="BV10" s="174"/>
      <x:c r="BW10" s="174"/>
      <x:c r="BX10" s="174"/>
      <x:c r="BY10" s="174"/>
      <x:c r="BZ10" s="174"/>
      <x:c r="CA10" s="174"/>
      <x:c r="CB10" s="174"/>
      <x:c r="CC10" s="174"/>
      <x:c r="CD10" s="174"/>
      <x:c r="CE10" s="174"/>
      <x:c r="CF10" s="174"/>
      <x:c r="CG10" s="174"/>
      <x:c r="CH10" s="174"/>
      <x:c r="CI10" s="179"/>
      <x:c r="CJ10" s="174"/>
      <x:c r="CK10" s="174"/>
      <x:c r="CL10" s="174"/>
      <x:c r="CM10" s="174"/>
      <x:c r="CN10" s="174"/>
      <x:c r="CO10" s="177"/>
      <x:c r="CP10" s="174"/>
      <x:c r="CQ10" s="174"/>
      <x:c r="CR10" s="174"/>
      <x:c r="CS10" s="174"/>
      <x:c r="CT10" s="174"/>
      <x:c r="CU10" s="176"/>
      <x:c r="CV10" s="176"/>
      <x:c r="CW10" s="176"/>
      <x:c r="CX10" s="176"/>
      <x:c r="CY10" s="176"/>
      <x:c r="CZ10" s="176"/>
      <x:c r="DA10" s="176"/>
      <x:c r="DB10" s="175" t="str">
        <x:f>IF(L10="","",IF(COUNT(CU10:DA10)&lt;7,"",SUM(CU10:DA10)))</x:f>
      </x:c>
      <x:c r="DC10" s="180" t="str">
        <x:f>IF(DB10="","",ROUND(DB10/14*10,1))</x:f>
      </x:c>
      <x:c r="DD10" s="174"/>
      <x:c r="DE10" s="175" t="str">
        <x:f>IF(L10="","",IF(DC10="","Pending",IF(DD10="Yes","CONDITIONAL — safety override",IF(DC10&gt;=8,"HIGH",IF(DC10&gt;=5,"CONDITIONAL","LOW")))))</x:f>
      </x:c>
      <x:c r="DF10" s="174"/>
      <x:c r="DG10" s="174"/>
      <x:c r="DH10" s="174"/>
      <x:c r="DI10" s="174"/>
      <x:c r="DJ10" s="174"/>
      <x:c r="DK10" s="174"/>
      <x:c r="DL10" s="174"/>
      <x:c r="DM10" s="174"/>
      <x:c r="DN10" s="174"/>
      <x:c r="DO10" s="174"/>
      <x:c r="DP10" s="174"/>
      <x:c r="DQ10" s="174"/>
      <x:c r="DR10" s="174"/>
      <x:c r="DS10" s="174"/>
      <x:c r="DT10" s="174"/>
      <x:c r="DU10" s="174"/>
      <x:c r="DV10" s="174"/>
      <x:c r="DW10" s="174"/>
      <x:c r="DX10" s="174"/>
      <x:c r="DY10" s="174"/>
      <x:c r="DZ10" s="174"/>
      <x:c r="EA10" s="174"/>
      <x:c r="EB10" s="175" t="str">
        <x:f>IF(L10="","",IF(AND(F10="Claim-ready",CJ10="Yes",CL10="Yes",DZ10&lt;&gt;""),"Yes","No / Pending"))</x:f>
      </x:c>
      <x:c r="EC10" s="174"/>
      <x:c r="ED10" s="174"/>
      <x:c r="EE10" s="174"/>
      <x:c r="EF10" s="174"/>
      <x:c r="EG10" s="174"/>
      <x:c r="EH10" s="177"/>
      <x:c r="EI10" s="174"/>
      <x:c r="EJ10" s="174"/>
      <x:c r="EK10" s="174"/>
      <x:c r="EL10" s="177"/>
      <x:c r="EM10" s="174"/>
      <x:c r="EN10" s="181" t="str">
        <x:f>IF(L10="","",(IF(N10&lt;&gt;"",1,0)+IF(O10&lt;&gt;"",1,0)+IF(AJ10&lt;&gt;"",1,0)+IF(AU10&lt;&gt;"",1,0)+IF(BE10&lt;&gt;"",1,0)+IF(CF10&lt;&gt;"",1,0)+IF(CJ10="Yes",1,0)+IF(CL10="Yes",1,0)+IF(DE10&lt;&gt;"Pending",1,0)+IF(F10&lt;&gt;"",1,0)+IF(DZ10&lt;&gt;"",1,0)+IF(EI10&lt;&gt;"",1,0))/12)</x:f>
      </x:c>
    </x:row>
    <x:row r="11">
      <x:c r="A11" s="175" t="str">
        <x:f>IF(L11="","","EV-"&amp;TEXT(ROW()-3,"0000"))</x:f>
      </x:c>
      <x:c r="B11" s="174"/>
      <x:c r="C11" s="175" t="str">
        <x:f>IF(L11="","",IF(OR(CM11="Retracted",CN11="Retracted",F11="Not used"),"🔴 Do not use for conclusion",IF(OR(R11="Official / Institutional",I11="Official / contextual"),"🔵 Official / contextual",IF(OR(I11="Definition",I11="Framework",I11="Paradigm shift"),"🟣 Conceptual key source",IF(AND(CJ11="Yes",CL11="Yes",OR(CG11="High",CG11="Moderate"),CH11&lt;&gt;"High",CH11&lt;&gt;"Critical",F11="Claim-ready"),"🟢 Claim-ready","🟡 Caution / context")))))</x:f>
      </x:c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6"/>
      <x:c r="P11" s="174"/>
      <x:c r="Q11" s="174"/>
      <x:c r="R11" s="174"/>
      <x:c r="S11" s="174"/>
      <x:c r="T11" s="174"/>
      <x:c r="U11" s="174"/>
      <x:c r="V11" s="174"/>
      <x:c r="W11" s="175" t="str">
        <x:f>IF(V11="","",LOWER(SUBSTITUTE(SUBSTITUTE(SUBSTITUTE(SUBSTITUTE(TRIM(V11),"https://doi.org/",""),"http://doi.org/",""),"https://dx.doi.org/",""),"doi:","")))</x:f>
      </x:c>
      <x:c r="X11" s="174"/>
      <x:c r="Y11" s="174"/>
      <x:c r="Z11" s="174"/>
      <x:c r="AA11" s="174"/>
      <x:c r="AB11" s="174"/>
      <x:c r="AC11" s="174"/>
      <x:c r="AD11" s="177"/>
      <x:c r="AE11" s="177"/>
      <x:c r="AF11" s="174"/>
      <x:c r="AG11" s="174"/>
      <x:c r="AH11" s="174"/>
      <x:c r="AI11" s="174"/>
      <x:c r="AJ11" s="174"/>
      <x:c r="AK11" s="175" t="str">
        <x:f>IF(AJ11="","",IF(OR(LOWER(AJ11)="brazil",LOWER(AJ11)="brasil"),"Yes","No"))</x:f>
      </x:c>
      <x:c r="AL11" s="174"/>
      <x:c r="AM11" s="174"/>
      <x:c r="AN11" s="174"/>
      <x:c r="AO11" s="178"/>
      <x:c r="AP11" s="174"/>
      <x:c r="AQ11" s="174"/>
      <x:c r="AR11" s="174"/>
      <x:c r="AS11" s="174"/>
      <x:c r="AT11" s="174"/>
      <x:c r="AU11" s="174"/>
      <x:c r="AV11" s="174"/>
      <x:c r="AW11" s="174"/>
      <x:c r="AX11" s="174"/>
      <x:c r="AY11" s="174"/>
      <x:c r="AZ11" s="174"/>
      <x:c r="BA11" s="174"/>
      <x:c r="BB11" s="174"/>
      <x:c r="BC11" s="174"/>
      <x:c r="BD11" s="174"/>
      <x:c r="BE11" s="174"/>
      <x:c r="BF11" s="174"/>
      <x:c r="BG11" s="174"/>
      <x:c r="BH11" s="174"/>
      <x:c r="BI11" s="174"/>
      <x:c r="BJ11" s="174"/>
      <x:c r="BK11" s="174"/>
      <x:c r="BL11" s="174"/>
      <x:c r="BM11" s="174"/>
      <x:c r="BN11" s="174"/>
      <x:c r="BO11" s="174"/>
      <x:c r="BP11" s="174"/>
      <x:c r="BQ11" s="174"/>
      <x:c r="BR11" s="174"/>
      <x:c r="BS11" s="174"/>
      <x:c r="BT11" s="174"/>
      <x:c r="BU11" s="174"/>
      <x:c r="BV11" s="174"/>
      <x:c r="BW11" s="174"/>
      <x:c r="BX11" s="174"/>
      <x:c r="BY11" s="174"/>
      <x:c r="BZ11" s="174"/>
      <x:c r="CA11" s="174"/>
      <x:c r="CB11" s="174"/>
      <x:c r="CC11" s="174"/>
      <x:c r="CD11" s="174"/>
      <x:c r="CE11" s="174"/>
      <x:c r="CF11" s="174"/>
      <x:c r="CG11" s="174"/>
      <x:c r="CH11" s="174"/>
      <x:c r="CI11" s="179"/>
      <x:c r="CJ11" s="174"/>
      <x:c r="CK11" s="174"/>
      <x:c r="CL11" s="174"/>
      <x:c r="CM11" s="174"/>
      <x:c r="CN11" s="174"/>
      <x:c r="CO11" s="177"/>
      <x:c r="CP11" s="174"/>
      <x:c r="CQ11" s="174"/>
      <x:c r="CR11" s="174"/>
      <x:c r="CS11" s="174"/>
      <x:c r="CT11" s="174"/>
      <x:c r="CU11" s="176"/>
      <x:c r="CV11" s="176"/>
      <x:c r="CW11" s="176"/>
      <x:c r="CX11" s="176"/>
      <x:c r="CY11" s="176"/>
      <x:c r="CZ11" s="176"/>
      <x:c r="DA11" s="176"/>
      <x:c r="DB11" s="175" t="str">
        <x:f>IF(L11="","",IF(COUNT(CU11:DA11)&lt;7,"",SUM(CU11:DA11)))</x:f>
      </x:c>
      <x:c r="DC11" s="180" t="str">
        <x:f>IF(DB11="","",ROUND(DB11/14*10,1))</x:f>
      </x:c>
      <x:c r="DD11" s="174"/>
      <x:c r="DE11" s="175" t="str">
        <x:f>IF(L11="","",IF(DC11="","Pending",IF(DD11="Yes","CONDITIONAL — safety override",IF(DC11&gt;=8,"HIGH",IF(DC11&gt;=5,"CONDITIONAL","LOW")))))</x:f>
      </x:c>
      <x:c r="DF11" s="174"/>
      <x:c r="DG11" s="174"/>
      <x:c r="DH11" s="174"/>
      <x:c r="DI11" s="174"/>
      <x:c r="DJ11" s="174"/>
      <x:c r="DK11" s="174"/>
      <x:c r="DL11" s="174"/>
      <x:c r="DM11" s="174"/>
      <x:c r="DN11" s="174"/>
      <x:c r="DO11" s="174"/>
      <x:c r="DP11" s="174"/>
      <x:c r="DQ11" s="174"/>
      <x:c r="DR11" s="174"/>
      <x:c r="DS11" s="174"/>
      <x:c r="DT11" s="174"/>
      <x:c r="DU11" s="174"/>
      <x:c r="DV11" s="174"/>
      <x:c r="DW11" s="174"/>
      <x:c r="DX11" s="174"/>
      <x:c r="DY11" s="174"/>
      <x:c r="DZ11" s="174"/>
      <x:c r="EA11" s="174"/>
      <x:c r="EB11" s="175" t="str">
        <x:f>IF(L11="","",IF(AND(F11="Claim-ready",CJ11="Yes",CL11="Yes",DZ11&lt;&gt;""),"Yes","No / Pending"))</x:f>
      </x:c>
      <x:c r="EC11" s="174"/>
      <x:c r="ED11" s="174"/>
      <x:c r="EE11" s="174"/>
      <x:c r="EF11" s="174"/>
      <x:c r="EG11" s="174"/>
      <x:c r="EH11" s="177"/>
      <x:c r="EI11" s="174"/>
      <x:c r="EJ11" s="174"/>
      <x:c r="EK11" s="174"/>
      <x:c r="EL11" s="177"/>
      <x:c r="EM11" s="174"/>
      <x:c r="EN11" s="181" t="str">
        <x:f>IF(L11="","",(IF(N11&lt;&gt;"",1,0)+IF(O11&lt;&gt;"",1,0)+IF(AJ11&lt;&gt;"",1,0)+IF(AU11&lt;&gt;"",1,0)+IF(BE11&lt;&gt;"",1,0)+IF(CF11&lt;&gt;"",1,0)+IF(CJ11="Yes",1,0)+IF(CL11="Yes",1,0)+IF(DE11&lt;&gt;"Pending",1,0)+IF(F11&lt;&gt;"",1,0)+IF(DZ11&lt;&gt;"",1,0)+IF(EI11&lt;&gt;"",1,0))/12)</x:f>
      </x:c>
    </x:row>
    <x:row r="12">
      <x:c r="A12" s="175" t="str">
        <x:f>IF(L12="","","EV-"&amp;TEXT(ROW()-3,"0000"))</x:f>
      </x:c>
      <x:c r="B12" s="174"/>
      <x:c r="C12" s="175" t="str">
        <x:f>IF(L12="","",IF(OR(CM12="Retracted",CN12="Retracted",F12="Not used"),"🔴 Do not use for conclusion",IF(OR(R12="Official / Institutional",I12="Official / contextual"),"🔵 Official / contextual",IF(OR(I12="Definition",I12="Framework",I12="Paradigm shift"),"🟣 Conceptual key source",IF(AND(CJ12="Yes",CL12="Yes",OR(CG12="High",CG12="Moderate"),CH12&lt;&gt;"High",CH12&lt;&gt;"Critical",F12="Claim-ready"),"🟢 Claim-ready","🟡 Caution / context")))))</x:f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6"/>
      <x:c r="P12" s="174"/>
      <x:c r="Q12" s="174"/>
      <x:c r="R12" s="174"/>
      <x:c r="S12" s="174"/>
      <x:c r="T12" s="174"/>
      <x:c r="U12" s="174"/>
      <x:c r="V12" s="174"/>
      <x:c r="W12" s="175" t="str">
        <x:f>IF(V12="","",LOWER(SUBSTITUTE(SUBSTITUTE(SUBSTITUTE(SUBSTITUTE(TRIM(V12),"https://doi.org/",""),"http://doi.org/",""),"https://dx.doi.org/",""),"doi:","")))</x:f>
      </x:c>
      <x:c r="X12" s="174"/>
      <x:c r="Y12" s="174"/>
      <x:c r="Z12" s="174"/>
      <x:c r="AA12" s="174"/>
      <x:c r="AB12" s="174"/>
      <x:c r="AC12" s="174"/>
      <x:c r="AD12" s="177"/>
      <x:c r="AE12" s="177"/>
      <x:c r="AF12" s="174"/>
      <x:c r="AG12" s="174"/>
      <x:c r="AH12" s="174"/>
      <x:c r="AI12" s="174"/>
      <x:c r="AJ12" s="174"/>
      <x:c r="AK12" s="175" t="str">
        <x:f>IF(AJ12="","",IF(OR(LOWER(AJ12)="brazil",LOWER(AJ12)="brasil"),"Yes","No"))</x:f>
      </x:c>
      <x:c r="AL12" s="174"/>
      <x:c r="AM12" s="174"/>
      <x:c r="AN12" s="174"/>
      <x:c r="AO12" s="178"/>
      <x:c r="AP12" s="174"/>
      <x:c r="AQ12" s="174"/>
      <x:c r="AR12" s="174"/>
      <x:c r="AS12" s="174"/>
      <x:c r="AT12" s="174"/>
      <x:c r="AU12" s="174"/>
      <x:c r="AV12" s="174"/>
      <x:c r="AW12" s="174"/>
      <x:c r="AX12" s="174"/>
      <x:c r="AY12" s="174"/>
      <x:c r="AZ12" s="174"/>
      <x:c r="BA12" s="174"/>
      <x:c r="BB12" s="174"/>
      <x:c r="BC12" s="174"/>
      <x:c r="BD12" s="174"/>
      <x:c r="BE12" s="174"/>
      <x:c r="BF12" s="174"/>
      <x:c r="BG12" s="174"/>
      <x:c r="BH12" s="174"/>
      <x:c r="BI12" s="174"/>
      <x:c r="BJ12" s="174"/>
      <x:c r="BK12" s="174"/>
      <x:c r="BL12" s="174"/>
      <x:c r="BM12" s="174"/>
      <x:c r="BN12" s="174"/>
      <x:c r="BO12" s="174"/>
      <x:c r="BP12" s="174"/>
      <x:c r="BQ12" s="174"/>
      <x:c r="BR12" s="174"/>
      <x:c r="BS12" s="174"/>
      <x:c r="BT12" s="174"/>
      <x:c r="BU12" s="174"/>
      <x:c r="BV12" s="174"/>
      <x:c r="BW12" s="174"/>
      <x:c r="BX12" s="174"/>
      <x:c r="BY12" s="174"/>
      <x:c r="BZ12" s="174"/>
      <x:c r="CA12" s="174"/>
      <x:c r="CB12" s="174"/>
      <x:c r="CC12" s="174"/>
      <x:c r="CD12" s="174"/>
      <x:c r="CE12" s="174"/>
      <x:c r="CF12" s="174"/>
      <x:c r="CG12" s="174"/>
      <x:c r="CH12" s="174"/>
      <x:c r="CI12" s="179"/>
      <x:c r="CJ12" s="174"/>
      <x:c r="CK12" s="174"/>
      <x:c r="CL12" s="174"/>
      <x:c r="CM12" s="174"/>
      <x:c r="CN12" s="174"/>
      <x:c r="CO12" s="177"/>
      <x:c r="CP12" s="174"/>
      <x:c r="CQ12" s="174"/>
      <x:c r="CR12" s="174"/>
      <x:c r="CS12" s="174"/>
      <x:c r="CT12" s="174"/>
      <x:c r="CU12" s="176"/>
      <x:c r="CV12" s="176"/>
      <x:c r="CW12" s="176"/>
      <x:c r="CX12" s="176"/>
      <x:c r="CY12" s="176"/>
      <x:c r="CZ12" s="176"/>
      <x:c r="DA12" s="176"/>
      <x:c r="DB12" s="175" t="str">
        <x:f>IF(L12="","",IF(COUNT(CU12:DA12)&lt;7,"",SUM(CU12:DA12)))</x:f>
      </x:c>
      <x:c r="DC12" s="180" t="str">
        <x:f>IF(DB12="","",ROUND(DB12/14*10,1))</x:f>
      </x:c>
      <x:c r="DD12" s="174"/>
      <x:c r="DE12" s="175" t="str">
        <x:f>IF(L12="","",IF(DC12="","Pending",IF(DD12="Yes","CONDITIONAL — safety override",IF(DC12&gt;=8,"HIGH",IF(DC12&gt;=5,"CONDITIONAL","LOW")))))</x:f>
      </x:c>
      <x:c r="DF12" s="174"/>
      <x:c r="DG12" s="174"/>
      <x:c r="DH12" s="174"/>
      <x:c r="DI12" s="174"/>
      <x:c r="DJ12" s="174"/>
      <x:c r="DK12" s="174"/>
      <x:c r="DL12" s="174"/>
      <x:c r="DM12" s="174"/>
      <x:c r="DN12" s="174"/>
      <x:c r="DO12" s="174"/>
      <x:c r="DP12" s="174"/>
      <x:c r="DQ12" s="174"/>
      <x:c r="DR12" s="174"/>
      <x:c r="DS12" s="174"/>
      <x:c r="DT12" s="174"/>
      <x:c r="DU12" s="174"/>
      <x:c r="DV12" s="174"/>
      <x:c r="DW12" s="174"/>
      <x:c r="DX12" s="174"/>
      <x:c r="DY12" s="174"/>
      <x:c r="DZ12" s="174"/>
      <x:c r="EA12" s="174"/>
      <x:c r="EB12" s="175" t="str">
        <x:f>IF(L12="","",IF(AND(F12="Claim-ready",CJ12="Yes",CL12="Yes",DZ12&lt;&gt;""),"Yes","No / Pending"))</x:f>
      </x:c>
      <x:c r="EC12" s="174"/>
      <x:c r="ED12" s="174"/>
      <x:c r="EE12" s="174"/>
      <x:c r="EF12" s="174"/>
      <x:c r="EG12" s="174"/>
      <x:c r="EH12" s="177"/>
      <x:c r="EI12" s="174"/>
      <x:c r="EJ12" s="174"/>
      <x:c r="EK12" s="174"/>
      <x:c r="EL12" s="177"/>
      <x:c r="EM12" s="174"/>
      <x:c r="EN12" s="181" t="str">
        <x:f>IF(L12="","",(IF(N12&lt;&gt;"",1,0)+IF(O12&lt;&gt;"",1,0)+IF(AJ12&lt;&gt;"",1,0)+IF(AU12&lt;&gt;"",1,0)+IF(BE12&lt;&gt;"",1,0)+IF(CF12&lt;&gt;"",1,0)+IF(CJ12="Yes",1,0)+IF(CL12="Yes",1,0)+IF(DE12&lt;&gt;"Pending",1,0)+IF(F12&lt;&gt;"",1,0)+IF(DZ12&lt;&gt;"",1,0)+IF(EI12&lt;&gt;"",1,0))/12)</x:f>
      </x:c>
    </x:row>
    <x:row r="13">
      <x:c r="A13" s="175" t="str">
        <x:f>IF(L13="","","EV-"&amp;TEXT(ROW()-3,"0000"))</x:f>
      </x:c>
      <x:c r="B13" s="174"/>
      <x:c r="C13" s="175" t="str">
        <x:f>IF(L13="","",IF(OR(CM13="Retracted",CN13="Retracted",F13="Not used"),"🔴 Do not use for conclusion",IF(OR(R13="Official / Institutional",I13="Official / contextual"),"🔵 Official / contextual",IF(OR(I13="Definition",I13="Framework",I13="Paradigm shift"),"🟣 Conceptual key source",IF(AND(CJ13="Yes",CL13="Yes",OR(CG13="High",CG13="Moderate"),CH13&lt;&gt;"High",CH13&lt;&gt;"Critical",F13="Claim-ready"),"🟢 Claim-ready","🟡 Caution / context")))))</x:f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6"/>
      <x:c r="P13" s="174"/>
      <x:c r="Q13" s="174"/>
      <x:c r="R13" s="174"/>
      <x:c r="S13" s="174"/>
      <x:c r="T13" s="174"/>
      <x:c r="U13" s="174"/>
      <x:c r="V13" s="174"/>
      <x:c r="W13" s="175" t="str">
        <x:f>IF(V13="","",LOWER(SUBSTITUTE(SUBSTITUTE(SUBSTITUTE(SUBSTITUTE(TRIM(V13),"https://doi.org/",""),"http://doi.org/",""),"https://dx.doi.org/",""),"doi:","")))</x:f>
      </x:c>
      <x:c r="X13" s="174"/>
      <x:c r="Y13" s="174"/>
      <x:c r="Z13" s="174"/>
      <x:c r="AA13" s="174"/>
      <x:c r="AB13" s="174"/>
      <x:c r="AC13" s="174"/>
      <x:c r="AD13" s="177"/>
      <x:c r="AE13" s="177"/>
      <x:c r="AF13" s="174"/>
      <x:c r="AG13" s="174"/>
      <x:c r="AH13" s="174"/>
      <x:c r="AI13" s="174"/>
      <x:c r="AJ13" s="174"/>
      <x:c r="AK13" s="175" t="str">
        <x:f>IF(AJ13="","",IF(OR(LOWER(AJ13)="brazil",LOWER(AJ13)="brasil"),"Yes","No"))</x:f>
      </x:c>
      <x:c r="AL13" s="174"/>
      <x:c r="AM13" s="174"/>
      <x:c r="AN13" s="174"/>
      <x:c r="AO13" s="178"/>
      <x:c r="AP13" s="174"/>
      <x:c r="AQ13" s="174"/>
      <x:c r="AR13" s="174"/>
      <x:c r="AS13" s="174"/>
      <x:c r="AT13" s="174"/>
      <x:c r="AU13" s="174"/>
      <x:c r="AV13" s="174"/>
      <x:c r="AW13" s="174"/>
      <x:c r="AX13" s="174"/>
      <x:c r="AY13" s="174"/>
      <x:c r="AZ13" s="174"/>
      <x:c r="BA13" s="174"/>
      <x:c r="BB13" s="174"/>
      <x:c r="BC13" s="174"/>
      <x:c r="BD13" s="174"/>
      <x:c r="BE13" s="174"/>
      <x:c r="BF13" s="174"/>
      <x:c r="BG13" s="174"/>
      <x:c r="BH13" s="174"/>
      <x:c r="BI13" s="174"/>
      <x:c r="BJ13" s="174"/>
      <x:c r="BK13" s="174"/>
      <x:c r="BL13" s="174"/>
      <x:c r="BM13" s="174"/>
      <x:c r="BN13" s="174"/>
      <x:c r="BO13" s="174"/>
      <x:c r="BP13" s="174"/>
      <x:c r="BQ13" s="174"/>
      <x:c r="BR13" s="174"/>
      <x:c r="BS13" s="174"/>
      <x:c r="BT13" s="174"/>
      <x:c r="BU13" s="174"/>
      <x:c r="BV13" s="174"/>
      <x:c r="BW13" s="174"/>
      <x:c r="BX13" s="174"/>
      <x:c r="BY13" s="174"/>
      <x:c r="BZ13" s="174"/>
      <x:c r="CA13" s="174"/>
      <x:c r="CB13" s="174"/>
      <x:c r="CC13" s="174"/>
      <x:c r="CD13" s="174"/>
      <x:c r="CE13" s="174"/>
      <x:c r="CF13" s="174"/>
      <x:c r="CG13" s="174"/>
      <x:c r="CH13" s="174"/>
      <x:c r="CI13" s="179"/>
      <x:c r="CJ13" s="174"/>
      <x:c r="CK13" s="174"/>
      <x:c r="CL13" s="174"/>
      <x:c r="CM13" s="174"/>
      <x:c r="CN13" s="174"/>
      <x:c r="CO13" s="177"/>
      <x:c r="CP13" s="174"/>
      <x:c r="CQ13" s="174"/>
      <x:c r="CR13" s="174"/>
      <x:c r="CS13" s="174"/>
      <x:c r="CT13" s="174"/>
      <x:c r="CU13" s="176"/>
      <x:c r="CV13" s="176"/>
      <x:c r="CW13" s="176"/>
      <x:c r="CX13" s="176"/>
      <x:c r="CY13" s="176"/>
      <x:c r="CZ13" s="176"/>
      <x:c r="DA13" s="176"/>
      <x:c r="DB13" s="175" t="str">
        <x:f>IF(L13="","",IF(COUNT(CU13:DA13)&lt;7,"",SUM(CU13:DA13)))</x:f>
      </x:c>
      <x:c r="DC13" s="180" t="str">
        <x:f>IF(DB13="","",ROUND(DB13/14*10,1))</x:f>
      </x:c>
      <x:c r="DD13" s="174"/>
      <x:c r="DE13" s="175" t="str">
        <x:f>IF(L13="","",IF(DC13="","Pending",IF(DD13="Yes","CONDITIONAL — safety override",IF(DC13&gt;=8,"HIGH",IF(DC13&gt;=5,"CONDITIONAL","LOW")))))</x:f>
      </x:c>
      <x:c r="DF13" s="174"/>
      <x:c r="DG13" s="174"/>
      <x:c r="DH13" s="174"/>
      <x:c r="DI13" s="174"/>
      <x:c r="DJ13" s="174"/>
      <x:c r="DK13" s="174"/>
      <x:c r="DL13" s="174"/>
      <x:c r="DM13" s="174"/>
      <x:c r="DN13" s="174"/>
      <x:c r="DO13" s="174"/>
      <x:c r="DP13" s="174"/>
      <x:c r="DQ13" s="174"/>
      <x:c r="DR13" s="174"/>
      <x:c r="DS13" s="174"/>
      <x:c r="DT13" s="174"/>
      <x:c r="DU13" s="174"/>
      <x:c r="DV13" s="174"/>
      <x:c r="DW13" s="174"/>
      <x:c r="DX13" s="174"/>
      <x:c r="DY13" s="174"/>
      <x:c r="DZ13" s="174"/>
      <x:c r="EA13" s="174"/>
      <x:c r="EB13" s="175" t="str">
        <x:f>IF(L13="","",IF(AND(F13="Claim-ready",CJ13="Yes",CL13="Yes",DZ13&lt;&gt;""),"Yes","No / Pending"))</x:f>
      </x:c>
      <x:c r="EC13" s="174"/>
      <x:c r="ED13" s="174"/>
      <x:c r="EE13" s="174"/>
      <x:c r="EF13" s="174"/>
      <x:c r="EG13" s="174"/>
      <x:c r="EH13" s="177"/>
      <x:c r="EI13" s="174"/>
      <x:c r="EJ13" s="174"/>
      <x:c r="EK13" s="174"/>
      <x:c r="EL13" s="177"/>
      <x:c r="EM13" s="174"/>
      <x:c r="EN13" s="181" t="str">
        <x:f>IF(L13="","",(IF(N13&lt;&gt;"",1,0)+IF(O13&lt;&gt;"",1,0)+IF(AJ13&lt;&gt;"",1,0)+IF(AU13&lt;&gt;"",1,0)+IF(BE13&lt;&gt;"",1,0)+IF(CF13&lt;&gt;"",1,0)+IF(CJ13="Yes",1,0)+IF(CL13="Yes",1,0)+IF(DE13&lt;&gt;"Pending",1,0)+IF(F13&lt;&gt;"",1,0)+IF(DZ13&lt;&gt;"",1,0)+IF(EI13&lt;&gt;"",1,0))/12)</x:f>
      </x:c>
    </x:row>
    <x:row r="14">
      <x:c r="A14" s="175" t="str">
        <x:f>IF(L14="","","EV-"&amp;TEXT(ROW()-3,"0000"))</x:f>
      </x:c>
      <x:c r="B14" s="174"/>
      <x:c r="C14" s="175" t="str">
        <x:f>IF(L14="","",IF(OR(CM14="Retracted",CN14="Retracted",F14="Not used"),"🔴 Do not use for conclusion",IF(OR(R14="Official / Institutional",I14="Official / contextual"),"🔵 Official / contextual",IF(OR(I14="Definition",I14="Framework",I14="Paradigm shift"),"🟣 Conceptual key source",IF(AND(CJ14="Yes",CL14="Yes",OR(CG14="High",CG14="Moderate"),CH14&lt;&gt;"High",CH14&lt;&gt;"Critical",F14="Claim-ready"),"🟢 Claim-ready","🟡 Caution / context")))))</x:f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6"/>
      <x:c r="P14" s="174"/>
      <x:c r="Q14" s="174"/>
      <x:c r="R14" s="174"/>
      <x:c r="S14" s="174"/>
      <x:c r="T14" s="174"/>
      <x:c r="U14" s="174"/>
      <x:c r="V14" s="174"/>
      <x:c r="W14" s="175" t="str">
        <x:f>IF(V14="","",LOWER(SUBSTITUTE(SUBSTITUTE(SUBSTITUTE(SUBSTITUTE(TRIM(V14),"https://doi.org/",""),"http://doi.org/",""),"https://dx.doi.org/",""),"doi:","")))</x:f>
      </x:c>
      <x:c r="X14" s="174"/>
      <x:c r="Y14" s="174"/>
      <x:c r="Z14" s="174"/>
      <x:c r="AA14" s="174"/>
      <x:c r="AB14" s="174"/>
      <x:c r="AC14" s="174"/>
      <x:c r="AD14" s="177"/>
      <x:c r="AE14" s="177"/>
      <x:c r="AF14" s="174"/>
      <x:c r="AG14" s="174"/>
      <x:c r="AH14" s="174"/>
      <x:c r="AI14" s="174"/>
      <x:c r="AJ14" s="174"/>
      <x:c r="AK14" s="175" t="str">
        <x:f>IF(AJ14="","",IF(OR(LOWER(AJ14)="brazil",LOWER(AJ14)="brasil"),"Yes","No"))</x:f>
      </x:c>
      <x:c r="AL14" s="174"/>
      <x:c r="AM14" s="174"/>
      <x:c r="AN14" s="174"/>
      <x:c r="AO14" s="178"/>
      <x:c r="AP14" s="174"/>
      <x:c r="AQ14" s="174"/>
      <x:c r="AR14" s="174"/>
      <x:c r="AS14" s="174"/>
      <x:c r="AT14" s="174"/>
      <x:c r="AU14" s="174"/>
      <x:c r="AV14" s="174"/>
      <x:c r="AW14" s="174"/>
      <x:c r="AX14" s="174"/>
      <x:c r="AY14" s="174"/>
      <x:c r="AZ14" s="174"/>
      <x:c r="BA14" s="174"/>
      <x:c r="BB14" s="174"/>
      <x:c r="BC14" s="174"/>
      <x:c r="BD14" s="174"/>
      <x:c r="BE14" s="174"/>
      <x:c r="BF14" s="174"/>
      <x:c r="BG14" s="174"/>
      <x:c r="BH14" s="174"/>
      <x:c r="BI14" s="174"/>
      <x:c r="BJ14" s="174"/>
      <x:c r="BK14" s="174"/>
      <x:c r="BL14" s="174"/>
      <x:c r="BM14" s="174"/>
      <x:c r="BN14" s="174"/>
      <x:c r="BO14" s="174"/>
      <x:c r="BP14" s="174"/>
      <x:c r="BQ14" s="174"/>
      <x:c r="BR14" s="174"/>
      <x:c r="BS14" s="174"/>
      <x:c r="BT14" s="174"/>
      <x:c r="BU14" s="174"/>
      <x:c r="BV14" s="174"/>
      <x:c r="BW14" s="174"/>
      <x:c r="BX14" s="174"/>
      <x:c r="BY14" s="174"/>
      <x:c r="BZ14" s="174"/>
      <x:c r="CA14" s="174"/>
      <x:c r="CB14" s="174"/>
      <x:c r="CC14" s="174"/>
      <x:c r="CD14" s="174"/>
      <x:c r="CE14" s="174"/>
      <x:c r="CF14" s="174"/>
      <x:c r="CG14" s="174"/>
      <x:c r="CH14" s="174"/>
      <x:c r="CI14" s="179"/>
      <x:c r="CJ14" s="174"/>
      <x:c r="CK14" s="174"/>
      <x:c r="CL14" s="174"/>
      <x:c r="CM14" s="174"/>
      <x:c r="CN14" s="174"/>
      <x:c r="CO14" s="177"/>
      <x:c r="CP14" s="174"/>
      <x:c r="CQ14" s="174"/>
      <x:c r="CR14" s="174"/>
      <x:c r="CS14" s="174"/>
      <x:c r="CT14" s="174"/>
      <x:c r="CU14" s="176"/>
      <x:c r="CV14" s="176"/>
      <x:c r="CW14" s="176"/>
      <x:c r="CX14" s="176"/>
      <x:c r="CY14" s="176"/>
      <x:c r="CZ14" s="176"/>
      <x:c r="DA14" s="176"/>
      <x:c r="DB14" s="175" t="str">
        <x:f>IF(L14="","",IF(COUNT(CU14:DA14)&lt;7,"",SUM(CU14:DA14)))</x:f>
      </x:c>
      <x:c r="DC14" s="180" t="str">
        <x:f>IF(DB14="","",ROUND(DB14/14*10,1))</x:f>
      </x:c>
      <x:c r="DD14" s="174"/>
      <x:c r="DE14" s="175" t="str">
        <x:f>IF(L14="","",IF(DC14="","Pending",IF(DD14="Yes","CONDITIONAL — safety override",IF(DC14&gt;=8,"HIGH",IF(DC14&gt;=5,"CONDITIONAL","LOW")))))</x:f>
      </x:c>
      <x:c r="DF14" s="174"/>
      <x:c r="DG14" s="174"/>
      <x:c r="DH14" s="174"/>
      <x:c r="DI14" s="174"/>
      <x:c r="DJ14" s="174"/>
      <x:c r="DK14" s="174"/>
      <x:c r="DL14" s="174"/>
      <x:c r="DM14" s="174"/>
      <x:c r="DN14" s="174"/>
      <x:c r="DO14" s="174"/>
      <x:c r="DP14" s="174"/>
      <x:c r="DQ14" s="174"/>
      <x:c r="DR14" s="174"/>
      <x:c r="DS14" s="174"/>
      <x:c r="DT14" s="174"/>
      <x:c r="DU14" s="174"/>
      <x:c r="DV14" s="174"/>
      <x:c r="DW14" s="174"/>
      <x:c r="DX14" s="174"/>
      <x:c r="DY14" s="174"/>
      <x:c r="DZ14" s="174"/>
      <x:c r="EA14" s="174"/>
      <x:c r="EB14" s="175" t="str">
        <x:f>IF(L14="","",IF(AND(F14="Claim-ready",CJ14="Yes",CL14="Yes",DZ14&lt;&gt;""),"Yes","No / Pending"))</x:f>
      </x:c>
      <x:c r="EC14" s="174"/>
      <x:c r="ED14" s="174"/>
      <x:c r="EE14" s="174"/>
      <x:c r="EF14" s="174"/>
      <x:c r="EG14" s="174"/>
      <x:c r="EH14" s="177"/>
      <x:c r="EI14" s="174"/>
      <x:c r="EJ14" s="174"/>
      <x:c r="EK14" s="174"/>
      <x:c r="EL14" s="177"/>
      <x:c r="EM14" s="174"/>
      <x:c r="EN14" s="181" t="str">
        <x:f>IF(L14="","",(IF(N14&lt;&gt;"",1,0)+IF(O14&lt;&gt;"",1,0)+IF(AJ14&lt;&gt;"",1,0)+IF(AU14&lt;&gt;"",1,0)+IF(BE14&lt;&gt;"",1,0)+IF(CF14&lt;&gt;"",1,0)+IF(CJ14="Yes",1,0)+IF(CL14="Yes",1,0)+IF(DE14&lt;&gt;"Pending",1,0)+IF(F14&lt;&gt;"",1,0)+IF(DZ14&lt;&gt;"",1,0)+IF(EI14&lt;&gt;"",1,0))/12)</x:f>
      </x:c>
    </x:row>
    <x:row r="15">
      <x:c r="A15" s="175" t="str">
        <x:f>IF(L15="","","EV-"&amp;TEXT(ROW()-3,"0000"))</x:f>
      </x:c>
      <x:c r="B15" s="174"/>
      <x:c r="C15" s="175" t="str">
        <x:f>IF(L15="","",IF(OR(CM15="Retracted",CN15="Retracted",F15="Not used"),"🔴 Do not use for conclusion",IF(OR(R15="Official / Institutional",I15="Official / contextual"),"🔵 Official / contextual",IF(OR(I15="Definition",I15="Framework",I15="Paradigm shift"),"🟣 Conceptual key source",IF(AND(CJ15="Yes",CL15="Yes",OR(CG15="High",CG15="Moderate"),CH15&lt;&gt;"High",CH15&lt;&gt;"Critical",F15="Claim-ready"),"🟢 Claim-ready","🟡 Caution / context")))))</x:f>
      </x:c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6"/>
      <x:c r="P15" s="174"/>
      <x:c r="Q15" s="174"/>
      <x:c r="R15" s="174"/>
      <x:c r="S15" s="174"/>
      <x:c r="T15" s="174"/>
      <x:c r="U15" s="174"/>
      <x:c r="V15" s="174"/>
      <x:c r="W15" s="175" t="str">
        <x:f>IF(V15="","",LOWER(SUBSTITUTE(SUBSTITUTE(SUBSTITUTE(SUBSTITUTE(TRIM(V15),"https://doi.org/",""),"http://doi.org/",""),"https://dx.doi.org/",""),"doi:","")))</x:f>
      </x:c>
      <x:c r="X15" s="174"/>
      <x:c r="Y15" s="174"/>
      <x:c r="Z15" s="174"/>
      <x:c r="AA15" s="174"/>
      <x:c r="AB15" s="174"/>
      <x:c r="AC15" s="174"/>
      <x:c r="AD15" s="177"/>
      <x:c r="AE15" s="177"/>
      <x:c r="AF15" s="174"/>
      <x:c r="AG15" s="174"/>
      <x:c r="AH15" s="174"/>
      <x:c r="AI15" s="174"/>
      <x:c r="AJ15" s="174"/>
      <x:c r="AK15" s="175" t="str">
        <x:f>IF(AJ15="","",IF(OR(LOWER(AJ15)="brazil",LOWER(AJ15)="brasil"),"Yes","No"))</x:f>
      </x:c>
      <x:c r="AL15" s="174"/>
      <x:c r="AM15" s="174"/>
      <x:c r="AN15" s="174"/>
      <x:c r="AO15" s="178"/>
      <x:c r="AP15" s="174"/>
      <x:c r="AQ15" s="174"/>
      <x:c r="AR15" s="174"/>
      <x:c r="AS15" s="174"/>
      <x:c r="AT15" s="174"/>
      <x:c r="AU15" s="174"/>
      <x:c r="AV15" s="174"/>
      <x:c r="AW15" s="174"/>
      <x:c r="AX15" s="174"/>
      <x:c r="AY15" s="174"/>
      <x:c r="AZ15" s="174"/>
      <x:c r="BA15" s="174"/>
      <x:c r="BB15" s="174"/>
      <x:c r="BC15" s="174"/>
      <x:c r="BD15" s="174"/>
      <x:c r="BE15" s="174"/>
      <x:c r="BF15" s="174"/>
      <x:c r="BG15" s="174"/>
      <x:c r="BH15" s="174"/>
      <x:c r="BI15" s="174"/>
      <x:c r="BJ15" s="174"/>
      <x:c r="BK15" s="174"/>
      <x:c r="BL15" s="174"/>
      <x:c r="BM15" s="174"/>
      <x:c r="BN15" s="174"/>
      <x:c r="BO15" s="174"/>
      <x:c r="BP15" s="174"/>
      <x:c r="BQ15" s="174"/>
      <x:c r="BR15" s="174"/>
      <x:c r="BS15" s="174"/>
      <x:c r="BT15" s="174"/>
      <x:c r="BU15" s="174"/>
      <x:c r="BV15" s="174"/>
      <x:c r="BW15" s="174"/>
      <x:c r="BX15" s="174"/>
      <x:c r="BY15" s="174"/>
      <x:c r="BZ15" s="174"/>
      <x:c r="CA15" s="174"/>
      <x:c r="CB15" s="174"/>
      <x:c r="CC15" s="174"/>
      <x:c r="CD15" s="174"/>
      <x:c r="CE15" s="174"/>
      <x:c r="CF15" s="174"/>
      <x:c r="CG15" s="174"/>
      <x:c r="CH15" s="174"/>
      <x:c r="CI15" s="179"/>
      <x:c r="CJ15" s="174"/>
      <x:c r="CK15" s="174"/>
      <x:c r="CL15" s="174"/>
      <x:c r="CM15" s="174"/>
      <x:c r="CN15" s="174"/>
      <x:c r="CO15" s="177"/>
      <x:c r="CP15" s="174"/>
      <x:c r="CQ15" s="174"/>
      <x:c r="CR15" s="174"/>
      <x:c r="CS15" s="174"/>
      <x:c r="CT15" s="174"/>
      <x:c r="CU15" s="176"/>
      <x:c r="CV15" s="176"/>
      <x:c r="CW15" s="176"/>
      <x:c r="CX15" s="176"/>
      <x:c r="CY15" s="176"/>
      <x:c r="CZ15" s="176"/>
      <x:c r="DA15" s="176"/>
      <x:c r="DB15" s="175" t="str">
        <x:f>IF(L15="","",IF(COUNT(CU15:DA15)&lt;7,"",SUM(CU15:DA15)))</x:f>
      </x:c>
      <x:c r="DC15" s="180" t="str">
        <x:f>IF(DB15="","",ROUND(DB15/14*10,1))</x:f>
      </x:c>
      <x:c r="DD15" s="174"/>
      <x:c r="DE15" s="175" t="str">
        <x:f>IF(L15="","",IF(DC15="","Pending",IF(DD15="Yes","CONDITIONAL — safety override",IF(DC15&gt;=8,"HIGH",IF(DC15&gt;=5,"CONDITIONAL","LOW")))))</x:f>
      </x:c>
      <x:c r="DF15" s="174"/>
      <x:c r="DG15" s="174"/>
      <x:c r="DH15" s="174"/>
      <x:c r="DI15" s="174"/>
      <x:c r="DJ15" s="174"/>
      <x:c r="DK15" s="174"/>
      <x:c r="DL15" s="174"/>
      <x:c r="DM15" s="174"/>
      <x:c r="DN15" s="174"/>
      <x:c r="DO15" s="174"/>
      <x:c r="DP15" s="174"/>
      <x:c r="DQ15" s="174"/>
      <x:c r="DR15" s="174"/>
      <x:c r="DS15" s="174"/>
      <x:c r="DT15" s="174"/>
      <x:c r="DU15" s="174"/>
      <x:c r="DV15" s="174"/>
      <x:c r="DW15" s="174"/>
      <x:c r="DX15" s="174"/>
      <x:c r="DY15" s="174"/>
      <x:c r="DZ15" s="174"/>
      <x:c r="EA15" s="174"/>
      <x:c r="EB15" s="175" t="str">
        <x:f>IF(L15="","",IF(AND(F15="Claim-ready",CJ15="Yes",CL15="Yes",DZ15&lt;&gt;""),"Yes","No / Pending"))</x:f>
      </x:c>
      <x:c r="EC15" s="174"/>
      <x:c r="ED15" s="174"/>
      <x:c r="EE15" s="174"/>
      <x:c r="EF15" s="174"/>
      <x:c r="EG15" s="174"/>
      <x:c r="EH15" s="177"/>
      <x:c r="EI15" s="174"/>
      <x:c r="EJ15" s="174"/>
      <x:c r="EK15" s="174"/>
      <x:c r="EL15" s="177"/>
      <x:c r="EM15" s="174"/>
      <x:c r="EN15" s="181" t="str">
        <x:f>IF(L15="","",(IF(N15&lt;&gt;"",1,0)+IF(O15&lt;&gt;"",1,0)+IF(AJ15&lt;&gt;"",1,0)+IF(AU15&lt;&gt;"",1,0)+IF(BE15&lt;&gt;"",1,0)+IF(CF15&lt;&gt;"",1,0)+IF(CJ15="Yes",1,0)+IF(CL15="Yes",1,0)+IF(DE15&lt;&gt;"Pending",1,0)+IF(F15&lt;&gt;"",1,0)+IF(DZ15&lt;&gt;"",1,0)+IF(EI15&lt;&gt;"",1,0))/12)</x:f>
      </x:c>
    </x:row>
    <x:row r="16">
      <x:c r="A16" s="175" t="str">
        <x:f>IF(L16="","","EV-"&amp;TEXT(ROW()-3,"0000"))</x:f>
      </x:c>
      <x:c r="B16" s="174"/>
      <x:c r="C16" s="175" t="str">
        <x:f>IF(L16="","",IF(OR(CM16="Retracted",CN16="Retracted",F16="Not used"),"🔴 Do not use for conclusion",IF(OR(R16="Official / Institutional",I16="Official / contextual"),"🔵 Official / contextual",IF(OR(I16="Definition",I16="Framework",I16="Paradigm shift"),"🟣 Conceptual key source",IF(AND(CJ16="Yes",CL16="Yes",OR(CG16="High",CG16="Moderate"),CH16&lt;&gt;"High",CH16&lt;&gt;"Critical",F16="Claim-ready"),"🟢 Claim-ready","🟡 Caution / context")))))</x:f>
      </x:c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6"/>
      <x:c r="P16" s="174"/>
      <x:c r="Q16" s="174"/>
      <x:c r="R16" s="174"/>
      <x:c r="S16" s="174"/>
      <x:c r="T16" s="174"/>
      <x:c r="U16" s="174"/>
      <x:c r="V16" s="174"/>
      <x:c r="W16" s="175" t="str">
        <x:f>IF(V16="","",LOWER(SUBSTITUTE(SUBSTITUTE(SUBSTITUTE(SUBSTITUTE(TRIM(V16),"https://doi.org/",""),"http://doi.org/",""),"https://dx.doi.org/",""),"doi:","")))</x:f>
      </x:c>
      <x:c r="X16" s="174"/>
      <x:c r="Y16" s="174"/>
      <x:c r="Z16" s="174"/>
      <x:c r="AA16" s="174"/>
      <x:c r="AB16" s="174"/>
      <x:c r="AC16" s="174"/>
      <x:c r="AD16" s="177"/>
      <x:c r="AE16" s="177"/>
      <x:c r="AF16" s="174"/>
      <x:c r="AG16" s="174"/>
      <x:c r="AH16" s="174"/>
      <x:c r="AI16" s="174"/>
      <x:c r="AJ16" s="174"/>
      <x:c r="AK16" s="175" t="str">
        <x:f>IF(AJ16="","",IF(OR(LOWER(AJ16)="brazil",LOWER(AJ16)="brasil"),"Yes","No"))</x:f>
      </x:c>
      <x:c r="AL16" s="174"/>
      <x:c r="AM16" s="174"/>
      <x:c r="AN16" s="174"/>
      <x:c r="AO16" s="178"/>
      <x:c r="AP16" s="174"/>
      <x:c r="AQ16" s="174"/>
      <x:c r="AR16" s="174"/>
      <x:c r="AS16" s="174"/>
      <x:c r="AT16" s="174"/>
      <x:c r="AU16" s="174"/>
      <x:c r="AV16" s="174"/>
      <x:c r="AW16" s="174"/>
      <x:c r="AX16" s="174"/>
      <x:c r="AY16" s="174"/>
      <x:c r="AZ16" s="174"/>
      <x:c r="BA16" s="174"/>
      <x:c r="BB16" s="174"/>
      <x:c r="BC16" s="174"/>
      <x:c r="BD16" s="174"/>
      <x:c r="BE16" s="174"/>
      <x:c r="BF16" s="174"/>
      <x:c r="BG16" s="174"/>
      <x:c r="BH16" s="174"/>
      <x:c r="BI16" s="174"/>
      <x:c r="BJ16" s="174"/>
      <x:c r="BK16" s="174"/>
      <x:c r="BL16" s="174"/>
      <x:c r="BM16" s="174"/>
      <x:c r="BN16" s="174"/>
      <x:c r="BO16" s="174"/>
      <x:c r="BP16" s="174"/>
      <x:c r="BQ16" s="174"/>
      <x:c r="BR16" s="174"/>
      <x:c r="BS16" s="174"/>
      <x:c r="BT16" s="174"/>
      <x:c r="BU16" s="174"/>
      <x:c r="BV16" s="174"/>
      <x:c r="BW16" s="174"/>
      <x:c r="BX16" s="174"/>
      <x:c r="BY16" s="174"/>
      <x:c r="BZ16" s="174"/>
      <x:c r="CA16" s="174"/>
      <x:c r="CB16" s="174"/>
      <x:c r="CC16" s="174"/>
      <x:c r="CD16" s="174"/>
      <x:c r="CE16" s="174"/>
      <x:c r="CF16" s="174"/>
      <x:c r="CG16" s="174"/>
      <x:c r="CH16" s="174"/>
      <x:c r="CI16" s="179"/>
      <x:c r="CJ16" s="174"/>
      <x:c r="CK16" s="174"/>
      <x:c r="CL16" s="174"/>
      <x:c r="CM16" s="174"/>
      <x:c r="CN16" s="174"/>
      <x:c r="CO16" s="177"/>
      <x:c r="CP16" s="174"/>
      <x:c r="CQ16" s="174"/>
      <x:c r="CR16" s="174"/>
      <x:c r="CS16" s="174"/>
      <x:c r="CT16" s="174"/>
      <x:c r="CU16" s="176"/>
      <x:c r="CV16" s="176"/>
      <x:c r="CW16" s="176"/>
      <x:c r="CX16" s="176"/>
      <x:c r="CY16" s="176"/>
      <x:c r="CZ16" s="176"/>
      <x:c r="DA16" s="176"/>
      <x:c r="DB16" s="175" t="str">
        <x:f>IF(L16="","",IF(COUNT(CU16:DA16)&lt;7,"",SUM(CU16:DA16)))</x:f>
      </x:c>
      <x:c r="DC16" s="180" t="str">
        <x:f>IF(DB16="","",ROUND(DB16/14*10,1))</x:f>
      </x:c>
      <x:c r="DD16" s="174"/>
      <x:c r="DE16" s="175" t="str">
        <x:f>IF(L16="","",IF(DC16="","Pending",IF(DD16="Yes","CONDITIONAL — safety override",IF(DC16&gt;=8,"HIGH",IF(DC16&gt;=5,"CONDITIONAL","LOW")))))</x:f>
      </x:c>
      <x:c r="DF16" s="174"/>
      <x:c r="DG16" s="174"/>
      <x:c r="DH16" s="174"/>
      <x:c r="DI16" s="174"/>
      <x:c r="DJ16" s="174"/>
      <x:c r="DK16" s="174"/>
      <x:c r="DL16" s="174"/>
      <x:c r="DM16" s="174"/>
      <x:c r="DN16" s="174"/>
      <x:c r="DO16" s="174"/>
      <x:c r="DP16" s="174"/>
      <x:c r="DQ16" s="174"/>
      <x:c r="DR16" s="174"/>
      <x:c r="DS16" s="174"/>
      <x:c r="DT16" s="174"/>
      <x:c r="DU16" s="174"/>
      <x:c r="DV16" s="174"/>
      <x:c r="DW16" s="174"/>
      <x:c r="DX16" s="174"/>
      <x:c r="DY16" s="174"/>
      <x:c r="DZ16" s="174"/>
      <x:c r="EA16" s="174"/>
      <x:c r="EB16" s="175" t="str">
        <x:f>IF(L16="","",IF(AND(F16="Claim-ready",CJ16="Yes",CL16="Yes",DZ16&lt;&gt;""),"Yes","No / Pending"))</x:f>
      </x:c>
      <x:c r="EC16" s="174"/>
      <x:c r="ED16" s="174"/>
      <x:c r="EE16" s="174"/>
      <x:c r="EF16" s="174"/>
      <x:c r="EG16" s="174"/>
      <x:c r="EH16" s="177"/>
      <x:c r="EI16" s="174"/>
      <x:c r="EJ16" s="174"/>
      <x:c r="EK16" s="174"/>
      <x:c r="EL16" s="177"/>
      <x:c r="EM16" s="174"/>
      <x:c r="EN16" s="181" t="str">
        <x:f>IF(L16="","",(IF(N16&lt;&gt;"",1,0)+IF(O16&lt;&gt;"",1,0)+IF(AJ16&lt;&gt;"",1,0)+IF(AU16&lt;&gt;"",1,0)+IF(BE16&lt;&gt;"",1,0)+IF(CF16&lt;&gt;"",1,0)+IF(CJ16="Yes",1,0)+IF(CL16="Yes",1,0)+IF(DE16&lt;&gt;"Pending",1,0)+IF(F16&lt;&gt;"",1,0)+IF(DZ16&lt;&gt;"",1,0)+IF(EI16&lt;&gt;"",1,0))/12)</x:f>
      </x:c>
    </x:row>
    <x:row r="17">
      <x:c r="A17" s="175" t="str">
        <x:f>IF(L17="","","EV-"&amp;TEXT(ROW()-3,"0000"))</x:f>
      </x:c>
      <x:c r="B17" s="174"/>
      <x:c r="C17" s="175" t="str">
        <x:f>IF(L17="","",IF(OR(CM17="Retracted",CN17="Retracted",F17="Not used"),"🔴 Do not use for conclusion",IF(OR(R17="Official / Institutional",I17="Official / contextual"),"🔵 Official / contextual",IF(OR(I17="Definition",I17="Framework",I17="Paradigm shift"),"🟣 Conceptual key source",IF(AND(CJ17="Yes",CL17="Yes",OR(CG17="High",CG17="Moderate"),CH17&lt;&gt;"High",CH17&lt;&gt;"Critical",F17="Claim-ready"),"🟢 Claim-ready","🟡 Caution / context")))))</x:f>
      </x:c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6"/>
      <x:c r="P17" s="174"/>
      <x:c r="Q17" s="174"/>
      <x:c r="R17" s="174"/>
      <x:c r="S17" s="174"/>
      <x:c r="T17" s="174"/>
      <x:c r="U17" s="174"/>
      <x:c r="V17" s="174"/>
      <x:c r="W17" s="175" t="str">
        <x:f>IF(V17="","",LOWER(SUBSTITUTE(SUBSTITUTE(SUBSTITUTE(SUBSTITUTE(TRIM(V17),"https://doi.org/",""),"http://doi.org/",""),"https://dx.doi.org/",""),"doi:","")))</x:f>
      </x:c>
      <x:c r="X17" s="174"/>
      <x:c r="Y17" s="174"/>
      <x:c r="Z17" s="174"/>
      <x:c r="AA17" s="174"/>
      <x:c r="AB17" s="174"/>
      <x:c r="AC17" s="174"/>
      <x:c r="AD17" s="177"/>
      <x:c r="AE17" s="177"/>
      <x:c r="AF17" s="174"/>
      <x:c r="AG17" s="174"/>
      <x:c r="AH17" s="174"/>
      <x:c r="AI17" s="174"/>
      <x:c r="AJ17" s="174"/>
      <x:c r="AK17" s="175" t="str">
        <x:f>IF(AJ17="","",IF(OR(LOWER(AJ17)="brazil",LOWER(AJ17)="brasil"),"Yes","No"))</x:f>
      </x:c>
      <x:c r="AL17" s="174"/>
      <x:c r="AM17" s="174"/>
      <x:c r="AN17" s="174"/>
      <x:c r="AO17" s="178"/>
      <x:c r="AP17" s="174"/>
      <x:c r="AQ17" s="174"/>
      <x:c r="AR17" s="174"/>
      <x:c r="AS17" s="174"/>
      <x:c r="AT17" s="174"/>
      <x:c r="AU17" s="174"/>
      <x:c r="AV17" s="174"/>
      <x:c r="AW17" s="174"/>
      <x:c r="AX17" s="174"/>
      <x:c r="AY17" s="174"/>
      <x:c r="AZ17" s="174"/>
      <x:c r="BA17" s="174"/>
      <x:c r="BB17" s="174"/>
      <x:c r="BC17" s="174"/>
      <x:c r="BD17" s="174"/>
      <x:c r="BE17" s="174"/>
      <x:c r="BF17" s="174"/>
      <x:c r="BG17" s="174"/>
      <x:c r="BH17" s="174"/>
      <x:c r="BI17" s="174"/>
      <x:c r="BJ17" s="174"/>
      <x:c r="BK17" s="174"/>
      <x:c r="BL17" s="174"/>
      <x:c r="BM17" s="174"/>
      <x:c r="BN17" s="174"/>
      <x:c r="BO17" s="174"/>
      <x:c r="BP17" s="174"/>
      <x:c r="BQ17" s="174"/>
      <x:c r="BR17" s="174"/>
      <x:c r="BS17" s="174"/>
      <x:c r="BT17" s="174"/>
      <x:c r="BU17" s="174"/>
      <x:c r="BV17" s="174"/>
      <x:c r="BW17" s="174"/>
      <x:c r="BX17" s="174"/>
      <x:c r="BY17" s="174"/>
      <x:c r="BZ17" s="174"/>
      <x:c r="CA17" s="174"/>
      <x:c r="CB17" s="174"/>
      <x:c r="CC17" s="174"/>
      <x:c r="CD17" s="174"/>
      <x:c r="CE17" s="174"/>
      <x:c r="CF17" s="174"/>
      <x:c r="CG17" s="174"/>
      <x:c r="CH17" s="174"/>
      <x:c r="CI17" s="179"/>
      <x:c r="CJ17" s="174"/>
      <x:c r="CK17" s="174"/>
      <x:c r="CL17" s="174"/>
      <x:c r="CM17" s="174"/>
      <x:c r="CN17" s="174"/>
      <x:c r="CO17" s="177"/>
      <x:c r="CP17" s="174"/>
      <x:c r="CQ17" s="174"/>
      <x:c r="CR17" s="174"/>
      <x:c r="CS17" s="174"/>
      <x:c r="CT17" s="174"/>
      <x:c r="CU17" s="176"/>
      <x:c r="CV17" s="176"/>
      <x:c r="CW17" s="176"/>
      <x:c r="CX17" s="176"/>
      <x:c r="CY17" s="176"/>
      <x:c r="CZ17" s="176"/>
      <x:c r="DA17" s="176"/>
      <x:c r="DB17" s="175" t="str">
        <x:f>IF(L17="","",IF(COUNT(CU17:DA17)&lt;7,"",SUM(CU17:DA17)))</x:f>
      </x:c>
      <x:c r="DC17" s="180" t="str">
        <x:f>IF(DB17="","",ROUND(DB17/14*10,1))</x:f>
      </x:c>
      <x:c r="DD17" s="174"/>
      <x:c r="DE17" s="175" t="str">
        <x:f>IF(L17="","",IF(DC17="","Pending",IF(DD17="Yes","CONDITIONAL — safety override",IF(DC17&gt;=8,"HIGH",IF(DC17&gt;=5,"CONDITIONAL","LOW")))))</x:f>
      </x:c>
      <x:c r="DF17" s="174"/>
      <x:c r="DG17" s="174"/>
      <x:c r="DH17" s="174"/>
      <x:c r="DI17" s="174"/>
      <x:c r="DJ17" s="174"/>
      <x:c r="DK17" s="174"/>
      <x:c r="DL17" s="174"/>
      <x:c r="DM17" s="174"/>
      <x:c r="DN17" s="174"/>
      <x:c r="DO17" s="174"/>
      <x:c r="DP17" s="174"/>
      <x:c r="DQ17" s="174"/>
      <x:c r="DR17" s="174"/>
      <x:c r="DS17" s="174"/>
      <x:c r="DT17" s="174"/>
      <x:c r="DU17" s="174"/>
      <x:c r="DV17" s="174"/>
      <x:c r="DW17" s="174"/>
      <x:c r="DX17" s="174"/>
      <x:c r="DY17" s="174"/>
      <x:c r="DZ17" s="174"/>
      <x:c r="EA17" s="174"/>
      <x:c r="EB17" s="175" t="str">
        <x:f>IF(L17="","",IF(AND(F17="Claim-ready",CJ17="Yes",CL17="Yes",DZ17&lt;&gt;""),"Yes","No / Pending"))</x:f>
      </x:c>
      <x:c r="EC17" s="174"/>
      <x:c r="ED17" s="174"/>
      <x:c r="EE17" s="174"/>
      <x:c r="EF17" s="174"/>
      <x:c r="EG17" s="174"/>
      <x:c r="EH17" s="177"/>
      <x:c r="EI17" s="174"/>
      <x:c r="EJ17" s="174"/>
      <x:c r="EK17" s="174"/>
      <x:c r="EL17" s="177"/>
      <x:c r="EM17" s="174"/>
      <x:c r="EN17" s="181" t="str">
        <x:f>IF(L17="","",(IF(N17&lt;&gt;"",1,0)+IF(O17&lt;&gt;"",1,0)+IF(AJ17&lt;&gt;"",1,0)+IF(AU17&lt;&gt;"",1,0)+IF(BE17&lt;&gt;"",1,0)+IF(CF17&lt;&gt;"",1,0)+IF(CJ17="Yes",1,0)+IF(CL17="Yes",1,0)+IF(DE17&lt;&gt;"Pending",1,0)+IF(F17&lt;&gt;"",1,0)+IF(DZ17&lt;&gt;"",1,0)+IF(EI17&lt;&gt;"",1,0))/12)</x:f>
      </x:c>
    </x:row>
    <x:row r="18">
      <x:c r="A18" s="175" t="str">
        <x:f>IF(L18="","","EV-"&amp;TEXT(ROW()-3,"0000"))</x:f>
      </x:c>
      <x:c r="B18" s="174"/>
      <x:c r="C18" s="175" t="str">
        <x:f>IF(L18="","",IF(OR(CM18="Retracted",CN18="Retracted",F18="Not used"),"🔴 Do not use for conclusion",IF(OR(R18="Official / Institutional",I18="Official / contextual"),"🔵 Official / contextual",IF(OR(I18="Definition",I18="Framework",I18="Paradigm shift"),"🟣 Conceptual key source",IF(AND(CJ18="Yes",CL18="Yes",OR(CG18="High",CG18="Moderate"),CH18&lt;&gt;"High",CH18&lt;&gt;"Critical",F18="Claim-ready"),"🟢 Claim-ready","🟡 Caution / context")))))</x:f>
      </x:c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6"/>
      <x:c r="P18" s="174"/>
      <x:c r="Q18" s="174"/>
      <x:c r="R18" s="174"/>
      <x:c r="S18" s="174"/>
      <x:c r="T18" s="174"/>
      <x:c r="U18" s="174"/>
      <x:c r="V18" s="174"/>
      <x:c r="W18" s="175" t="str">
        <x:f>IF(V18="","",LOWER(SUBSTITUTE(SUBSTITUTE(SUBSTITUTE(SUBSTITUTE(TRIM(V18),"https://doi.org/",""),"http://doi.org/",""),"https://dx.doi.org/",""),"doi:","")))</x:f>
      </x:c>
      <x:c r="X18" s="174"/>
      <x:c r="Y18" s="174"/>
      <x:c r="Z18" s="174"/>
      <x:c r="AA18" s="174"/>
      <x:c r="AB18" s="174"/>
      <x:c r="AC18" s="174"/>
      <x:c r="AD18" s="177"/>
      <x:c r="AE18" s="177"/>
      <x:c r="AF18" s="174"/>
      <x:c r="AG18" s="174"/>
      <x:c r="AH18" s="174"/>
      <x:c r="AI18" s="174"/>
      <x:c r="AJ18" s="174"/>
      <x:c r="AK18" s="175" t="str">
        <x:f>IF(AJ18="","",IF(OR(LOWER(AJ18)="brazil",LOWER(AJ18)="brasil"),"Yes","No"))</x:f>
      </x:c>
      <x:c r="AL18" s="174"/>
      <x:c r="AM18" s="174"/>
      <x:c r="AN18" s="174"/>
      <x:c r="AO18" s="178"/>
      <x:c r="AP18" s="174"/>
      <x:c r="AQ18" s="174"/>
      <x:c r="AR18" s="174"/>
      <x:c r="AS18" s="174"/>
      <x:c r="AT18" s="174"/>
      <x:c r="AU18" s="174"/>
      <x:c r="AV18" s="174"/>
      <x:c r="AW18" s="174"/>
      <x:c r="AX18" s="174"/>
      <x:c r="AY18" s="174"/>
      <x:c r="AZ18" s="174"/>
      <x:c r="BA18" s="174"/>
      <x:c r="BB18" s="174"/>
      <x:c r="BC18" s="174"/>
      <x:c r="BD18" s="174"/>
      <x:c r="BE18" s="174"/>
      <x:c r="BF18" s="174"/>
      <x:c r="BG18" s="174"/>
      <x:c r="BH18" s="174"/>
      <x:c r="BI18" s="174"/>
      <x:c r="BJ18" s="174"/>
      <x:c r="BK18" s="174"/>
      <x:c r="BL18" s="174"/>
      <x:c r="BM18" s="174"/>
      <x:c r="BN18" s="174"/>
      <x:c r="BO18" s="174"/>
      <x:c r="BP18" s="174"/>
      <x:c r="BQ18" s="174"/>
      <x:c r="BR18" s="174"/>
      <x:c r="BS18" s="174"/>
      <x:c r="BT18" s="174"/>
      <x:c r="BU18" s="174"/>
      <x:c r="BV18" s="174"/>
      <x:c r="BW18" s="174"/>
      <x:c r="BX18" s="174"/>
      <x:c r="BY18" s="174"/>
      <x:c r="BZ18" s="174"/>
      <x:c r="CA18" s="174"/>
      <x:c r="CB18" s="174"/>
      <x:c r="CC18" s="174"/>
      <x:c r="CD18" s="174"/>
      <x:c r="CE18" s="174"/>
      <x:c r="CF18" s="174"/>
      <x:c r="CG18" s="174"/>
      <x:c r="CH18" s="174"/>
      <x:c r="CI18" s="179"/>
      <x:c r="CJ18" s="174"/>
      <x:c r="CK18" s="174"/>
      <x:c r="CL18" s="174"/>
      <x:c r="CM18" s="174"/>
      <x:c r="CN18" s="174"/>
      <x:c r="CO18" s="177"/>
      <x:c r="CP18" s="174"/>
      <x:c r="CQ18" s="174"/>
      <x:c r="CR18" s="174"/>
      <x:c r="CS18" s="174"/>
      <x:c r="CT18" s="174"/>
      <x:c r="CU18" s="176"/>
      <x:c r="CV18" s="176"/>
      <x:c r="CW18" s="176"/>
      <x:c r="CX18" s="176"/>
      <x:c r="CY18" s="176"/>
      <x:c r="CZ18" s="176"/>
      <x:c r="DA18" s="176"/>
      <x:c r="DB18" s="175" t="str">
        <x:f>IF(L18="","",IF(COUNT(CU18:DA18)&lt;7,"",SUM(CU18:DA18)))</x:f>
      </x:c>
      <x:c r="DC18" s="180" t="str">
        <x:f>IF(DB18="","",ROUND(DB18/14*10,1))</x:f>
      </x:c>
      <x:c r="DD18" s="174"/>
      <x:c r="DE18" s="175" t="str">
        <x:f>IF(L18="","",IF(DC18="","Pending",IF(DD18="Yes","CONDITIONAL — safety override",IF(DC18&gt;=8,"HIGH",IF(DC18&gt;=5,"CONDITIONAL","LOW")))))</x:f>
      </x:c>
      <x:c r="DF18" s="174"/>
      <x:c r="DG18" s="174"/>
      <x:c r="DH18" s="174"/>
      <x:c r="DI18" s="174"/>
      <x:c r="DJ18" s="174"/>
      <x:c r="DK18" s="174"/>
      <x:c r="DL18" s="174"/>
      <x:c r="DM18" s="174"/>
      <x:c r="DN18" s="174"/>
      <x:c r="DO18" s="174"/>
      <x:c r="DP18" s="174"/>
      <x:c r="DQ18" s="174"/>
      <x:c r="DR18" s="174"/>
      <x:c r="DS18" s="174"/>
      <x:c r="DT18" s="174"/>
      <x:c r="DU18" s="174"/>
      <x:c r="DV18" s="174"/>
      <x:c r="DW18" s="174"/>
      <x:c r="DX18" s="174"/>
      <x:c r="DY18" s="174"/>
      <x:c r="DZ18" s="174"/>
      <x:c r="EA18" s="174"/>
      <x:c r="EB18" s="175" t="str">
        <x:f>IF(L18="","",IF(AND(F18="Claim-ready",CJ18="Yes",CL18="Yes",DZ18&lt;&gt;""),"Yes","No / Pending"))</x:f>
      </x:c>
      <x:c r="EC18" s="174"/>
      <x:c r="ED18" s="174"/>
      <x:c r="EE18" s="174"/>
      <x:c r="EF18" s="174"/>
      <x:c r="EG18" s="174"/>
      <x:c r="EH18" s="177"/>
      <x:c r="EI18" s="174"/>
      <x:c r="EJ18" s="174"/>
      <x:c r="EK18" s="174"/>
      <x:c r="EL18" s="177"/>
      <x:c r="EM18" s="174"/>
      <x:c r="EN18" s="181" t="str">
        <x:f>IF(L18="","",(IF(N18&lt;&gt;"",1,0)+IF(O18&lt;&gt;"",1,0)+IF(AJ18&lt;&gt;"",1,0)+IF(AU18&lt;&gt;"",1,0)+IF(BE18&lt;&gt;"",1,0)+IF(CF18&lt;&gt;"",1,0)+IF(CJ18="Yes",1,0)+IF(CL18="Yes",1,0)+IF(DE18&lt;&gt;"Pending",1,0)+IF(F18&lt;&gt;"",1,0)+IF(DZ18&lt;&gt;"",1,0)+IF(EI18&lt;&gt;"",1,0))/12)</x:f>
      </x:c>
    </x:row>
    <x:row r="19">
      <x:c r="A19" s="175" t="str">
        <x:f>IF(L19="","","EV-"&amp;TEXT(ROW()-3,"0000"))</x:f>
      </x:c>
      <x:c r="B19" s="174"/>
      <x:c r="C19" s="175" t="str">
        <x:f>IF(L19="","",IF(OR(CM19="Retracted",CN19="Retracted",F19="Not used"),"🔴 Do not use for conclusion",IF(OR(R19="Official / Institutional",I19="Official / contextual"),"🔵 Official / contextual",IF(OR(I19="Definition",I19="Framework",I19="Paradigm shift"),"🟣 Conceptual key source",IF(AND(CJ19="Yes",CL19="Yes",OR(CG19="High",CG19="Moderate"),CH19&lt;&gt;"High",CH19&lt;&gt;"Critical",F19="Claim-ready"),"🟢 Claim-ready","🟡 Caution / context")))))</x:f>
      </x:c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6"/>
      <x:c r="P19" s="174"/>
      <x:c r="Q19" s="174"/>
      <x:c r="R19" s="174"/>
      <x:c r="S19" s="174"/>
      <x:c r="T19" s="174"/>
      <x:c r="U19" s="174"/>
      <x:c r="V19" s="174"/>
      <x:c r="W19" s="175" t="str">
        <x:f>IF(V19="","",LOWER(SUBSTITUTE(SUBSTITUTE(SUBSTITUTE(SUBSTITUTE(TRIM(V19),"https://doi.org/",""),"http://doi.org/",""),"https://dx.doi.org/",""),"doi:","")))</x:f>
      </x:c>
      <x:c r="X19" s="174"/>
      <x:c r="Y19" s="174"/>
      <x:c r="Z19" s="174"/>
      <x:c r="AA19" s="174"/>
      <x:c r="AB19" s="174"/>
      <x:c r="AC19" s="174"/>
      <x:c r="AD19" s="177"/>
      <x:c r="AE19" s="177"/>
      <x:c r="AF19" s="174"/>
      <x:c r="AG19" s="174"/>
      <x:c r="AH19" s="174"/>
      <x:c r="AI19" s="174"/>
      <x:c r="AJ19" s="174"/>
      <x:c r="AK19" s="175" t="str">
        <x:f>IF(AJ19="","",IF(OR(LOWER(AJ19)="brazil",LOWER(AJ19)="brasil"),"Yes","No"))</x:f>
      </x:c>
      <x:c r="AL19" s="174"/>
      <x:c r="AM19" s="174"/>
      <x:c r="AN19" s="174"/>
      <x:c r="AO19" s="178"/>
      <x:c r="AP19" s="174"/>
      <x:c r="AQ19" s="174"/>
      <x:c r="AR19" s="174"/>
      <x:c r="AS19" s="174"/>
      <x:c r="AT19" s="174"/>
      <x:c r="AU19" s="174"/>
      <x:c r="AV19" s="174"/>
      <x:c r="AW19" s="174"/>
      <x:c r="AX19" s="174"/>
      <x:c r="AY19" s="174"/>
      <x:c r="AZ19" s="174"/>
      <x:c r="BA19" s="174"/>
      <x:c r="BB19" s="174"/>
      <x:c r="BC19" s="174"/>
      <x:c r="BD19" s="174"/>
      <x:c r="BE19" s="174"/>
      <x:c r="BF19" s="174"/>
      <x:c r="BG19" s="174"/>
      <x:c r="BH19" s="174"/>
      <x:c r="BI19" s="174"/>
      <x:c r="BJ19" s="174"/>
      <x:c r="BK19" s="174"/>
      <x:c r="BL19" s="174"/>
      <x:c r="BM19" s="174"/>
      <x:c r="BN19" s="174"/>
      <x:c r="BO19" s="174"/>
      <x:c r="BP19" s="174"/>
      <x:c r="BQ19" s="174"/>
      <x:c r="BR19" s="174"/>
      <x:c r="BS19" s="174"/>
      <x:c r="BT19" s="174"/>
      <x:c r="BU19" s="174"/>
      <x:c r="BV19" s="174"/>
      <x:c r="BW19" s="174"/>
      <x:c r="BX19" s="174"/>
      <x:c r="BY19" s="174"/>
      <x:c r="BZ19" s="174"/>
      <x:c r="CA19" s="174"/>
      <x:c r="CB19" s="174"/>
      <x:c r="CC19" s="174"/>
      <x:c r="CD19" s="174"/>
      <x:c r="CE19" s="174"/>
      <x:c r="CF19" s="174"/>
      <x:c r="CG19" s="174"/>
      <x:c r="CH19" s="174"/>
      <x:c r="CI19" s="179"/>
      <x:c r="CJ19" s="174"/>
      <x:c r="CK19" s="174"/>
      <x:c r="CL19" s="174"/>
      <x:c r="CM19" s="174"/>
      <x:c r="CN19" s="174"/>
      <x:c r="CO19" s="177"/>
      <x:c r="CP19" s="174"/>
      <x:c r="CQ19" s="174"/>
      <x:c r="CR19" s="174"/>
      <x:c r="CS19" s="174"/>
      <x:c r="CT19" s="174"/>
      <x:c r="CU19" s="176"/>
      <x:c r="CV19" s="176"/>
      <x:c r="CW19" s="176"/>
      <x:c r="CX19" s="176"/>
      <x:c r="CY19" s="176"/>
      <x:c r="CZ19" s="176"/>
      <x:c r="DA19" s="176"/>
      <x:c r="DB19" s="175" t="str">
        <x:f>IF(L19="","",IF(COUNT(CU19:DA19)&lt;7,"",SUM(CU19:DA19)))</x:f>
      </x:c>
      <x:c r="DC19" s="180" t="str">
        <x:f>IF(DB19="","",ROUND(DB19/14*10,1))</x:f>
      </x:c>
      <x:c r="DD19" s="174"/>
      <x:c r="DE19" s="175" t="str">
        <x:f>IF(L19="","",IF(DC19="","Pending",IF(DD19="Yes","CONDITIONAL — safety override",IF(DC19&gt;=8,"HIGH",IF(DC19&gt;=5,"CONDITIONAL","LOW")))))</x:f>
      </x:c>
      <x:c r="DF19" s="174"/>
      <x:c r="DG19" s="174"/>
      <x:c r="DH19" s="174"/>
      <x:c r="DI19" s="174"/>
      <x:c r="DJ19" s="174"/>
      <x:c r="DK19" s="174"/>
      <x:c r="DL19" s="174"/>
      <x:c r="DM19" s="174"/>
      <x:c r="DN19" s="174"/>
      <x:c r="DO19" s="174"/>
      <x:c r="DP19" s="174"/>
      <x:c r="DQ19" s="174"/>
      <x:c r="DR19" s="174"/>
      <x:c r="DS19" s="174"/>
      <x:c r="DT19" s="174"/>
      <x:c r="DU19" s="174"/>
      <x:c r="DV19" s="174"/>
      <x:c r="DW19" s="174"/>
      <x:c r="DX19" s="174"/>
      <x:c r="DY19" s="174"/>
      <x:c r="DZ19" s="174"/>
      <x:c r="EA19" s="174"/>
      <x:c r="EB19" s="175" t="str">
        <x:f>IF(L19="","",IF(AND(F19="Claim-ready",CJ19="Yes",CL19="Yes",DZ19&lt;&gt;""),"Yes","No / Pending"))</x:f>
      </x:c>
      <x:c r="EC19" s="174"/>
      <x:c r="ED19" s="174"/>
      <x:c r="EE19" s="174"/>
      <x:c r="EF19" s="174"/>
      <x:c r="EG19" s="174"/>
      <x:c r="EH19" s="177"/>
      <x:c r="EI19" s="174"/>
      <x:c r="EJ19" s="174"/>
      <x:c r="EK19" s="174"/>
      <x:c r="EL19" s="177"/>
      <x:c r="EM19" s="174"/>
      <x:c r="EN19" s="181" t="str">
        <x:f>IF(L19="","",(IF(N19&lt;&gt;"",1,0)+IF(O19&lt;&gt;"",1,0)+IF(AJ19&lt;&gt;"",1,0)+IF(AU19&lt;&gt;"",1,0)+IF(BE19&lt;&gt;"",1,0)+IF(CF19&lt;&gt;"",1,0)+IF(CJ19="Yes",1,0)+IF(CL19="Yes",1,0)+IF(DE19&lt;&gt;"Pending",1,0)+IF(F19&lt;&gt;"",1,0)+IF(DZ19&lt;&gt;"",1,0)+IF(EI19&lt;&gt;"",1,0))/12)</x:f>
      </x:c>
    </x:row>
    <x:row r="20">
      <x:c r="A20" s="175" t="str">
        <x:f>IF(L20="","","EV-"&amp;TEXT(ROW()-3,"0000"))</x:f>
      </x:c>
      <x:c r="B20" s="174"/>
      <x:c r="C20" s="175" t="str">
        <x:f>IF(L20="","",IF(OR(CM20="Retracted",CN20="Retracted",F20="Not used"),"🔴 Do not use for conclusion",IF(OR(R20="Official / Institutional",I20="Official / contextual"),"🔵 Official / contextual",IF(OR(I20="Definition",I20="Framework",I20="Paradigm shift"),"🟣 Conceptual key source",IF(AND(CJ20="Yes",CL20="Yes",OR(CG20="High",CG20="Moderate"),CH20&lt;&gt;"High",CH20&lt;&gt;"Critical",F20="Claim-ready"),"🟢 Claim-ready","🟡 Caution / context")))))</x:f>
      </x:c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6"/>
      <x:c r="P20" s="174"/>
      <x:c r="Q20" s="174"/>
      <x:c r="R20" s="174"/>
      <x:c r="S20" s="174"/>
      <x:c r="T20" s="174"/>
      <x:c r="U20" s="174"/>
      <x:c r="V20" s="174"/>
      <x:c r="W20" s="175" t="str">
        <x:f>IF(V20="","",LOWER(SUBSTITUTE(SUBSTITUTE(SUBSTITUTE(SUBSTITUTE(TRIM(V20),"https://doi.org/",""),"http://doi.org/",""),"https://dx.doi.org/",""),"doi:","")))</x:f>
      </x:c>
      <x:c r="X20" s="174"/>
      <x:c r="Y20" s="174"/>
      <x:c r="Z20" s="174"/>
      <x:c r="AA20" s="174"/>
      <x:c r="AB20" s="174"/>
      <x:c r="AC20" s="174"/>
      <x:c r="AD20" s="177"/>
      <x:c r="AE20" s="177"/>
      <x:c r="AF20" s="174"/>
      <x:c r="AG20" s="174"/>
      <x:c r="AH20" s="174"/>
      <x:c r="AI20" s="174"/>
      <x:c r="AJ20" s="174"/>
      <x:c r="AK20" s="175" t="str">
        <x:f>IF(AJ20="","",IF(OR(LOWER(AJ20)="brazil",LOWER(AJ20)="brasil"),"Yes","No"))</x:f>
      </x:c>
      <x:c r="AL20" s="174"/>
      <x:c r="AM20" s="174"/>
      <x:c r="AN20" s="174"/>
      <x:c r="AO20" s="178"/>
      <x:c r="AP20" s="174"/>
      <x:c r="AQ20" s="174"/>
      <x:c r="AR20" s="174"/>
      <x:c r="AS20" s="174"/>
      <x:c r="AT20" s="174"/>
      <x:c r="AU20" s="174"/>
      <x:c r="AV20" s="174"/>
      <x:c r="AW20" s="174"/>
      <x:c r="AX20" s="174"/>
      <x:c r="AY20" s="174"/>
      <x:c r="AZ20" s="174"/>
      <x:c r="BA20" s="174"/>
      <x:c r="BB20" s="174"/>
      <x:c r="BC20" s="174"/>
      <x:c r="BD20" s="174"/>
      <x:c r="BE20" s="174"/>
      <x:c r="BF20" s="174"/>
      <x:c r="BG20" s="174"/>
      <x:c r="BH20" s="174"/>
      <x:c r="BI20" s="174"/>
      <x:c r="BJ20" s="174"/>
      <x:c r="BK20" s="174"/>
      <x:c r="BL20" s="174"/>
      <x:c r="BM20" s="174"/>
      <x:c r="BN20" s="174"/>
      <x:c r="BO20" s="174"/>
      <x:c r="BP20" s="174"/>
      <x:c r="BQ20" s="174"/>
      <x:c r="BR20" s="174"/>
      <x:c r="BS20" s="174"/>
      <x:c r="BT20" s="174"/>
      <x:c r="BU20" s="174"/>
      <x:c r="BV20" s="174"/>
      <x:c r="BW20" s="174"/>
      <x:c r="BX20" s="174"/>
      <x:c r="BY20" s="174"/>
      <x:c r="BZ20" s="174"/>
      <x:c r="CA20" s="174"/>
      <x:c r="CB20" s="174"/>
      <x:c r="CC20" s="174"/>
      <x:c r="CD20" s="174"/>
      <x:c r="CE20" s="174"/>
      <x:c r="CF20" s="174"/>
      <x:c r="CG20" s="174"/>
      <x:c r="CH20" s="174"/>
      <x:c r="CI20" s="179"/>
      <x:c r="CJ20" s="174"/>
      <x:c r="CK20" s="174"/>
      <x:c r="CL20" s="174"/>
      <x:c r="CM20" s="174"/>
      <x:c r="CN20" s="174"/>
      <x:c r="CO20" s="177"/>
      <x:c r="CP20" s="174"/>
      <x:c r="CQ20" s="174"/>
      <x:c r="CR20" s="174"/>
      <x:c r="CS20" s="174"/>
      <x:c r="CT20" s="174"/>
      <x:c r="CU20" s="176"/>
      <x:c r="CV20" s="176"/>
      <x:c r="CW20" s="176"/>
      <x:c r="CX20" s="176"/>
      <x:c r="CY20" s="176"/>
      <x:c r="CZ20" s="176"/>
      <x:c r="DA20" s="176"/>
      <x:c r="DB20" s="175" t="str">
        <x:f>IF(L20="","",IF(COUNT(CU20:DA20)&lt;7,"",SUM(CU20:DA20)))</x:f>
      </x:c>
      <x:c r="DC20" s="180" t="str">
        <x:f>IF(DB20="","",ROUND(DB20/14*10,1))</x:f>
      </x:c>
      <x:c r="DD20" s="174"/>
      <x:c r="DE20" s="175" t="str">
        <x:f>IF(L20="","",IF(DC20="","Pending",IF(DD20="Yes","CONDITIONAL — safety override",IF(DC20&gt;=8,"HIGH",IF(DC20&gt;=5,"CONDITIONAL","LOW")))))</x:f>
      </x:c>
      <x:c r="DF20" s="174"/>
      <x:c r="DG20" s="174"/>
      <x:c r="DH20" s="174"/>
      <x:c r="DI20" s="174"/>
      <x:c r="DJ20" s="174"/>
      <x:c r="DK20" s="174"/>
      <x:c r="DL20" s="174"/>
      <x:c r="DM20" s="174"/>
      <x:c r="DN20" s="174"/>
      <x:c r="DO20" s="174"/>
      <x:c r="DP20" s="174"/>
      <x:c r="DQ20" s="174"/>
      <x:c r="DR20" s="174"/>
      <x:c r="DS20" s="174"/>
      <x:c r="DT20" s="174"/>
      <x:c r="DU20" s="174"/>
      <x:c r="DV20" s="174"/>
      <x:c r="DW20" s="174"/>
      <x:c r="DX20" s="174"/>
      <x:c r="DY20" s="174"/>
      <x:c r="DZ20" s="174"/>
      <x:c r="EA20" s="174"/>
      <x:c r="EB20" s="175" t="str">
        <x:f>IF(L20="","",IF(AND(F20="Claim-ready",CJ20="Yes",CL20="Yes",DZ20&lt;&gt;""),"Yes","No / Pending"))</x:f>
      </x:c>
      <x:c r="EC20" s="174"/>
      <x:c r="ED20" s="174"/>
      <x:c r="EE20" s="174"/>
      <x:c r="EF20" s="174"/>
      <x:c r="EG20" s="174"/>
      <x:c r="EH20" s="177"/>
      <x:c r="EI20" s="174"/>
      <x:c r="EJ20" s="174"/>
      <x:c r="EK20" s="174"/>
      <x:c r="EL20" s="177"/>
      <x:c r="EM20" s="174"/>
      <x:c r="EN20" s="181" t="str">
        <x:f>IF(L20="","",(IF(N20&lt;&gt;"",1,0)+IF(O20&lt;&gt;"",1,0)+IF(AJ20&lt;&gt;"",1,0)+IF(AU20&lt;&gt;"",1,0)+IF(BE20&lt;&gt;"",1,0)+IF(CF20&lt;&gt;"",1,0)+IF(CJ20="Yes",1,0)+IF(CL20="Yes",1,0)+IF(DE20&lt;&gt;"Pending",1,0)+IF(F20&lt;&gt;"",1,0)+IF(DZ20&lt;&gt;"",1,0)+IF(EI20&lt;&gt;"",1,0))/12)</x:f>
      </x:c>
    </x:row>
    <x:row r="21">
      <x:c r="A21" s="175" t="str">
        <x:f>IF(L21="","","EV-"&amp;TEXT(ROW()-3,"0000"))</x:f>
      </x:c>
      <x:c r="B21" s="174"/>
      <x:c r="C21" s="175" t="str">
        <x:f>IF(L21="","",IF(OR(CM21="Retracted",CN21="Retracted",F21="Not used"),"🔴 Do not use for conclusion",IF(OR(R21="Official / Institutional",I21="Official / contextual"),"🔵 Official / contextual",IF(OR(I21="Definition",I21="Framework",I21="Paradigm shift"),"🟣 Conceptual key source",IF(AND(CJ21="Yes",CL21="Yes",OR(CG21="High",CG21="Moderate"),CH21&lt;&gt;"High",CH21&lt;&gt;"Critical",F21="Claim-ready"),"🟢 Claim-ready","🟡 Caution / context")))))</x:f>
      </x:c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6"/>
      <x:c r="P21" s="174"/>
      <x:c r="Q21" s="174"/>
      <x:c r="R21" s="174"/>
      <x:c r="S21" s="174"/>
      <x:c r="T21" s="174"/>
      <x:c r="U21" s="174"/>
      <x:c r="V21" s="174"/>
      <x:c r="W21" s="175" t="str">
        <x:f>IF(V21="","",LOWER(SUBSTITUTE(SUBSTITUTE(SUBSTITUTE(SUBSTITUTE(TRIM(V21),"https://doi.org/",""),"http://doi.org/",""),"https://dx.doi.org/",""),"doi:","")))</x:f>
      </x:c>
      <x:c r="X21" s="174"/>
      <x:c r="Y21" s="174"/>
      <x:c r="Z21" s="174"/>
      <x:c r="AA21" s="174"/>
      <x:c r="AB21" s="174"/>
      <x:c r="AC21" s="174"/>
      <x:c r="AD21" s="177"/>
      <x:c r="AE21" s="177"/>
      <x:c r="AF21" s="174"/>
      <x:c r="AG21" s="174"/>
      <x:c r="AH21" s="174"/>
      <x:c r="AI21" s="174"/>
      <x:c r="AJ21" s="174"/>
      <x:c r="AK21" s="175" t="str">
        <x:f>IF(AJ21="","",IF(OR(LOWER(AJ21)="brazil",LOWER(AJ21)="brasil"),"Yes","No"))</x:f>
      </x:c>
      <x:c r="AL21" s="174"/>
      <x:c r="AM21" s="174"/>
      <x:c r="AN21" s="174"/>
      <x:c r="AO21" s="178"/>
      <x:c r="AP21" s="174"/>
      <x:c r="AQ21" s="174"/>
      <x:c r="AR21" s="174"/>
      <x:c r="AS21" s="174"/>
      <x:c r="AT21" s="174"/>
      <x:c r="AU21" s="174"/>
      <x:c r="AV21" s="174"/>
      <x:c r="AW21" s="174"/>
      <x:c r="AX21" s="174"/>
      <x:c r="AY21" s="174"/>
      <x:c r="AZ21" s="174"/>
      <x:c r="BA21" s="174"/>
      <x:c r="BB21" s="174"/>
      <x:c r="BC21" s="174"/>
      <x:c r="BD21" s="174"/>
      <x:c r="BE21" s="174"/>
      <x:c r="BF21" s="174"/>
      <x:c r="BG21" s="174"/>
      <x:c r="BH21" s="174"/>
      <x:c r="BI21" s="174"/>
      <x:c r="BJ21" s="174"/>
      <x:c r="BK21" s="174"/>
      <x:c r="BL21" s="174"/>
      <x:c r="BM21" s="174"/>
      <x:c r="BN21" s="174"/>
      <x:c r="BO21" s="174"/>
      <x:c r="BP21" s="174"/>
      <x:c r="BQ21" s="174"/>
      <x:c r="BR21" s="174"/>
      <x:c r="BS21" s="174"/>
      <x:c r="BT21" s="174"/>
      <x:c r="BU21" s="174"/>
      <x:c r="BV21" s="174"/>
      <x:c r="BW21" s="174"/>
      <x:c r="BX21" s="174"/>
      <x:c r="BY21" s="174"/>
      <x:c r="BZ21" s="174"/>
      <x:c r="CA21" s="174"/>
      <x:c r="CB21" s="174"/>
      <x:c r="CC21" s="174"/>
      <x:c r="CD21" s="174"/>
      <x:c r="CE21" s="174"/>
      <x:c r="CF21" s="174"/>
      <x:c r="CG21" s="174"/>
      <x:c r="CH21" s="174"/>
      <x:c r="CI21" s="179"/>
      <x:c r="CJ21" s="174"/>
      <x:c r="CK21" s="174"/>
      <x:c r="CL21" s="174"/>
      <x:c r="CM21" s="174"/>
      <x:c r="CN21" s="174"/>
      <x:c r="CO21" s="177"/>
      <x:c r="CP21" s="174"/>
      <x:c r="CQ21" s="174"/>
      <x:c r="CR21" s="174"/>
      <x:c r="CS21" s="174"/>
      <x:c r="CT21" s="174"/>
      <x:c r="CU21" s="176"/>
      <x:c r="CV21" s="176"/>
      <x:c r="CW21" s="176"/>
      <x:c r="CX21" s="176"/>
      <x:c r="CY21" s="176"/>
      <x:c r="CZ21" s="176"/>
      <x:c r="DA21" s="176"/>
      <x:c r="DB21" s="175" t="str">
        <x:f>IF(L21="","",IF(COUNT(CU21:DA21)&lt;7,"",SUM(CU21:DA21)))</x:f>
      </x:c>
      <x:c r="DC21" s="180" t="str">
        <x:f>IF(DB21="","",ROUND(DB21/14*10,1))</x:f>
      </x:c>
      <x:c r="DD21" s="174"/>
      <x:c r="DE21" s="175" t="str">
        <x:f>IF(L21="","",IF(DC21="","Pending",IF(DD21="Yes","CONDITIONAL — safety override",IF(DC21&gt;=8,"HIGH",IF(DC21&gt;=5,"CONDITIONAL","LOW")))))</x:f>
      </x:c>
      <x:c r="DF21" s="174"/>
      <x:c r="DG21" s="174"/>
      <x:c r="DH21" s="174"/>
      <x:c r="DI21" s="174"/>
      <x:c r="DJ21" s="174"/>
      <x:c r="DK21" s="174"/>
      <x:c r="DL21" s="174"/>
      <x:c r="DM21" s="174"/>
      <x:c r="DN21" s="174"/>
      <x:c r="DO21" s="174"/>
      <x:c r="DP21" s="174"/>
      <x:c r="DQ21" s="174"/>
      <x:c r="DR21" s="174"/>
      <x:c r="DS21" s="174"/>
      <x:c r="DT21" s="174"/>
      <x:c r="DU21" s="174"/>
      <x:c r="DV21" s="174"/>
      <x:c r="DW21" s="174"/>
      <x:c r="DX21" s="174"/>
      <x:c r="DY21" s="174"/>
      <x:c r="DZ21" s="174"/>
      <x:c r="EA21" s="174"/>
      <x:c r="EB21" s="175" t="str">
        <x:f>IF(L21="","",IF(AND(F21="Claim-ready",CJ21="Yes",CL21="Yes",DZ21&lt;&gt;""),"Yes","No / Pending"))</x:f>
      </x:c>
      <x:c r="EC21" s="174"/>
      <x:c r="ED21" s="174"/>
      <x:c r="EE21" s="174"/>
      <x:c r="EF21" s="174"/>
      <x:c r="EG21" s="174"/>
      <x:c r="EH21" s="177"/>
      <x:c r="EI21" s="174"/>
      <x:c r="EJ21" s="174"/>
      <x:c r="EK21" s="174"/>
      <x:c r="EL21" s="177"/>
      <x:c r="EM21" s="174"/>
      <x:c r="EN21" s="181" t="str">
        <x:f>IF(L21="","",(IF(N21&lt;&gt;"",1,0)+IF(O21&lt;&gt;"",1,0)+IF(AJ21&lt;&gt;"",1,0)+IF(AU21&lt;&gt;"",1,0)+IF(BE21&lt;&gt;"",1,0)+IF(CF21&lt;&gt;"",1,0)+IF(CJ21="Yes",1,0)+IF(CL21="Yes",1,0)+IF(DE21&lt;&gt;"Pending",1,0)+IF(F21&lt;&gt;"",1,0)+IF(DZ21&lt;&gt;"",1,0)+IF(EI21&lt;&gt;"",1,0))/12)</x:f>
      </x:c>
    </x:row>
    <x:row r="22">
      <x:c r="A22" s="175" t="str">
        <x:f>IF(L22="","","EV-"&amp;TEXT(ROW()-3,"0000"))</x:f>
      </x:c>
      <x:c r="B22" s="174"/>
      <x:c r="C22" s="175" t="str">
        <x:f>IF(L22="","",IF(OR(CM22="Retracted",CN22="Retracted",F22="Not used"),"🔴 Do not use for conclusion",IF(OR(R22="Official / Institutional",I22="Official / contextual"),"🔵 Official / contextual",IF(OR(I22="Definition",I22="Framework",I22="Paradigm shift"),"🟣 Conceptual key source",IF(AND(CJ22="Yes",CL22="Yes",OR(CG22="High",CG22="Moderate"),CH22&lt;&gt;"High",CH22&lt;&gt;"Critical",F22="Claim-ready"),"🟢 Claim-ready","🟡 Caution / context")))))</x:f>
      </x:c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6"/>
      <x:c r="P22" s="174"/>
      <x:c r="Q22" s="174"/>
      <x:c r="R22" s="174"/>
      <x:c r="S22" s="174"/>
      <x:c r="T22" s="174"/>
      <x:c r="U22" s="174"/>
      <x:c r="V22" s="174"/>
      <x:c r="W22" s="175" t="str">
        <x:f>IF(V22="","",LOWER(SUBSTITUTE(SUBSTITUTE(SUBSTITUTE(SUBSTITUTE(TRIM(V22),"https://doi.org/",""),"http://doi.org/",""),"https://dx.doi.org/",""),"doi:","")))</x:f>
      </x:c>
      <x:c r="X22" s="174"/>
      <x:c r="Y22" s="174"/>
      <x:c r="Z22" s="174"/>
      <x:c r="AA22" s="174"/>
      <x:c r="AB22" s="174"/>
      <x:c r="AC22" s="174"/>
      <x:c r="AD22" s="177"/>
      <x:c r="AE22" s="177"/>
      <x:c r="AF22" s="174"/>
      <x:c r="AG22" s="174"/>
      <x:c r="AH22" s="174"/>
      <x:c r="AI22" s="174"/>
      <x:c r="AJ22" s="174"/>
      <x:c r="AK22" s="175" t="str">
        <x:f>IF(AJ22="","",IF(OR(LOWER(AJ22)="brazil",LOWER(AJ22)="brasil"),"Yes","No"))</x:f>
      </x:c>
      <x:c r="AL22" s="174"/>
      <x:c r="AM22" s="174"/>
      <x:c r="AN22" s="174"/>
      <x:c r="AO22" s="178"/>
      <x:c r="AP22" s="174"/>
      <x:c r="AQ22" s="174"/>
      <x:c r="AR22" s="174"/>
      <x:c r="AS22" s="174"/>
      <x:c r="AT22" s="174"/>
      <x:c r="AU22" s="174"/>
      <x:c r="AV22" s="174"/>
      <x:c r="AW22" s="174"/>
      <x:c r="AX22" s="174"/>
      <x:c r="AY22" s="174"/>
      <x:c r="AZ22" s="174"/>
      <x:c r="BA22" s="174"/>
      <x:c r="BB22" s="174"/>
      <x:c r="BC22" s="174"/>
      <x:c r="BD22" s="174"/>
      <x:c r="BE22" s="174"/>
      <x:c r="BF22" s="174"/>
      <x:c r="BG22" s="174"/>
      <x:c r="BH22" s="174"/>
      <x:c r="BI22" s="174"/>
      <x:c r="BJ22" s="174"/>
      <x:c r="BK22" s="174"/>
      <x:c r="BL22" s="174"/>
      <x:c r="BM22" s="174"/>
      <x:c r="BN22" s="174"/>
      <x:c r="BO22" s="174"/>
      <x:c r="BP22" s="174"/>
      <x:c r="BQ22" s="174"/>
      <x:c r="BR22" s="174"/>
      <x:c r="BS22" s="174"/>
      <x:c r="BT22" s="174"/>
      <x:c r="BU22" s="174"/>
      <x:c r="BV22" s="174"/>
      <x:c r="BW22" s="174"/>
      <x:c r="BX22" s="174"/>
      <x:c r="BY22" s="174"/>
      <x:c r="BZ22" s="174"/>
      <x:c r="CA22" s="174"/>
      <x:c r="CB22" s="174"/>
      <x:c r="CC22" s="174"/>
      <x:c r="CD22" s="174"/>
      <x:c r="CE22" s="174"/>
      <x:c r="CF22" s="174"/>
      <x:c r="CG22" s="174"/>
      <x:c r="CH22" s="174"/>
      <x:c r="CI22" s="179"/>
      <x:c r="CJ22" s="174"/>
      <x:c r="CK22" s="174"/>
      <x:c r="CL22" s="174"/>
      <x:c r="CM22" s="174"/>
      <x:c r="CN22" s="174"/>
      <x:c r="CO22" s="177"/>
      <x:c r="CP22" s="174"/>
      <x:c r="CQ22" s="174"/>
      <x:c r="CR22" s="174"/>
      <x:c r="CS22" s="174"/>
      <x:c r="CT22" s="174"/>
      <x:c r="CU22" s="176"/>
      <x:c r="CV22" s="176"/>
      <x:c r="CW22" s="176"/>
      <x:c r="CX22" s="176"/>
      <x:c r="CY22" s="176"/>
      <x:c r="CZ22" s="176"/>
      <x:c r="DA22" s="176"/>
      <x:c r="DB22" s="175" t="str">
        <x:f>IF(L22="","",IF(COUNT(CU22:DA22)&lt;7,"",SUM(CU22:DA22)))</x:f>
      </x:c>
      <x:c r="DC22" s="180" t="str">
        <x:f>IF(DB22="","",ROUND(DB22/14*10,1))</x:f>
      </x:c>
      <x:c r="DD22" s="174"/>
      <x:c r="DE22" s="175" t="str">
        <x:f>IF(L22="","",IF(DC22="","Pending",IF(DD22="Yes","CONDITIONAL — safety override",IF(DC22&gt;=8,"HIGH",IF(DC22&gt;=5,"CONDITIONAL","LOW")))))</x:f>
      </x:c>
      <x:c r="DF22" s="174"/>
      <x:c r="DG22" s="174"/>
      <x:c r="DH22" s="174"/>
      <x:c r="DI22" s="174"/>
      <x:c r="DJ22" s="174"/>
      <x:c r="DK22" s="174"/>
      <x:c r="DL22" s="174"/>
      <x:c r="DM22" s="174"/>
      <x:c r="DN22" s="174"/>
      <x:c r="DO22" s="174"/>
      <x:c r="DP22" s="174"/>
      <x:c r="DQ22" s="174"/>
      <x:c r="DR22" s="174"/>
      <x:c r="DS22" s="174"/>
      <x:c r="DT22" s="174"/>
      <x:c r="DU22" s="174"/>
      <x:c r="DV22" s="174"/>
      <x:c r="DW22" s="174"/>
      <x:c r="DX22" s="174"/>
      <x:c r="DY22" s="174"/>
      <x:c r="DZ22" s="174"/>
      <x:c r="EA22" s="174"/>
      <x:c r="EB22" s="175" t="str">
        <x:f>IF(L22="","",IF(AND(F22="Claim-ready",CJ22="Yes",CL22="Yes",DZ22&lt;&gt;""),"Yes","No / Pending"))</x:f>
      </x:c>
      <x:c r="EC22" s="174"/>
      <x:c r="ED22" s="174"/>
      <x:c r="EE22" s="174"/>
      <x:c r="EF22" s="174"/>
      <x:c r="EG22" s="174"/>
      <x:c r="EH22" s="177"/>
      <x:c r="EI22" s="174"/>
      <x:c r="EJ22" s="174"/>
      <x:c r="EK22" s="174"/>
      <x:c r="EL22" s="177"/>
      <x:c r="EM22" s="174"/>
      <x:c r="EN22" s="181" t="str">
        <x:f>IF(L22="","",(IF(N22&lt;&gt;"",1,0)+IF(O22&lt;&gt;"",1,0)+IF(AJ22&lt;&gt;"",1,0)+IF(AU22&lt;&gt;"",1,0)+IF(BE22&lt;&gt;"",1,0)+IF(CF22&lt;&gt;"",1,0)+IF(CJ22="Yes",1,0)+IF(CL22="Yes",1,0)+IF(DE22&lt;&gt;"Pending",1,0)+IF(F22&lt;&gt;"",1,0)+IF(DZ22&lt;&gt;"",1,0)+IF(EI22&lt;&gt;"",1,0))/12)</x:f>
      </x:c>
    </x:row>
    <x:row r="23">
      <x:c r="A23" s="175" t="str">
        <x:f>IF(L23="","","EV-"&amp;TEXT(ROW()-3,"0000"))</x:f>
      </x:c>
      <x:c r="B23" s="174"/>
      <x:c r="C23" s="175" t="str">
        <x:f>IF(L23="","",IF(OR(CM23="Retracted",CN23="Retracted",F23="Not used"),"🔴 Do not use for conclusion",IF(OR(R23="Official / Institutional",I23="Official / contextual"),"🔵 Official / contextual",IF(OR(I23="Definition",I23="Framework",I23="Paradigm shift"),"🟣 Conceptual key source",IF(AND(CJ23="Yes",CL23="Yes",OR(CG23="High",CG23="Moderate"),CH23&lt;&gt;"High",CH23&lt;&gt;"Critical",F23="Claim-ready"),"🟢 Claim-ready","🟡 Caution / context")))))</x:f>
      </x:c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6"/>
      <x:c r="P23" s="174"/>
      <x:c r="Q23" s="174"/>
      <x:c r="R23" s="174"/>
      <x:c r="S23" s="174"/>
      <x:c r="T23" s="174"/>
      <x:c r="U23" s="174"/>
      <x:c r="V23" s="174"/>
      <x:c r="W23" s="175" t="str">
        <x:f>IF(V23="","",LOWER(SUBSTITUTE(SUBSTITUTE(SUBSTITUTE(SUBSTITUTE(TRIM(V23),"https://doi.org/",""),"http://doi.org/",""),"https://dx.doi.org/",""),"doi:","")))</x:f>
      </x:c>
      <x:c r="X23" s="174"/>
      <x:c r="Y23" s="174"/>
      <x:c r="Z23" s="174"/>
      <x:c r="AA23" s="174"/>
      <x:c r="AB23" s="174"/>
      <x:c r="AC23" s="174"/>
      <x:c r="AD23" s="177"/>
      <x:c r="AE23" s="177"/>
      <x:c r="AF23" s="174"/>
      <x:c r="AG23" s="174"/>
      <x:c r="AH23" s="174"/>
      <x:c r="AI23" s="174"/>
      <x:c r="AJ23" s="174"/>
      <x:c r="AK23" s="175" t="str">
        <x:f>IF(AJ23="","",IF(OR(LOWER(AJ23)="brazil",LOWER(AJ23)="brasil"),"Yes","No"))</x:f>
      </x:c>
      <x:c r="AL23" s="174"/>
      <x:c r="AM23" s="174"/>
      <x:c r="AN23" s="174"/>
      <x:c r="AO23" s="178"/>
      <x:c r="AP23" s="174"/>
      <x:c r="AQ23" s="174"/>
      <x:c r="AR23" s="174"/>
      <x:c r="AS23" s="174"/>
      <x:c r="AT23" s="174"/>
      <x:c r="AU23" s="174"/>
      <x:c r="AV23" s="174"/>
      <x:c r="AW23" s="174"/>
      <x:c r="AX23" s="174"/>
      <x:c r="AY23" s="174"/>
      <x:c r="AZ23" s="174"/>
      <x:c r="BA23" s="174"/>
      <x:c r="BB23" s="174"/>
      <x:c r="BC23" s="174"/>
      <x:c r="BD23" s="174"/>
      <x:c r="BE23" s="174"/>
      <x:c r="BF23" s="174"/>
      <x:c r="BG23" s="174"/>
      <x:c r="BH23" s="174"/>
      <x:c r="BI23" s="174"/>
      <x:c r="BJ23" s="174"/>
      <x:c r="BK23" s="174"/>
      <x:c r="BL23" s="174"/>
      <x:c r="BM23" s="174"/>
      <x:c r="BN23" s="174"/>
      <x:c r="BO23" s="174"/>
      <x:c r="BP23" s="174"/>
      <x:c r="BQ23" s="174"/>
      <x:c r="BR23" s="174"/>
      <x:c r="BS23" s="174"/>
      <x:c r="BT23" s="174"/>
      <x:c r="BU23" s="174"/>
      <x:c r="BV23" s="174"/>
      <x:c r="BW23" s="174"/>
      <x:c r="BX23" s="174"/>
      <x:c r="BY23" s="174"/>
      <x:c r="BZ23" s="174"/>
      <x:c r="CA23" s="174"/>
      <x:c r="CB23" s="174"/>
      <x:c r="CC23" s="174"/>
      <x:c r="CD23" s="174"/>
      <x:c r="CE23" s="174"/>
      <x:c r="CF23" s="174"/>
      <x:c r="CG23" s="174"/>
      <x:c r="CH23" s="174"/>
      <x:c r="CI23" s="179"/>
      <x:c r="CJ23" s="174"/>
      <x:c r="CK23" s="174"/>
      <x:c r="CL23" s="174"/>
      <x:c r="CM23" s="174"/>
      <x:c r="CN23" s="174"/>
      <x:c r="CO23" s="177"/>
      <x:c r="CP23" s="174"/>
      <x:c r="CQ23" s="174"/>
      <x:c r="CR23" s="174"/>
      <x:c r="CS23" s="174"/>
      <x:c r="CT23" s="174"/>
      <x:c r="CU23" s="176"/>
      <x:c r="CV23" s="176"/>
      <x:c r="CW23" s="176"/>
      <x:c r="CX23" s="176"/>
      <x:c r="CY23" s="176"/>
      <x:c r="CZ23" s="176"/>
      <x:c r="DA23" s="176"/>
      <x:c r="DB23" s="175" t="str">
        <x:f>IF(L23="","",IF(COUNT(CU23:DA23)&lt;7,"",SUM(CU23:DA23)))</x:f>
      </x:c>
      <x:c r="DC23" s="180" t="str">
        <x:f>IF(DB23="","",ROUND(DB23/14*10,1))</x:f>
      </x:c>
      <x:c r="DD23" s="174"/>
      <x:c r="DE23" s="175" t="str">
        <x:f>IF(L23="","",IF(DC23="","Pending",IF(DD23="Yes","CONDITIONAL — safety override",IF(DC23&gt;=8,"HIGH",IF(DC23&gt;=5,"CONDITIONAL","LOW")))))</x:f>
      </x:c>
      <x:c r="DF23" s="174"/>
      <x:c r="DG23" s="174"/>
      <x:c r="DH23" s="174"/>
      <x:c r="DI23" s="174"/>
      <x:c r="DJ23" s="174"/>
      <x:c r="DK23" s="174"/>
      <x:c r="DL23" s="174"/>
      <x:c r="DM23" s="174"/>
      <x:c r="DN23" s="174"/>
      <x:c r="DO23" s="174"/>
      <x:c r="DP23" s="174"/>
      <x:c r="DQ23" s="174"/>
      <x:c r="DR23" s="174"/>
      <x:c r="DS23" s="174"/>
      <x:c r="DT23" s="174"/>
      <x:c r="DU23" s="174"/>
      <x:c r="DV23" s="174"/>
      <x:c r="DW23" s="174"/>
      <x:c r="DX23" s="174"/>
      <x:c r="DY23" s="174"/>
      <x:c r="DZ23" s="174"/>
      <x:c r="EA23" s="174"/>
      <x:c r="EB23" s="175" t="str">
        <x:f>IF(L23="","",IF(AND(F23="Claim-ready",CJ23="Yes",CL23="Yes",DZ23&lt;&gt;""),"Yes","No / Pending"))</x:f>
      </x:c>
      <x:c r="EC23" s="174"/>
      <x:c r="ED23" s="174"/>
      <x:c r="EE23" s="174"/>
      <x:c r="EF23" s="174"/>
      <x:c r="EG23" s="174"/>
      <x:c r="EH23" s="177"/>
      <x:c r="EI23" s="174"/>
      <x:c r="EJ23" s="174"/>
      <x:c r="EK23" s="174"/>
      <x:c r="EL23" s="177"/>
      <x:c r="EM23" s="174"/>
      <x:c r="EN23" s="181" t="str">
        <x:f>IF(L23="","",(IF(N23&lt;&gt;"",1,0)+IF(O23&lt;&gt;"",1,0)+IF(AJ23&lt;&gt;"",1,0)+IF(AU23&lt;&gt;"",1,0)+IF(BE23&lt;&gt;"",1,0)+IF(CF23&lt;&gt;"",1,0)+IF(CJ23="Yes",1,0)+IF(CL23="Yes",1,0)+IF(DE23&lt;&gt;"Pending",1,0)+IF(F23&lt;&gt;"",1,0)+IF(DZ23&lt;&gt;"",1,0)+IF(EI23&lt;&gt;"",1,0))/12)</x:f>
      </x:c>
    </x:row>
    <x:row r="24">
      <x:c r="A24" s="175" t="str">
        <x:f>IF(L24="","","EV-"&amp;TEXT(ROW()-3,"0000"))</x:f>
      </x:c>
      <x:c r="B24" s="174"/>
      <x:c r="C24" s="175" t="str">
        <x:f>IF(L24="","",IF(OR(CM24="Retracted",CN24="Retracted",F24="Not used"),"🔴 Do not use for conclusion",IF(OR(R24="Official / Institutional",I24="Official / contextual"),"🔵 Official / contextual",IF(OR(I24="Definition",I24="Framework",I24="Paradigm shift"),"🟣 Conceptual key source",IF(AND(CJ24="Yes",CL24="Yes",OR(CG24="High",CG24="Moderate"),CH24&lt;&gt;"High",CH24&lt;&gt;"Critical",F24="Claim-ready"),"🟢 Claim-ready","🟡 Caution / context")))))</x:f>
      </x:c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6"/>
      <x:c r="P24" s="174"/>
      <x:c r="Q24" s="174"/>
      <x:c r="R24" s="174"/>
      <x:c r="S24" s="174"/>
      <x:c r="T24" s="174"/>
      <x:c r="U24" s="174"/>
      <x:c r="V24" s="174"/>
      <x:c r="W24" s="175" t="str">
        <x:f>IF(V24="","",LOWER(SUBSTITUTE(SUBSTITUTE(SUBSTITUTE(SUBSTITUTE(TRIM(V24),"https://doi.org/",""),"http://doi.org/",""),"https://dx.doi.org/",""),"doi:","")))</x:f>
      </x:c>
      <x:c r="X24" s="174"/>
      <x:c r="Y24" s="174"/>
      <x:c r="Z24" s="174"/>
      <x:c r="AA24" s="174"/>
      <x:c r="AB24" s="174"/>
      <x:c r="AC24" s="174"/>
      <x:c r="AD24" s="177"/>
      <x:c r="AE24" s="177"/>
      <x:c r="AF24" s="174"/>
      <x:c r="AG24" s="174"/>
      <x:c r="AH24" s="174"/>
      <x:c r="AI24" s="174"/>
      <x:c r="AJ24" s="174"/>
      <x:c r="AK24" s="175" t="str">
        <x:f>IF(AJ24="","",IF(OR(LOWER(AJ24)="brazil",LOWER(AJ24)="brasil"),"Yes","No"))</x:f>
      </x:c>
      <x:c r="AL24" s="174"/>
      <x:c r="AM24" s="174"/>
      <x:c r="AN24" s="174"/>
      <x:c r="AO24" s="178"/>
      <x:c r="AP24" s="174"/>
      <x:c r="AQ24" s="174"/>
      <x:c r="AR24" s="174"/>
      <x:c r="AS24" s="174"/>
      <x:c r="AT24" s="174"/>
      <x:c r="AU24" s="174"/>
      <x:c r="AV24" s="174"/>
      <x:c r="AW24" s="174"/>
      <x:c r="AX24" s="174"/>
      <x:c r="AY24" s="174"/>
      <x:c r="AZ24" s="174"/>
      <x:c r="BA24" s="174"/>
      <x:c r="BB24" s="174"/>
      <x:c r="BC24" s="174"/>
      <x:c r="BD24" s="174"/>
      <x:c r="BE24" s="174"/>
      <x:c r="BF24" s="174"/>
      <x:c r="BG24" s="174"/>
      <x:c r="BH24" s="174"/>
      <x:c r="BI24" s="174"/>
      <x:c r="BJ24" s="174"/>
      <x:c r="BK24" s="174"/>
      <x:c r="BL24" s="174"/>
      <x:c r="BM24" s="174"/>
      <x:c r="BN24" s="174"/>
      <x:c r="BO24" s="174"/>
      <x:c r="BP24" s="174"/>
      <x:c r="BQ24" s="174"/>
      <x:c r="BR24" s="174"/>
      <x:c r="BS24" s="174"/>
      <x:c r="BT24" s="174"/>
      <x:c r="BU24" s="174"/>
      <x:c r="BV24" s="174"/>
      <x:c r="BW24" s="174"/>
      <x:c r="BX24" s="174"/>
      <x:c r="BY24" s="174"/>
      <x:c r="BZ24" s="174"/>
      <x:c r="CA24" s="174"/>
      <x:c r="CB24" s="174"/>
      <x:c r="CC24" s="174"/>
      <x:c r="CD24" s="174"/>
      <x:c r="CE24" s="174"/>
      <x:c r="CF24" s="174"/>
      <x:c r="CG24" s="174"/>
      <x:c r="CH24" s="174"/>
      <x:c r="CI24" s="179"/>
      <x:c r="CJ24" s="174"/>
      <x:c r="CK24" s="174"/>
      <x:c r="CL24" s="174"/>
      <x:c r="CM24" s="174"/>
      <x:c r="CN24" s="174"/>
      <x:c r="CO24" s="177"/>
      <x:c r="CP24" s="174"/>
      <x:c r="CQ24" s="174"/>
      <x:c r="CR24" s="174"/>
      <x:c r="CS24" s="174"/>
      <x:c r="CT24" s="174"/>
      <x:c r="CU24" s="176"/>
      <x:c r="CV24" s="176"/>
      <x:c r="CW24" s="176"/>
      <x:c r="CX24" s="176"/>
      <x:c r="CY24" s="176"/>
      <x:c r="CZ24" s="176"/>
      <x:c r="DA24" s="176"/>
      <x:c r="DB24" s="175" t="str">
        <x:f>IF(L24="","",IF(COUNT(CU24:DA24)&lt;7,"",SUM(CU24:DA24)))</x:f>
      </x:c>
      <x:c r="DC24" s="180" t="str">
        <x:f>IF(DB24="","",ROUND(DB24/14*10,1))</x:f>
      </x:c>
      <x:c r="DD24" s="174"/>
      <x:c r="DE24" s="175" t="str">
        <x:f>IF(L24="","",IF(DC24="","Pending",IF(DD24="Yes","CONDITIONAL — safety override",IF(DC24&gt;=8,"HIGH",IF(DC24&gt;=5,"CONDITIONAL","LOW")))))</x:f>
      </x:c>
      <x:c r="DF24" s="174"/>
      <x:c r="DG24" s="174"/>
      <x:c r="DH24" s="174"/>
      <x:c r="DI24" s="174"/>
      <x:c r="DJ24" s="174"/>
      <x:c r="DK24" s="174"/>
      <x:c r="DL24" s="174"/>
      <x:c r="DM24" s="174"/>
      <x:c r="DN24" s="174"/>
      <x:c r="DO24" s="174"/>
      <x:c r="DP24" s="174"/>
      <x:c r="DQ24" s="174"/>
      <x:c r="DR24" s="174"/>
      <x:c r="DS24" s="174"/>
      <x:c r="DT24" s="174"/>
      <x:c r="DU24" s="174"/>
      <x:c r="DV24" s="174"/>
      <x:c r="DW24" s="174"/>
      <x:c r="DX24" s="174"/>
      <x:c r="DY24" s="174"/>
      <x:c r="DZ24" s="174"/>
      <x:c r="EA24" s="174"/>
      <x:c r="EB24" s="175" t="str">
        <x:f>IF(L24="","",IF(AND(F24="Claim-ready",CJ24="Yes",CL24="Yes",DZ24&lt;&gt;""),"Yes","No / Pending"))</x:f>
      </x:c>
      <x:c r="EC24" s="174"/>
      <x:c r="ED24" s="174"/>
      <x:c r="EE24" s="174"/>
      <x:c r="EF24" s="174"/>
      <x:c r="EG24" s="174"/>
      <x:c r="EH24" s="177"/>
      <x:c r="EI24" s="174"/>
      <x:c r="EJ24" s="174"/>
      <x:c r="EK24" s="174"/>
      <x:c r="EL24" s="177"/>
      <x:c r="EM24" s="174"/>
      <x:c r="EN24" s="181" t="str">
        <x:f>IF(L24="","",(IF(N24&lt;&gt;"",1,0)+IF(O24&lt;&gt;"",1,0)+IF(AJ24&lt;&gt;"",1,0)+IF(AU24&lt;&gt;"",1,0)+IF(BE24&lt;&gt;"",1,0)+IF(CF24&lt;&gt;"",1,0)+IF(CJ24="Yes",1,0)+IF(CL24="Yes",1,0)+IF(DE24&lt;&gt;"Pending",1,0)+IF(F24&lt;&gt;"",1,0)+IF(DZ24&lt;&gt;"",1,0)+IF(EI24&lt;&gt;"",1,0))/12)</x:f>
      </x:c>
    </x:row>
    <x:row r="25">
      <x:c r="A25" s="175" t="str">
        <x:f>IF(L25="","","EV-"&amp;TEXT(ROW()-3,"0000"))</x:f>
      </x:c>
      <x:c r="B25" s="174"/>
      <x:c r="C25" s="175" t="str">
        <x:f>IF(L25="","",IF(OR(CM25="Retracted",CN25="Retracted",F25="Not used"),"🔴 Do not use for conclusion",IF(OR(R25="Official / Institutional",I25="Official / contextual"),"🔵 Official / contextual",IF(OR(I25="Definition",I25="Framework",I25="Paradigm shift"),"🟣 Conceptual key source",IF(AND(CJ25="Yes",CL25="Yes",OR(CG25="High",CG25="Moderate"),CH25&lt;&gt;"High",CH25&lt;&gt;"Critical",F25="Claim-ready"),"🟢 Claim-ready","🟡 Caution / context")))))</x:f>
      </x:c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6"/>
      <x:c r="P25" s="174"/>
      <x:c r="Q25" s="174"/>
      <x:c r="R25" s="174"/>
      <x:c r="S25" s="174"/>
      <x:c r="T25" s="174"/>
      <x:c r="U25" s="174"/>
      <x:c r="V25" s="174"/>
      <x:c r="W25" s="175" t="str">
        <x:f>IF(V25="","",LOWER(SUBSTITUTE(SUBSTITUTE(SUBSTITUTE(SUBSTITUTE(TRIM(V25),"https://doi.org/",""),"http://doi.org/",""),"https://dx.doi.org/",""),"doi:","")))</x:f>
      </x:c>
      <x:c r="X25" s="174"/>
      <x:c r="Y25" s="174"/>
      <x:c r="Z25" s="174"/>
      <x:c r="AA25" s="174"/>
      <x:c r="AB25" s="174"/>
      <x:c r="AC25" s="174"/>
      <x:c r="AD25" s="177"/>
      <x:c r="AE25" s="177"/>
      <x:c r="AF25" s="174"/>
      <x:c r="AG25" s="174"/>
      <x:c r="AH25" s="174"/>
      <x:c r="AI25" s="174"/>
      <x:c r="AJ25" s="174"/>
      <x:c r="AK25" s="175" t="str">
        <x:f>IF(AJ25="","",IF(OR(LOWER(AJ25)="brazil",LOWER(AJ25)="brasil"),"Yes","No"))</x:f>
      </x:c>
      <x:c r="AL25" s="174"/>
      <x:c r="AM25" s="174"/>
      <x:c r="AN25" s="174"/>
      <x:c r="AO25" s="178"/>
      <x:c r="AP25" s="174"/>
      <x:c r="AQ25" s="174"/>
      <x:c r="AR25" s="174"/>
      <x:c r="AS25" s="174"/>
      <x:c r="AT25" s="174"/>
      <x:c r="AU25" s="174"/>
      <x:c r="AV25" s="174"/>
      <x:c r="AW25" s="174"/>
      <x:c r="AX25" s="174"/>
      <x:c r="AY25" s="174"/>
      <x:c r="AZ25" s="174"/>
      <x:c r="BA25" s="174"/>
      <x:c r="BB25" s="174"/>
      <x:c r="BC25" s="174"/>
      <x:c r="BD25" s="174"/>
      <x:c r="BE25" s="174"/>
      <x:c r="BF25" s="174"/>
      <x:c r="BG25" s="174"/>
      <x:c r="BH25" s="174"/>
      <x:c r="BI25" s="174"/>
      <x:c r="BJ25" s="174"/>
      <x:c r="BK25" s="174"/>
      <x:c r="BL25" s="174"/>
      <x:c r="BM25" s="174"/>
      <x:c r="BN25" s="174"/>
      <x:c r="BO25" s="174"/>
      <x:c r="BP25" s="174"/>
      <x:c r="BQ25" s="174"/>
      <x:c r="BR25" s="174"/>
      <x:c r="BS25" s="174"/>
      <x:c r="BT25" s="174"/>
      <x:c r="BU25" s="174"/>
      <x:c r="BV25" s="174"/>
      <x:c r="BW25" s="174"/>
      <x:c r="BX25" s="174"/>
      <x:c r="BY25" s="174"/>
      <x:c r="BZ25" s="174"/>
      <x:c r="CA25" s="174"/>
      <x:c r="CB25" s="174"/>
      <x:c r="CC25" s="174"/>
      <x:c r="CD25" s="174"/>
      <x:c r="CE25" s="174"/>
      <x:c r="CF25" s="174"/>
      <x:c r="CG25" s="174"/>
      <x:c r="CH25" s="174"/>
      <x:c r="CI25" s="179"/>
      <x:c r="CJ25" s="174"/>
      <x:c r="CK25" s="174"/>
      <x:c r="CL25" s="174"/>
      <x:c r="CM25" s="174"/>
      <x:c r="CN25" s="174"/>
      <x:c r="CO25" s="177"/>
      <x:c r="CP25" s="174"/>
      <x:c r="CQ25" s="174"/>
      <x:c r="CR25" s="174"/>
      <x:c r="CS25" s="174"/>
      <x:c r="CT25" s="174"/>
      <x:c r="CU25" s="176"/>
      <x:c r="CV25" s="176"/>
      <x:c r="CW25" s="176"/>
      <x:c r="CX25" s="176"/>
      <x:c r="CY25" s="176"/>
      <x:c r="CZ25" s="176"/>
      <x:c r="DA25" s="176"/>
      <x:c r="DB25" s="175" t="str">
        <x:f>IF(L25="","",IF(COUNT(CU25:DA25)&lt;7,"",SUM(CU25:DA25)))</x:f>
      </x:c>
      <x:c r="DC25" s="180" t="str">
        <x:f>IF(DB25="","",ROUND(DB25/14*10,1))</x:f>
      </x:c>
      <x:c r="DD25" s="174"/>
      <x:c r="DE25" s="175" t="str">
        <x:f>IF(L25="","",IF(DC25="","Pending",IF(DD25="Yes","CONDITIONAL — safety override",IF(DC25&gt;=8,"HIGH",IF(DC25&gt;=5,"CONDITIONAL","LOW")))))</x:f>
      </x:c>
      <x:c r="DF25" s="174"/>
      <x:c r="DG25" s="174"/>
      <x:c r="DH25" s="174"/>
      <x:c r="DI25" s="174"/>
      <x:c r="DJ25" s="174"/>
      <x:c r="DK25" s="174"/>
      <x:c r="DL25" s="174"/>
      <x:c r="DM25" s="174"/>
      <x:c r="DN25" s="174"/>
      <x:c r="DO25" s="174"/>
      <x:c r="DP25" s="174"/>
      <x:c r="DQ25" s="174"/>
      <x:c r="DR25" s="174"/>
      <x:c r="DS25" s="174"/>
      <x:c r="DT25" s="174"/>
      <x:c r="DU25" s="174"/>
      <x:c r="DV25" s="174"/>
      <x:c r="DW25" s="174"/>
      <x:c r="DX25" s="174"/>
      <x:c r="DY25" s="174"/>
      <x:c r="DZ25" s="174"/>
      <x:c r="EA25" s="174"/>
      <x:c r="EB25" s="175" t="str">
        <x:f>IF(L25="","",IF(AND(F25="Claim-ready",CJ25="Yes",CL25="Yes",DZ25&lt;&gt;""),"Yes","No / Pending"))</x:f>
      </x:c>
      <x:c r="EC25" s="174"/>
      <x:c r="ED25" s="174"/>
      <x:c r="EE25" s="174"/>
      <x:c r="EF25" s="174"/>
      <x:c r="EG25" s="174"/>
      <x:c r="EH25" s="177"/>
      <x:c r="EI25" s="174"/>
      <x:c r="EJ25" s="174"/>
      <x:c r="EK25" s="174"/>
      <x:c r="EL25" s="177"/>
      <x:c r="EM25" s="174"/>
      <x:c r="EN25" s="181" t="str">
        <x:f>IF(L25="","",(IF(N25&lt;&gt;"",1,0)+IF(O25&lt;&gt;"",1,0)+IF(AJ25&lt;&gt;"",1,0)+IF(AU25&lt;&gt;"",1,0)+IF(BE25&lt;&gt;"",1,0)+IF(CF25&lt;&gt;"",1,0)+IF(CJ25="Yes",1,0)+IF(CL25="Yes",1,0)+IF(DE25&lt;&gt;"Pending",1,0)+IF(F25&lt;&gt;"",1,0)+IF(DZ25&lt;&gt;"",1,0)+IF(EI25&lt;&gt;"",1,0))/12)</x:f>
      </x:c>
    </x:row>
    <x:row r="26">
      <x:c r="A26" s="175" t="str">
        <x:f>IF(L26="","","EV-"&amp;TEXT(ROW()-3,"0000"))</x:f>
      </x:c>
      <x:c r="B26" s="174"/>
      <x:c r="C26" s="175" t="str">
        <x:f>IF(L26="","",IF(OR(CM26="Retracted",CN26="Retracted",F26="Not used"),"🔴 Do not use for conclusion",IF(OR(R26="Official / Institutional",I26="Official / contextual"),"🔵 Official / contextual",IF(OR(I26="Definition",I26="Framework",I26="Paradigm shift"),"🟣 Conceptual key source",IF(AND(CJ26="Yes",CL26="Yes",OR(CG26="High",CG26="Moderate"),CH26&lt;&gt;"High",CH26&lt;&gt;"Critical",F26="Claim-ready"),"🟢 Claim-ready","🟡 Caution / context")))))</x:f>
      </x:c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6"/>
      <x:c r="P26" s="174"/>
      <x:c r="Q26" s="174"/>
      <x:c r="R26" s="174"/>
      <x:c r="S26" s="174"/>
      <x:c r="T26" s="174"/>
      <x:c r="U26" s="174"/>
      <x:c r="V26" s="174"/>
      <x:c r="W26" s="175" t="str">
        <x:f>IF(V26="","",LOWER(SUBSTITUTE(SUBSTITUTE(SUBSTITUTE(SUBSTITUTE(TRIM(V26),"https://doi.org/",""),"http://doi.org/",""),"https://dx.doi.org/",""),"doi:","")))</x:f>
      </x:c>
      <x:c r="X26" s="174"/>
      <x:c r="Y26" s="174"/>
      <x:c r="Z26" s="174"/>
      <x:c r="AA26" s="174"/>
      <x:c r="AB26" s="174"/>
      <x:c r="AC26" s="174"/>
      <x:c r="AD26" s="177"/>
      <x:c r="AE26" s="177"/>
      <x:c r="AF26" s="174"/>
      <x:c r="AG26" s="174"/>
      <x:c r="AH26" s="174"/>
      <x:c r="AI26" s="174"/>
      <x:c r="AJ26" s="174"/>
      <x:c r="AK26" s="175" t="str">
        <x:f>IF(AJ26="","",IF(OR(LOWER(AJ26)="brazil",LOWER(AJ26)="brasil"),"Yes","No"))</x:f>
      </x:c>
      <x:c r="AL26" s="174"/>
      <x:c r="AM26" s="174"/>
      <x:c r="AN26" s="174"/>
      <x:c r="AO26" s="178"/>
      <x:c r="AP26" s="174"/>
      <x:c r="AQ26" s="174"/>
      <x:c r="AR26" s="174"/>
      <x:c r="AS26" s="174"/>
      <x:c r="AT26" s="174"/>
      <x:c r="AU26" s="174"/>
      <x:c r="AV26" s="174"/>
      <x:c r="AW26" s="174"/>
      <x:c r="AX26" s="174"/>
      <x:c r="AY26" s="174"/>
      <x:c r="AZ26" s="174"/>
      <x:c r="BA26" s="174"/>
      <x:c r="BB26" s="174"/>
      <x:c r="BC26" s="174"/>
      <x:c r="BD26" s="174"/>
      <x:c r="BE26" s="174"/>
      <x:c r="BF26" s="174"/>
      <x:c r="BG26" s="174"/>
      <x:c r="BH26" s="174"/>
      <x:c r="BI26" s="174"/>
      <x:c r="BJ26" s="174"/>
      <x:c r="BK26" s="174"/>
      <x:c r="BL26" s="174"/>
      <x:c r="BM26" s="174"/>
      <x:c r="BN26" s="174"/>
      <x:c r="BO26" s="174"/>
      <x:c r="BP26" s="174"/>
      <x:c r="BQ26" s="174"/>
      <x:c r="BR26" s="174"/>
      <x:c r="BS26" s="174"/>
      <x:c r="BT26" s="174"/>
      <x:c r="BU26" s="174"/>
      <x:c r="BV26" s="174"/>
      <x:c r="BW26" s="174"/>
      <x:c r="BX26" s="174"/>
      <x:c r="BY26" s="174"/>
      <x:c r="BZ26" s="174"/>
      <x:c r="CA26" s="174"/>
      <x:c r="CB26" s="174"/>
      <x:c r="CC26" s="174"/>
      <x:c r="CD26" s="174"/>
      <x:c r="CE26" s="174"/>
      <x:c r="CF26" s="174"/>
      <x:c r="CG26" s="174"/>
      <x:c r="CH26" s="174"/>
      <x:c r="CI26" s="179"/>
      <x:c r="CJ26" s="174"/>
      <x:c r="CK26" s="174"/>
      <x:c r="CL26" s="174"/>
      <x:c r="CM26" s="174"/>
      <x:c r="CN26" s="174"/>
      <x:c r="CO26" s="177"/>
      <x:c r="CP26" s="174"/>
      <x:c r="CQ26" s="174"/>
      <x:c r="CR26" s="174"/>
      <x:c r="CS26" s="174"/>
      <x:c r="CT26" s="174"/>
      <x:c r="CU26" s="176"/>
      <x:c r="CV26" s="176"/>
      <x:c r="CW26" s="176"/>
      <x:c r="CX26" s="176"/>
      <x:c r="CY26" s="176"/>
      <x:c r="CZ26" s="176"/>
      <x:c r="DA26" s="176"/>
      <x:c r="DB26" s="175" t="str">
        <x:f>IF(L26="","",IF(COUNT(CU26:DA26)&lt;7,"",SUM(CU26:DA26)))</x:f>
      </x:c>
      <x:c r="DC26" s="180" t="str">
        <x:f>IF(DB26="","",ROUND(DB26/14*10,1))</x:f>
      </x:c>
      <x:c r="DD26" s="174"/>
      <x:c r="DE26" s="175" t="str">
        <x:f>IF(L26="","",IF(DC26="","Pending",IF(DD26="Yes","CONDITIONAL — safety override",IF(DC26&gt;=8,"HIGH",IF(DC26&gt;=5,"CONDITIONAL","LOW")))))</x:f>
      </x:c>
      <x:c r="DF26" s="174"/>
      <x:c r="DG26" s="174"/>
      <x:c r="DH26" s="174"/>
      <x:c r="DI26" s="174"/>
      <x:c r="DJ26" s="174"/>
      <x:c r="DK26" s="174"/>
      <x:c r="DL26" s="174"/>
      <x:c r="DM26" s="174"/>
      <x:c r="DN26" s="174"/>
      <x:c r="DO26" s="174"/>
      <x:c r="DP26" s="174"/>
      <x:c r="DQ26" s="174"/>
      <x:c r="DR26" s="174"/>
      <x:c r="DS26" s="174"/>
      <x:c r="DT26" s="174"/>
      <x:c r="DU26" s="174"/>
      <x:c r="DV26" s="174"/>
      <x:c r="DW26" s="174"/>
      <x:c r="DX26" s="174"/>
      <x:c r="DY26" s="174"/>
      <x:c r="DZ26" s="174"/>
      <x:c r="EA26" s="174"/>
      <x:c r="EB26" s="175" t="str">
        <x:f>IF(L26="","",IF(AND(F26="Claim-ready",CJ26="Yes",CL26="Yes",DZ26&lt;&gt;""),"Yes","No / Pending"))</x:f>
      </x:c>
      <x:c r="EC26" s="174"/>
      <x:c r="ED26" s="174"/>
      <x:c r="EE26" s="174"/>
      <x:c r="EF26" s="174"/>
      <x:c r="EG26" s="174"/>
      <x:c r="EH26" s="177"/>
      <x:c r="EI26" s="174"/>
      <x:c r="EJ26" s="174"/>
      <x:c r="EK26" s="174"/>
      <x:c r="EL26" s="177"/>
      <x:c r="EM26" s="174"/>
      <x:c r="EN26" s="181" t="str">
        <x:f>IF(L26="","",(IF(N26&lt;&gt;"",1,0)+IF(O26&lt;&gt;"",1,0)+IF(AJ26&lt;&gt;"",1,0)+IF(AU26&lt;&gt;"",1,0)+IF(BE26&lt;&gt;"",1,0)+IF(CF26&lt;&gt;"",1,0)+IF(CJ26="Yes",1,0)+IF(CL26="Yes",1,0)+IF(DE26&lt;&gt;"Pending",1,0)+IF(F26&lt;&gt;"",1,0)+IF(DZ26&lt;&gt;"",1,0)+IF(EI26&lt;&gt;"",1,0))/12)</x:f>
      </x:c>
    </x:row>
    <x:row r="27">
      <x:c r="A27" s="175" t="str">
        <x:f>IF(L27="","","EV-"&amp;TEXT(ROW()-3,"0000"))</x:f>
      </x:c>
      <x:c r="B27" s="174"/>
      <x:c r="C27" s="175" t="str">
        <x:f>IF(L27="","",IF(OR(CM27="Retracted",CN27="Retracted",F27="Not used"),"🔴 Do not use for conclusion",IF(OR(R27="Official / Institutional",I27="Official / contextual"),"🔵 Official / contextual",IF(OR(I27="Definition",I27="Framework",I27="Paradigm shift"),"🟣 Conceptual key source",IF(AND(CJ27="Yes",CL27="Yes",OR(CG27="High",CG27="Moderate"),CH27&lt;&gt;"High",CH27&lt;&gt;"Critical",F27="Claim-ready"),"🟢 Claim-ready","🟡 Caution / context")))))</x:f>
      </x:c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6"/>
      <x:c r="P27" s="174"/>
      <x:c r="Q27" s="174"/>
      <x:c r="R27" s="174"/>
      <x:c r="S27" s="174"/>
      <x:c r="T27" s="174"/>
      <x:c r="U27" s="174"/>
      <x:c r="V27" s="174"/>
      <x:c r="W27" s="175" t="str">
        <x:f>IF(V27="","",LOWER(SUBSTITUTE(SUBSTITUTE(SUBSTITUTE(SUBSTITUTE(TRIM(V27),"https://doi.org/",""),"http://doi.org/",""),"https://dx.doi.org/",""),"doi:","")))</x:f>
      </x:c>
      <x:c r="X27" s="174"/>
      <x:c r="Y27" s="174"/>
      <x:c r="Z27" s="174"/>
      <x:c r="AA27" s="174"/>
      <x:c r="AB27" s="174"/>
      <x:c r="AC27" s="174"/>
      <x:c r="AD27" s="177"/>
      <x:c r="AE27" s="177"/>
      <x:c r="AF27" s="174"/>
      <x:c r="AG27" s="174"/>
      <x:c r="AH27" s="174"/>
      <x:c r="AI27" s="174"/>
      <x:c r="AJ27" s="174"/>
      <x:c r="AK27" s="175" t="str">
        <x:f>IF(AJ27="","",IF(OR(LOWER(AJ27)="brazil",LOWER(AJ27)="brasil"),"Yes","No"))</x:f>
      </x:c>
      <x:c r="AL27" s="174"/>
      <x:c r="AM27" s="174"/>
      <x:c r="AN27" s="174"/>
      <x:c r="AO27" s="178"/>
      <x:c r="AP27" s="174"/>
      <x:c r="AQ27" s="174"/>
      <x:c r="AR27" s="174"/>
      <x:c r="AS27" s="174"/>
      <x:c r="AT27" s="174"/>
      <x:c r="AU27" s="174"/>
      <x:c r="AV27" s="174"/>
      <x:c r="AW27" s="174"/>
      <x:c r="AX27" s="174"/>
      <x:c r="AY27" s="174"/>
      <x:c r="AZ27" s="174"/>
      <x:c r="BA27" s="174"/>
      <x:c r="BB27" s="174"/>
      <x:c r="BC27" s="174"/>
      <x:c r="BD27" s="174"/>
      <x:c r="BE27" s="174"/>
      <x:c r="BF27" s="174"/>
      <x:c r="BG27" s="174"/>
      <x:c r="BH27" s="174"/>
      <x:c r="BI27" s="174"/>
      <x:c r="BJ27" s="174"/>
      <x:c r="BK27" s="174"/>
      <x:c r="BL27" s="174"/>
      <x:c r="BM27" s="174"/>
      <x:c r="BN27" s="174"/>
      <x:c r="BO27" s="174"/>
      <x:c r="BP27" s="174"/>
      <x:c r="BQ27" s="174"/>
      <x:c r="BR27" s="174"/>
      <x:c r="BS27" s="174"/>
      <x:c r="BT27" s="174"/>
      <x:c r="BU27" s="174"/>
      <x:c r="BV27" s="174"/>
      <x:c r="BW27" s="174"/>
      <x:c r="BX27" s="174"/>
      <x:c r="BY27" s="174"/>
      <x:c r="BZ27" s="174"/>
      <x:c r="CA27" s="174"/>
      <x:c r="CB27" s="174"/>
      <x:c r="CC27" s="174"/>
      <x:c r="CD27" s="174"/>
      <x:c r="CE27" s="174"/>
      <x:c r="CF27" s="174"/>
      <x:c r="CG27" s="174"/>
      <x:c r="CH27" s="174"/>
      <x:c r="CI27" s="179"/>
      <x:c r="CJ27" s="174"/>
      <x:c r="CK27" s="174"/>
      <x:c r="CL27" s="174"/>
      <x:c r="CM27" s="174"/>
      <x:c r="CN27" s="174"/>
      <x:c r="CO27" s="177"/>
      <x:c r="CP27" s="174"/>
      <x:c r="CQ27" s="174"/>
      <x:c r="CR27" s="174"/>
      <x:c r="CS27" s="174"/>
      <x:c r="CT27" s="174"/>
      <x:c r="CU27" s="176"/>
      <x:c r="CV27" s="176"/>
      <x:c r="CW27" s="176"/>
      <x:c r="CX27" s="176"/>
      <x:c r="CY27" s="176"/>
      <x:c r="CZ27" s="176"/>
      <x:c r="DA27" s="176"/>
      <x:c r="DB27" s="175" t="str">
        <x:f>IF(L27="","",IF(COUNT(CU27:DA27)&lt;7,"",SUM(CU27:DA27)))</x:f>
      </x:c>
      <x:c r="DC27" s="180" t="str">
        <x:f>IF(DB27="","",ROUND(DB27/14*10,1))</x:f>
      </x:c>
      <x:c r="DD27" s="174"/>
      <x:c r="DE27" s="175" t="str">
        <x:f>IF(L27="","",IF(DC27="","Pending",IF(DD27="Yes","CONDITIONAL — safety override",IF(DC27&gt;=8,"HIGH",IF(DC27&gt;=5,"CONDITIONAL","LOW")))))</x:f>
      </x:c>
      <x:c r="DF27" s="174"/>
      <x:c r="DG27" s="174"/>
      <x:c r="DH27" s="174"/>
      <x:c r="DI27" s="174"/>
      <x:c r="DJ27" s="174"/>
      <x:c r="DK27" s="174"/>
      <x:c r="DL27" s="174"/>
      <x:c r="DM27" s="174"/>
      <x:c r="DN27" s="174"/>
      <x:c r="DO27" s="174"/>
      <x:c r="DP27" s="174"/>
      <x:c r="DQ27" s="174"/>
      <x:c r="DR27" s="174"/>
      <x:c r="DS27" s="174"/>
      <x:c r="DT27" s="174"/>
      <x:c r="DU27" s="174"/>
      <x:c r="DV27" s="174"/>
      <x:c r="DW27" s="174"/>
      <x:c r="DX27" s="174"/>
      <x:c r="DY27" s="174"/>
      <x:c r="DZ27" s="174"/>
      <x:c r="EA27" s="174"/>
      <x:c r="EB27" s="175" t="str">
        <x:f>IF(L27="","",IF(AND(F27="Claim-ready",CJ27="Yes",CL27="Yes",DZ27&lt;&gt;""),"Yes","No / Pending"))</x:f>
      </x:c>
      <x:c r="EC27" s="174"/>
      <x:c r="ED27" s="174"/>
      <x:c r="EE27" s="174"/>
      <x:c r="EF27" s="174"/>
      <x:c r="EG27" s="174"/>
      <x:c r="EH27" s="177"/>
      <x:c r="EI27" s="174"/>
      <x:c r="EJ27" s="174"/>
      <x:c r="EK27" s="174"/>
      <x:c r="EL27" s="177"/>
      <x:c r="EM27" s="174"/>
      <x:c r="EN27" s="181" t="str">
        <x:f>IF(L27="","",(IF(N27&lt;&gt;"",1,0)+IF(O27&lt;&gt;"",1,0)+IF(AJ27&lt;&gt;"",1,0)+IF(AU27&lt;&gt;"",1,0)+IF(BE27&lt;&gt;"",1,0)+IF(CF27&lt;&gt;"",1,0)+IF(CJ27="Yes",1,0)+IF(CL27="Yes",1,0)+IF(DE27&lt;&gt;"Pending",1,0)+IF(F27&lt;&gt;"",1,0)+IF(DZ27&lt;&gt;"",1,0)+IF(EI27&lt;&gt;"",1,0))/12)</x:f>
      </x:c>
    </x:row>
    <x:row r="28">
      <x:c r="A28" s="175" t="str">
        <x:f>IF(L28="","","EV-"&amp;TEXT(ROW()-3,"0000"))</x:f>
      </x:c>
      <x:c r="B28" s="174"/>
      <x:c r="C28" s="175" t="str">
        <x:f>IF(L28="","",IF(OR(CM28="Retracted",CN28="Retracted",F28="Not used"),"🔴 Do not use for conclusion",IF(OR(R28="Official / Institutional",I28="Official / contextual"),"🔵 Official / contextual",IF(OR(I28="Definition",I28="Framework",I28="Paradigm shift"),"🟣 Conceptual key source",IF(AND(CJ28="Yes",CL28="Yes",OR(CG28="High",CG28="Moderate"),CH28&lt;&gt;"High",CH28&lt;&gt;"Critical",F28="Claim-ready"),"🟢 Claim-ready","🟡 Caution / context")))))</x:f>
      </x:c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6"/>
      <x:c r="P28" s="174"/>
      <x:c r="Q28" s="174"/>
      <x:c r="R28" s="174"/>
      <x:c r="S28" s="174"/>
      <x:c r="T28" s="174"/>
      <x:c r="U28" s="174"/>
      <x:c r="V28" s="174"/>
      <x:c r="W28" s="175" t="str">
        <x:f>IF(V28="","",LOWER(SUBSTITUTE(SUBSTITUTE(SUBSTITUTE(SUBSTITUTE(TRIM(V28),"https://doi.org/",""),"http://doi.org/",""),"https://dx.doi.org/",""),"doi:","")))</x:f>
      </x:c>
      <x:c r="X28" s="174"/>
      <x:c r="Y28" s="174"/>
      <x:c r="Z28" s="174"/>
      <x:c r="AA28" s="174"/>
      <x:c r="AB28" s="174"/>
      <x:c r="AC28" s="174"/>
      <x:c r="AD28" s="177"/>
      <x:c r="AE28" s="177"/>
      <x:c r="AF28" s="174"/>
      <x:c r="AG28" s="174"/>
      <x:c r="AH28" s="174"/>
      <x:c r="AI28" s="174"/>
      <x:c r="AJ28" s="174"/>
      <x:c r="AK28" s="175" t="str">
        <x:f>IF(AJ28="","",IF(OR(LOWER(AJ28)="brazil",LOWER(AJ28)="brasil"),"Yes","No"))</x:f>
      </x:c>
      <x:c r="AL28" s="174"/>
      <x:c r="AM28" s="174"/>
      <x:c r="AN28" s="174"/>
      <x:c r="AO28" s="178"/>
      <x:c r="AP28" s="174"/>
      <x:c r="AQ28" s="174"/>
      <x:c r="AR28" s="174"/>
      <x:c r="AS28" s="174"/>
      <x:c r="AT28" s="174"/>
      <x:c r="AU28" s="174"/>
      <x:c r="AV28" s="174"/>
      <x:c r="AW28" s="174"/>
      <x:c r="AX28" s="174"/>
      <x:c r="AY28" s="174"/>
      <x:c r="AZ28" s="174"/>
      <x:c r="BA28" s="174"/>
      <x:c r="BB28" s="174"/>
      <x:c r="BC28" s="174"/>
      <x:c r="BD28" s="174"/>
      <x:c r="BE28" s="174"/>
      <x:c r="BF28" s="174"/>
      <x:c r="BG28" s="174"/>
      <x:c r="BH28" s="174"/>
      <x:c r="BI28" s="174"/>
      <x:c r="BJ28" s="174"/>
      <x:c r="BK28" s="174"/>
      <x:c r="BL28" s="174"/>
      <x:c r="BM28" s="174"/>
      <x:c r="BN28" s="174"/>
      <x:c r="BO28" s="174"/>
      <x:c r="BP28" s="174"/>
      <x:c r="BQ28" s="174"/>
      <x:c r="BR28" s="174"/>
      <x:c r="BS28" s="174"/>
      <x:c r="BT28" s="174"/>
      <x:c r="BU28" s="174"/>
      <x:c r="BV28" s="174"/>
      <x:c r="BW28" s="174"/>
      <x:c r="BX28" s="174"/>
      <x:c r="BY28" s="174"/>
      <x:c r="BZ28" s="174"/>
      <x:c r="CA28" s="174"/>
      <x:c r="CB28" s="174"/>
      <x:c r="CC28" s="174"/>
      <x:c r="CD28" s="174"/>
      <x:c r="CE28" s="174"/>
      <x:c r="CF28" s="174"/>
      <x:c r="CG28" s="174"/>
      <x:c r="CH28" s="174"/>
      <x:c r="CI28" s="179"/>
      <x:c r="CJ28" s="174"/>
      <x:c r="CK28" s="174"/>
      <x:c r="CL28" s="174"/>
      <x:c r="CM28" s="174"/>
      <x:c r="CN28" s="174"/>
      <x:c r="CO28" s="177"/>
      <x:c r="CP28" s="174"/>
      <x:c r="CQ28" s="174"/>
      <x:c r="CR28" s="174"/>
      <x:c r="CS28" s="174"/>
      <x:c r="CT28" s="174"/>
      <x:c r="CU28" s="176"/>
      <x:c r="CV28" s="176"/>
      <x:c r="CW28" s="176"/>
      <x:c r="CX28" s="176"/>
      <x:c r="CY28" s="176"/>
      <x:c r="CZ28" s="176"/>
      <x:c r="DA28" s="176"/>
      <x:c r="DB28" s="175" t="str">
        <x:f>IF(L28="","",IF(COUNT(CU28:DA28)&lt;7,"",SUM(CU28:DA28)))</x:f>
      </x:c>
      <x:c r="DC28" s="180" t="str">
        <x:f>IF(DB28="","",ROUND(DB28/14*10,1))</x:f>
      </x:c>
      <x:c r="DD28" s="174"/>
      <x:c r="DE28" s="175" t="str">
        <x:f>IF(L28="","",IF(DC28="","Pending",IF(DD28="Yes","CONDITIONAL — safety override",IF(DC28&gt;=8,"HIGH",IF(DC28&gt;=5,"CONDITIONAL","LOW")))))</x:f>
      </x:c>
      <x:c r="DF28" s="174"/>
      <x:c r="DG28" s="174"/>
      <x:c r="DH28" s="174"/>
      <x:c r="DI28" s="174"/>
      <x:c r="DJ28" s="174"/>
      <x:c r="DK28" s="174"/>
      <x:c r="DL28" s="174"/>
      <x:c r="DM28" s="174"/>
      <x:c r="DN28" s="174"/>
      <x:c r="DO28" s="174"/>
      <x:c r="DP28" s="174"/>
      <x:c r="DQ28" s="174"/>
      <x:c r="DR28" s="174"/>
      <x:c r="DS28" s="174"/>
      <x:c r="DT28" s="174"/>
      <x:c r="DU28" s="174"/>
      <x:c r="DV28" s="174"/>
      <x:c r="DW28" s="174"/>
      <x:c r="DX28" s="174"/>
      <x:c r="DY28" s="174"/>
      <x:c r="DZ28" s="174"/>
      <x:c r="EA28" s="174"/>
      <x:c r="EB28" s="175" t="str">
        <x:f>IF(L28="","",IF(AND(F28="Claim-ready",CJ28="Yes",CL28="Yes",DZ28&lt;&gt;""),"Yes","No / Pending"))</x:f>
      </x:c>
      <x:c r="EC28" s="174"/>
      <x:c r="ED28" s="174"/>
      <x:c r="EE28" s="174"/>
      <x:c r="EF28" s="174"/>
      <x:c r="EG28" s="174"/>
      <x:c r="EH28" s="177"/>
      <x:c r="EI28" s="174"/>
      <x:c r="EJ28" s="174"/>
      <x:c r="EK28" s="174"/>
      <x:c r="EL28" s="177"/>
      <x:c r="EM28" s="174"/>
      <x:c r="EN28" s="181" t="str">
        <x:f>IF(L28="","",(IF(N28&lt;&gt;"",1,0)+IF(O28&lt;&gt;"",1,0)+IF(AJ28&lt;&gt;"",1,0)+IF(AU28&lt;&gt;"",1,0)+IF(BE28&lt;&gt;"",1,0)+IF(CF28&lt;&gt;"",1,0)+IF(CJ28="Yes",1,0)+IF(CL28="Yes",1,0)+IF(DE28&lt;&gt;"Pending",1,0)+IF(F28&lt;&gt;"",1,0)+IF(DZ28&lt;&gt;"",1,0)+IF(EI28&lt;&gt;"",1,0))/12)</x:f>
      </x:c>
    </x:row>
    <x:row r="29">
      <x:c r="A29" s="175" t="str">
        <x:f>IF(L29="","","EV-"&amp;TEXT(ROW()-3,"0000"))</x:f>
      </x:c>
      <x:c r="B29" s="174"/>
      <x:c r="C29" s="175" t="str">
        <x:f>IF(L29="","",IF(OR(CM29="Retracted",CN29="Retracted",F29="Not used"),"🔴 Do not use for conclusion",IF(OR(R29="Official / Institutional",I29="Official / contextual"),"🔵 Official / contextual",IF(OR(I29="Definition",I29="Framework",I29="Paradigm shift"),"🟣 Conceptual key source",IF(AND(CJ29="Yes",CL29="Yes",OR(CG29="High",CG29="Moderate"),CH29&lt;&gt;"High",CH29&lt;&gt;"Critical",F29="Claim-ready"),"🟢 Claim-ready","🟡 Caution / context")))))</x:f>
      </x:c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6"/>
      <x:c r="P29" s="174"/>
      <x:c r="Q29" s="174"/>
      <x:c r="R29" s="174"/>
      <x:c r="S29" s="174"/>
      <x:c r="T29" s="174"/>
      <x:c r="U29" s="174"/>
      <x:c r="V29" s="174"/>
      <x:c r="W29" s="175" t="str">
        <x:f>IF(V29="","",LOWER(SUBSTITUTE(SUBSTITUTE(SUBSTITUTE(SUBSTITUTE(TRIM(V29),"https://doi.org/",""),"http://doi.org/",""),"https://dx.doi.org/",""),"doi:","")))</x:f>
      </x:c>
      <x:c r="X29" s="174"/>
      <x:c r="Y29" s="174"/>
      <x:c r="Z29" s="174"/>
      <x:c r="AA29" s="174"/>
      <x:c r="AB29" s="174"/>
      <x:c r="AC29" s="174"/>
      <x:c r="AD29" s="177"/>
      <x:c r="AE29" s="177"/>
      <x:c r="AF29" s="174"/>
      <x:c r="AG29" s="174"/>
      <x:c r="AH29" s="174"/>
      <x:c r="AI29" s="174"/>
      <x:c r="AJ29" s="174"/>
      <x:c r="AK29" s="175" t="str">
        <x:f>IF(AJ29="","",IF(OR(LOWER(AJ29)="brazil",LOWER(AJ29)="brasil"),"Yes","No"))</x:f>
      </x:c>
      <x:c r="AL29" s="174"/>
      <x:c r="AM29" s="174"/>
      <x:c r="AN29" s="174"/>
      <x:c r="AO29" s="178"/>
      <x:c r="AP29" s="174"/>
      <x:c r="AQ29" s="174"/>
      <x:c r="AR29" s="174"/>
      <x:c r="AS29" s="174"/>
      <x:c r="AT29" s="174"/>
      <x:c r="AU29" s="174"/>
      <x:c r="AV29" s="174"/>
      <x:c r="AW29" s="174"/>
      <x:c r="AX29" s="174"/>
      <x:c r="AY29" s="174"/>
      <x:c r="AZ29" s="174"/>
      <x:c r="BA29" s="174"/>
      <x:c r="BB29" s="174"/>
      <x:c r="BC29" s="174"/>
      <x:c r="BD29" s="174"/>
      <x:c r="BE29" s="174"/>
      <x:c r="BF29" s="174"/>
      <x:c r="BG29" s="174"/>
      <x:c r="BH29" s="174"/>
      <x:c r="BI29" s="174"/>
      <x:c r="BJ29" s="174"/>
      <x:c r="BK29" s="174"/>
      <x:c r="BL29" s="174"/>
      <x:c r="BM29" s="174"/>
      <x:c r="BN29" s="174"/>
      <x:c r="BO29" s="174"/>
      <x:c r="BP29" s="174"/>
      <x:c r="BQ29" s="174"/>
      <x:c r="BR29" s="174"/>
      <x:c r="BS29" s="174"/>
      <x:c r="BT29" s="174"/>
      <x:c r="BU29" s="174"/>
      <x:c r="BV29" s="174"/>
      <x:c r="BW29" s="174"/>
      <x:c r="BX29" s="174"/>
      <x:c r="BY29" s="174"/>
      <x:c r="BZ29" s="174"/>
      <x:c r="CA29" s="174"/>
      <x:c r="CB29" s="174"/>
      <x:c r="CC29" s="174"/>
      <x:c r="CD29" s="174"/>
      <x:c r="CE29" s="174"/>
      <x:c r="CF29" s="174"/>
      <x:c r="CG29" s="174"/>
      <x:c r="CH29" s="174"/>
      <x:c r="CI29" s="179"/>
      <x:c r="CJ29" s="174"/>
      <x:c r="CK29" s="174"/>
      <x:c r="CL29" s="174"/>
      <x:c r="CM29" s="174"/>
      <x:c r="CN29" s="174"/>
      <x:c r="CO29" s="177"/>
      <x:c r="CP29" s="174"/>
      <x:c r="CQ29" s="174"/>
      <x:c r="CR29" s="174"/>
      <x:c r="CS29" s="174"/>
      <x:c r="CT29" s="174"/>
      <x:c r="CU29" s="176"/>
      <x:c r="CV29" s="176"/>
      <x:c r="CW29" s="176"/>
      <x:c r="CX29" s="176"/>
      <x:c r="CY29" s="176"/>
      <x:c r="CZ29" s="176"/>
      <x:c r="DA29" s="176"/>
      <x:c r="DB29" s="175" t="str">
        <x:f>IF(L29="","",IF(COUNT(CU29:DA29)&lt;7,"",SUM(CU29:DA29)))</x:f>
      </x:c>
      <x:c r="DC29" s="180" t="str">
        <x:f>IF(DB29="","",ROUND(DB29/14*10,1))</x:f>
      </x:c>
      <x:c r="DD29" s="174"/>
      <x:c r="DE29" s="175" t="str">
        <x:f>IF(L29="","",IF(DC29="","Pending",IF(DD29="Yes","CONDITIONAL — safety override",IF(DC29&gt;=8,"HIGH",IF(DC29&gt;=5,"CONDITIONAL","LOW")))))</x:f>
      </x:c>
      <x:c r="DF29" s="174"/>
      <x:c r="DG29" s="174"/>
      <x:c r="DH29" s="174"/>
      <x:c r="DI29" s="174"/>
      <x:c r="DJ29" s="174"/>
      <x:c r="DK29" s="174"/>
      <x:c r="DL29" s="174"/>
      <x:c r="DM29" s="174"/>
      <x:c r="DN29" s="174"/>
      <x:c r="DO29" s="174"/>
      <x:c r="DP29" s="174"/>
      <x:c r="DQ29" s="174"/>
      <x:c r="DR29" s="174"/>
      <x:c r="DS29" s="174"/>
      <x:c r="DT29" s="174"/>
      <x:c r="DU29" s="174"/>
      <x:c r="DV29" s="174"/>
      <x:c r="DW29" s="174"/>
      <x:c r="DX29" s="174"/>
      <x:c r="DY29" s="174"/>
      <x:c r="DZ29" s="174"/>
      <x:c r="EA29" s="174"/>
      <x:c r="EB29" s="175" t="str">
        <x:f>IF(L29="","",IF(AND(F29="Claim-ready",CJ29="Yes",CL29="Yes",DZ29&lt;&gt;""),"Yes","No / Pending"))</x:f>
      </x:c>
      <x:c r="EC29" s="174"/>
      <x:c r="ED29" s="174"/>
      <x:c r="EE29" s="174"/>
      <x:c r="EF29" s="174"/>
      <x:c r="EG29" s="174"/>
      <x:c r="EH29" s="177"/>
      <x:c r="EI29" s="174"/>
      <x:c r="EJ29" s="174"/>
      <x:c r="EK29" s="174"/>
      <x:c r="EL29" s="177"/>
      <x:c r="EM29" s="174"/>
      <x:c r="EN29" s="181" t="str">
        <x:f>IF(L29="","",(IF(N29&lt;&gt;"",1,0)+IF(O29&lt;&gt;"",1,0)+IF(AJ29&lt;&gt;"",1,0)+IF(AU29&lt;&gt;"",1,0)+IF(BE29&lt;&gt;"",1,0)+IF(CF29&lt;&gt;"",1,0)+IF(CJ29="Yes",1,0)+IF(CL29="Yes",1,0)+IF(DE29&lt;&gt;"Pending",1,0)+IF(F29&lt;&gt;"",1,0)+IF(DZ29&lt;&gt;"",1,0)+IF(EI29&lt;&gt;"",1,0))/12)</x:f>
      </x:c>
    </x:row>
    <x:row r="30">
      <x:c r="A30" s="175" t="str">
        <x:f>IF(L30="","","EV-"&amp;TEXT(ROW()-3,"0000"))</x:f>
      </x:c>
      <x:c r="B30" s="174"/>
      <x:c r="C30" s="175" t="str">
        <x:f>IF(L30="","",IF(OR(CM30="Retracted",CN30="Retracted",F30="Not used"),"🔴 Do not use for conclusion",IF(OR(R30="Official / Institutional",I30="Official / contextual"),"🔵 Official / contextual",IF(OR(I30="Definition",I30="Framework",I30="Paradigm shift"),"🟣 Conceptual key source",IF(AND(CJ30="Yes",CL30="Yes",OR(CG30="High",CG30="Moderate"),CH30&lt;&gt;"High",CH30&lt;&gt;"Critical",F30="Claim-ready"),"🟢 Claim-ready","🟡 Caution / context")))))</x:f>
      </x:c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6"/>
      <x:c r="P30" s="174"/>
      <x:c r="Q30" s="174"/>
      <x:c r="R30" s="174"/>
      <x:c r="S30" s="174"/>
      <x:c r="T30" s="174"/>
      <x:c r="U30" s="174"/>
      <x:c r="V30" s="174"/>
      <x:c r="W30" s="175" t="str">
        <x:f>IF(V30="","",LOWER(SUBSTITUTE(SUBSTITUTE(SUBSTITUTE(SUBSTITUTE(TRIM(V30),"https://doi.org/",""),"http://doi.org/",""),"https://dx.doi.org/",""),"doi:","")))</x:f>
      </x:c>
      <x:c r="X30" s="174"/>
      <x:c r="Y30" s="174"/>
      <x:c r="Z30" s="174"/>
      <x:c r="AA30" s="174"/>
      <x:c r="AB30" s="174"/>
      <x:c r="AC30" s="174"/>
      <x:c r="AD30" s="177"/>
      <x:c r="AE30" s="177"/>
      <x:c r="AF30" s="174"/>
      <x:c r="AG30" s="174"/>
      <x:c r="AH30" s="174"/>
      <x:c r="AI30" s="174"/>
      <x:c r="AJ30" s="174"/>
      <x:c r="AK30" s="175" t="str">
        <x:f>IF(AJ30="","",IF(OR(LOWER(AJ30)="brazil",LOWER(AJ30)="brasil"),"Yes","No"))</x:f>
      </x:c>
      <x:c r="AL30" s="174"/>
      <x:c r="AM30" s="174"/>
      <x:c r="AN30" s="174"/>
      <x:c r="AO30" s="178"/>
      <x:c r="AP30" s="174"/>
      <x:c r="AQ30" s="174"/>
      <x:c r="AR30" s="174"/>
      <x:c r="AS30" s="174"/>
      <x:c r="AT30" s="174"/>
      <x:c r="AU30" s="174"/>
      <x:c r="AV30" s="174"/>
      <x:c r="AW30" s="174"/>
      <x:c r="AX30" s="174"/>
      <x:c r="AY30" s="174"/>
      <x:c r="AZ30" s="174"/>
      <x:c r="BA30" s="174"/>
      <x:c r="BB30" s="174"/>
      <x:c r="BC30" s="174"/>
      <x:c r="BD30" s="174"/>
      <x:c r="BE30" s="174"/>
      <x:c r="BF30" s="174"/>
      <x:c r="BG30" s="174"/>
      <x:c r="BH30" s="174"/>
      <x:c r="BI30" s="174"/>
      <x:c r="BJ30" s="174"/>
      <x:c r="BK30" s="174"/>
      <x:c r="BL30" s="174"/>
      <x:c r="BM30" s="174"/>
      <x:c r="BN30" s="174"/>
      <x:c r="BO30" s="174"/>
      <x:c r="BP30" s="174"/>
      <x:c r="BQ30" s="174"/>
      <x:c r="BR30" s="174"/>
      <x:c r="BS30" s="174"/>
      <x:c r="BT30" s="174"/>
      <x:c r="BU30" s="174"/>
      <x:c r="BV30" s="174"/>
      <x:c r="BW30" s="174"/>
      <x:c r="BX30" s="174"/>
      <x:c r="BY30" s="174"/>
      <x:c r="BZ30" s="174"/>
      <x:c r="CA30" s="174"/>
      <x:c r="CB30" s="174"/>
      <x:c r="CC30" s="174"/>
      <x:c r="CD30" s="174"/>
      <x:c r="CE30" s="174"/>
      <x:c r="CF30" s="174"/>
      <x:c r="CG30" s="174"/>
      <x:c r="CH30" s="174"/>
      <x:c r="CI30" s="179"/>
      <x:c r="CJ30" s="174"/>
      <x:c r="CK30" s="174"/>
      <x:c r="CL30" s="174"/>
      <x:c r="CM30" s="174"/>
      <x:c r="CN30" s="174"/>
      <x:c r="CO30" s="177"/>
      <x:c r="CP30" s="174"/>
      <x:c r="CQ30" s="174"/>
      <x:c r="CR30" s="174"/>
      <x:c r="CS30" s="174"/>
      <x:c r="CT30" s="174"/>
      <x:c r="CU30" s="176"/>
      <x:c r="CV30" s="176"/>
      <x:c r="CW30" s="176"/>
      <x:c r="CX30" s="176"/>
      <x:c r="CY30" s="176"/>
      <x:c r="CZ30" s="176"/>
      <x:c r="DA30" s="176"/>
      <x:c r="DB30" s="175" t="str">
        <x:f>IF(L30="","",IF(COUNT(CU30:DA30)&lt;7,"",SUM(CU30:DA30)))</x:f>
      </x:c>
      <x:c r="DC30" s="180" t="str">
        <x:f>IF(DB30="","",ROUND(DB30/14*10,1))</x:f>
      </x:c>
      <x:c r="DD30" s="174"/>
      <x:c r="DE30" s="175" t="str">
        <x:f>IF(L30="","",IF(DC30="","Pending",IF(DD30="Yes","CONDITIONAL — safety override",IF(DC30&gt;=8,"HIGH",IF(DC30&gt;=5,"CONDITIONAL","LOW")))))</x:f>
      </x:c>
      <x:c r="DF30" s="174"/>
      <x:c r="DG30" s="174"/>
      <x:c r="DH30" s="174"/>
      <x:c r="DI30" s="174"/>
      <x:c r="DJ30" s="174"/>
      <x:c r="DK30" s="174"/>
      <x:c r="DL30" s="174"/>
      <x:c r="DM30" s="174"/>
      <x:c r="DN30" s="174"/>
      <x:c r="DO30" s="174"/>
      <x:c r="DP30" s="174"/>
      <x:c r="DQ30" s="174"/>
      <x:c r="DR30" s="174"/>
      <x:c r="DS30" s="174"/>
      <x:c r="DT30" s="174"/>
      <x:c r="DU30" s="174"/>
      <x:c r="DV30" s="174"/>
      <x:c r="DW30" s="174"/>
      <x:c r="DX30" s="174"/>
      <x:c r="DY30" s="174"/>
      <x:c r="DZ30" s="174"/>
      <x:c r="EA30" s="174"/>
      <x:c r="EB30" s="175" t="str">
        <x:f>IF(L30="","",IF(AND(F30="Claim-ready",CJ30="Yes",CL30="Yes",DZ30&lt;&gt;""),"Yes","No / Pending"))</x:f>
      </x:c>
      <x:c r="EC30" s="174"/>
      <x:c r="ED30" s="174"/>
      <x:c r="EE30" s="174"/>
      <x:c r="EF30" s="174"/>
      <x:c r="EG30" s="174"/>
      <x:c r="EH30" s="177"/>
      <x:c r="EI30" s="174"/>
      <x:c r="EJ30" s="174"/>
      <x:c r="EK30" s="174"/>
      <x:c r="EL30" s="177"/>
      <x:c r="EM30" s="174"/>
      <x:c r="EN30" s="181" t="str">
        <x:f>IF(L30="","",(IF(N30&lt;&gt;"",1,0)+IF(O30&lt;&gt;"",1,0)+IF(AJ30&lt;&gt;"",1,0)+IF(AU30&lt;&gt;"",1,0)+IF(BE30&lt;&gt;"",1,0)+IF(CF30&lt;&gt;"",1,0)+IF(CJ30="Yes",1,0)+IF(CL30="Yes",1,0)+IF(DE30&lt;&gt;"Pending",1,0)+IF(F30&lt;&gt;"",1,0)+IF(DZ30&lt;&gt;"",1,0)+IF(EI30&lt;&gt;"",1,0))/12)</x:f>
      </x:c>
    </x:row>
    <x:row r="31">
      <x:c r="A31" s="175" t="str">
        <x:f>IF(L31="","","EV-"&amp;TEXT(ROW()-3,"0000"))</x:f>
      </x:c>
      <x:c r="B31" s="174"/>
      <x:c r="C31" s="175" t="str">
        <x:f>IF(L31="","",IF(OR(CM31="Retracted",CN31="Retracted",F31="Not used"),"🔴 Do not use for conclusion",IF(OR(R31="Official / Institutional",I31="Official / contextual"),"🔵 Official / contextual",IF(OR(I31="Definition",I31="Framework",I31="Paradigm shift"),"🟣 Conceptual key source",IF(AND(CJ31="Yes",CL31="Yes",OR(CG31="High",CG31="Moderate"),CH31&lt;&gt;"High",CH31&lt;&gt;"Critical",F31="Claim-ready"),"🟢 Claim-ready","🟡 Caution / context")))))</x:f>
      </x:c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6"/>
      <x:c r="P31" s="174"/>
      <x:c r="Q31" s="174"/>
      <x:c r="R31" s="174"/>
      <x:c r="S31" s="174"/>
      <x:c r="T31" s="174"/>
      <x:c r="U31" s="174"/>
      <x:c r="V31" s="174"/>
      <x:c r="W31" s="175" t="str">
        <x:f>IF(V31="","",LOWER(SUBSTITUTE(SUBSTITUTE(SUBSTITUTE(SUBSTITUTE(TRIM(V31),"https://doi.org/",""),"http://doi.org/",""),"https://dx.doi.org/",""),"doi:","")))</x:f>
      </x:c>
      <x:c r="X31" s="174"/>
      <x:c r="Y31" s="174"/>
      <x:c r="Z31" s="174"/>
      <x:c r="AA31" s="174"/>
      <x:c r="AB31" s="174"/>
      <x:c r="AC31" s="174"/>
      <x:c r="AD31" s="177"/>
      <x:c r="AE31" s="177"/>
      <x:c r="AF31" s="174"/>
      <x:c r="AG31" s="174"/>
      <x:c r="AH31" s="174"/>
      <x:c r="AI31" s="174"/>
      <x:c r="AJ31" s="174"/>
      <x:c r="AK31" s="175" t="str">
        <x:f>IF(AJ31="","",IF(OR(LOWER(AJ31)="brazil",LOWER(AJ31)="brasil"),"Yes","No"))</x:f>
      </x:c>
      <x:c r="AL31" s="174"/>
      <x:c r="AM31" s="174"/>
      <x:c r="AN31" s="174"/>
      <x:c r="AO31" s="178"/>
      <x:c r="AP31" s="174"/>
      <x:c r="AQ31" s="174"/>
      <x:c r="AR31" s="174"/>
      <x:c r="AS31" s="174"/>
      <x:c r="AT31" s="174"/>
      <x:c r="AU31" s="174"/>
      <x:c r="AV31" s="174"/>
      <x:c r="AW31" s="174"/>
      <x:c r="AX31" s="174"/>
      <x:c r="AY31" s="174"/>
      <x:c r="AZ31" s="174"/>
      <x:c r="BA31" s="174"/>
      <x:c r="BB31" s="174"/>
      <x:c r="BC31" s="174"/>
      <x:c r="BD31" s="174"/>
      <x:c r="BE31" s="174"/>
      <x:c r="BF31" s="174"/>
      <x:c r="BG31" s="174"/>
      <x:c r="BH31" s="174"/>
      <x:c r="BI31" s="174"/>
      <x:c r="BJ31" s="174"/>
      <x:c r="BK31" s="174"/>
      <x:c r="BL31" s="174"/>
      <x:c r="BM31" s="174"/>
      <x:c r="BN31" s="174"/>
      <x:c r="BO31" s="174"/>
      <x:c r="BP31" s="174"/>
      <x:c r="BQ31" s="174"/>
      <x:c r="BR31" s="174"/>
      <x:c r="BS31" s="174"/>
      <x:c r="BT31" s="174"/>
      <x:c r="BU31" s="174"/>
      <x:c r="BV31" s="174"/>
      <x:c r="BW31" s="174"/>
      <x:c r="BX31" s="174"/>
      <x:c r="BY31" s="174"/>
      <x:c r="BZ31" s="174"/>
      <x:c r="CA31" s="174"/>
      <x:c r="CB31" s="174"/>
      <x:c r="CC31" s="174"/>
      <x:c r="CD31" s="174"/>
      <x:c r="CE31" s="174"/>
      <x:c r="CF31" s="174"/>
      <x:c r="CG31" s="174"/>
      <x:c r="CH31" s="174"/>
      <x:c r="CI31" s="179"/>
      <x:c r="CJ31" s="174"/>
      <x:c r="CK31" s="174"/>
      <x:c r="CL31" s="174"/>
      <x:c r="CM31" s="174"/>
      <x:c r="CN31" s="174"/>
      <x:c r="CO31" s="177"/>
      <x:c r="CP31" s="174"/>
      <x:c r="CQ31" s="174"/>
      <x:c r="CR31" s="174"/>
      <x:c r="CS31" s="174"/>
      <x:c r="CT31" s="174"/>
      <x:c r="CU31" s="176"/>
      <x:c r="CV31" s="176"/>
      <x:c r="CW31" s="176"/>
      <x:c r="CX31" s="176"/>
      <x:c r="CY31" s="176"/>
      <x:c r="CZ31" s="176"/>
      <x:c r="DA31" s="176"/>
      <x:c r="DB31" s="175" t="str">
        <x:f>IF(L31="","",IF(COUNT(CU31:DA31)&lt;7,"",SUM(CU31:DA31)))</x:f>
      </x:c>
      <x:c r="DC31" s="180" t="str">
        <x:f>IF(DB31="","",ROUND(DB31/14*10,1))</x:f>
      </x:c>
      <x:c r="DD31" s="174"/>
      <x:c r="DE31" s="175" t="str">
        <x:f>IF(L31="","",IF(DC31="","Pending",IF(DD31="Yes","CONDITIONAL — safety override",IF(DC31&gt;=8,"HIGH",IF(DC31&gt;=5,"CONDITIONAL","LOW")))))</x:f>
      </x:c>
      <x:c r="DF31" s="174"/>
      <x:c r="DG31" s="174"/>
      <x:c r="DH31" s="174"/>
      <x:c r="DI31" s="174"/>
      <x:c r="DJ31" s="174"/>
      <x:c r="DK31" s="174"/>
      <x:c r="DL31" s="174"/>
      <x:c r="DM31" s="174"/>
      <x:c r="DN31" s="174"/>
      <x:c r="DO31" s="174"/>
      <x:c r="DP31" s="174"/>
      <x:c r="DQ31" s="174"/>
      <x:c r="DR31" s="174"/>
      <x:c r="DS31" s="174"/>
      <x:c r="DT31" s="174"/>
      <x:c r="DU31" s="174"/>
      <x:c r="DV31" s="174"/>
      <x:c r="DW31" s="174"/>
      <x:c r="DX31" s="174"/>
      <x:c r="DY31" s="174"/>
      <x:c r="DZ31" s="174"/>
      <x:c r="EA31" s="174"/>
      <x:c r="EB31" s="175" t="str">
        <x:f>IF(L31="","",IF(AND(F31="Claim-ready",CJ31="Yes",CL31="Yes",DZ31&lt;&gt;""),"Yes","No / Pending"))</x:f>
      </x:c>
      <x:c r="EC31" s="174"/>
      <x:c r="ED31" s="174"/>
      <x:c r="EE31" s="174"/>
      <x:c r="EF31" s="174"/>
      <x:c r="EG31" s="174"/>
      <x:c r="EH31" s="177"/>
      <x:c r="EI31" s="174"/>
      <x:c r="EJ31" s="174"/>
      <x:c r="EK31" s="174"/>
      <x:c r="EL31" s="177"/>
      <x:c r="EM31" s="174"/>
      <x:c r="EN31" s="181" t="str">
        <x:f>IF(L31="","",(IF(N31&lt;&gt;"",1,0)+IF(O31&lt;&gt;"",1,0)+IF(AJ31&lt;&gt;"",1,0)+IF(AU31&lt;&gt;"",1,0)+IF(BE31&lt;&gt;"",1,0)+IF(CF31&lt;&gt;"",1,0)+IF(CJ31="Yes",1,0)+IF(CL31="Yes",1,0)+IF(DE31&lt;&gt;"Pending",1,0)+IF(F31&lt;&gt;"",1,0)+IF(DZ31&lt;&gt;"",1,0)+IF(EI31&lt;&gt;"",1,0))/12)</x:f>
      </x:c>
    </x:row>
    <x:row r="32">
      <x:c r="A32" s="175" t="str">
        <x:f>IF(L32="","","EV-"&amp;TEXT(ROW()-3,"0000"))</x:f>
      </x:c>
      <x:c r="B32" s="174"/>
      <x:c r="C32" s="175" t="str">
        <x:f>IF(L32="","",IF(OR(CM32="Retracted",CN32="Retracted",F32="Not used"),"🔴 Do not use for conclusion",IF(OR(R32="Official / Institutional",I32="Official / contextual"),"🔵 Official / contextual",IF(OR(I32="Definition",I32="Framework",I32="Paradigm shift"),"🟣 Conceptual key source",IF(AND(CJ32="Yes",CL32="Yes",OR(CG32="High",CG32="Moderate"),CH32&lt;&gt;"High",CH32&lt;&gt;"Critical",F32="Claim-ready"),"🟢 Claim-ready","🟡 Caution / context")))))</x:f>
      </x:c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6"/>
      <x:c r="P32" s="174"/>
      <x:c r="Q32" s="174"/>
      <x:c r="R32" s="174"/>
      <x:c r="S32" s="174"/>
      <x:c r="T32" s="174"/>
      <x:c r="U32" s="174"/>
      <x:c r="V32" s="174"/>
      <x:c r="W32" s="175" t="str">
        <x:f>IF(V32="","",LOWER(SUBSTITUTE(SUBSTITUTE(SUBSTITUTE(SUBSTITUTE(TRIM(V32),"https://doi.org/",""),"http://doi.org/",""),"https://dx.doi.org/",""),"doi:","")))</x:f>
      </x:c>
      <x:c r="X32" s="174"/>
      <x:c r="Y32" s="174"/>
      <x:c r="Z32" s="174"/>
      <x:c r="AA32" s="174"/>
      <x:c r="AB32" s="174"/>
      <x:c r="AC32" s="174"/>
      <x:c r="AD32" s="177"/>
      <x:c r="AE32" s="177"/>
      <x:c r="AF32" s="174"/>
      <x:c r="AG32" s="174"/>
      <x:c r="AH32" s="174"/>
      <x:c r="AI32" s="174"/>
      <x:c r="AJ32" s="174"/>
      <x:c r="AK32" s="175" t="str">
        <x:f>IF(AJ32="","",IF(OR(LOWER(AJ32)="brazil",LOWER(AJ32)="brasil"),"Yes","No"))</x:f>
      </x:c>
      <x:c r="AL32" s="174"/>
      <x:c r="AM32" s="174"/>
      <x:c r="AN32" s="174"/>
      <x:c r="AO32" s="178"/>
      <x:c r="AP32" s="174"/>
      <x:c r="AQ32" s="174"/>
      <x:c r="AR32" s="174"/>
      <x:c r="AS32" s="174"/>
      <x:c r="AT32" s="174"/>
      <x:c r="AU32" s="174"/>
      <x:c r="AV32" s="174"/>
      <x:c r="AW32" s="174"/>
      <x:c r="AX32" s="174"/>
      <x:c r="AY32" s="174"/>
      <x:c r="AZ32" s="174"/>
      <x:c r="BA32" s="174"/>
      <x:c r="BB32" s="174"/>
      <x:c r="BC32" s="174"/>
      <x:c r="BD32" s="174"/>
      <x:c r="BE32" s="174"/>
      <x:c r="BF32" s="174"/>
      <x:c r="BG32" s="174"/>
      <x:c r="BH32" s="174"/>
      <x:c r="BI32" s="174"/>
      <x:c r="BJ32" s="174"/>
      <x:c r="BK32" s="174"/>
      <x:c r="BL32" s="174"/>
      <x:c r="BM32" s="174"/>
      <x:c r="BN32" s="174"/>
      <x:c r="BO32" s="174"/>
      <x:c r="BP32" s="174"/>
      <x:c r="BQ32" s="174"/>
      <x:c r="BR32" s="174"/>
      <x:c r="BS32" s="174"/>
      <x:c r="BT32" s="174"/>
      <x:c r="BU32" s="174"/>
      <x:c r="BV32" s="174"/>
      <x:c r="BW32" s="174"/>
      <x:c r="BX32" s="174"/>
      <x:c r="BY32" s="174"/>
      <x:c r="BZ32" s="174"/>
      <x:c r="CA32" s="174"/>
      <x:c r="CB32" s="174"/>
      <x:c r="CC32" s="174"/>
      <x:c r="CD32" s="174"/>
      <x:c r="CE32" s="174"/>
      <x:c r="CF32" s="174"/>
      <x:c r="CG32" s="174"/>
      <x:c r="CH32" s="174"/>
      <x:c r="CI32" s="179"/>
      <x:c r="CJ32" s="174"/>
      <x:c r="CK32" s="174"/>
      <x:c r="CL32" s="174"/>
      <x:c r="CM32" s="174"/>
      <x:c r="CN32" s="174"/>
      <x:c r="CO32" s="177"/>
      <x:c r="CP32" s="174"/>
      <x:c r="CQ32" s="174"/>
      <x:c r="CR32" s="174"/>
      <x:c r="CS32" s="174"/>
      <x:c r="CT32" s="174"/>
      <x:c r="CU32" s="176"/>
      <x:c r="CV32" s="176"/>
      <x:c r="CW32" s="176"/>
      <x:c r="CX32" s="176"/>
      <x:c r="CY32" s="176"/>
      <x:c r="CZ32" s="176"/>
      <x:c r="DA32" s="176"/>
      <x:c r="DB32" s="175" t="str">
        <x:f>IF(L32="","",IF(COUNT(CU32:DA32)&lt;7,"",SUM(CU32:DA32)))</x:f>
      </x:c>
      <x:c r="DC32" s="180" t="str">
        <x:f>IF(DB32="","",ROUND(DB32/14*10,1))</x:f>
      </x:c>
      <x:c r="DD32" s="174"/>
      <x:c r="DE32" s="175" t="str">
        <x:f>IF(L32="","",IF(DC32="","Pending",IF(DD32="Yes","CONDITIONAL — safety override",IF(DC32&gt;=8,"HIGH",IF(DC32&gt;=5,"CONDITIONAL","LOW")))))</x:f>
      </x:c>
      <x:c r="DF32" s="174"/>
      <x:c r="DG32" s="174"/>
      <x:c r="DH32" s="174"/>
      <x:c r="DI32" s="174"/>
      <x:c r="DJ32" s="174"/>
      <x:c r="DK32" s="174"/>
      <x:c r="DL32" s="174"/>
      <x:c r="DM32" s="174"/>
      <x:c r="DN32" s="174"/>
      <x:c r="DO32" s="174"/>
      <x:c r="DP32" s="174"/>
      <x:c r="DQ32" s="174"/>
      <x:c r="DR32" s="174"/>
      <x:c r="DS32" s="174"/>
      <x:c r="DT32" s="174"/>
      <x:c r="DU32" s="174"/>
      <x:c r="DV32" s="174"/>
      <x:c r="DW32" s="174"/>
      <x:c r="DX32" s="174"/>
      <x:c r="DY32" s="174"/>
      <x:c r="DZ32" s="174"/>
      <x:c r="EA32" s="174"/>
      <x:c r="EB32" s="175" t="str">
        <x:f>IF(L32="","",IF(AND(F32="Claim-ready",CJ32="Yes",CL32="Yes",DZ32&lt;&gt;""),"Yes","No / Pending"))</x:f>
      </x:c>
      <x:c r="EC32" s="174"/>
      <x:c r="ED32" s="174"/>
      <x:c r="EE32" s="174"/>
      <x:c r="EF32" s="174"/>
      <x:c r="EG32" s="174"/>
      <x:c r="EH32" s="177"/>
      <x:c r="EI32" s="174"/>
      <x:c r="EJ32" s="174"/>
      <x:c r="EK32" s="174"/>
      <x:c r="EL32" s="177"/>
      <x:c r="EM32" s="174"/>
      <x:c r="EN32" s="181" t="str">
        <x:f>IF(L32="","",(IF(N32&lt;&gt;"",1,0)+IF(O32&lt;&gt;"",1,0)+IF(AJ32&lt;&gt;"",1,0)+IF(AU32&lt;&gt;"",1,0)+IF(BE32&lt;&gt;"",1,0)+IF(CF32&lt;&gt;"",1,0)+IF(CJ32="Yes",1,0)+IF(CL32="Yes",1,0)+IF(DE32&lt;&gt;"Pending",1,0)+IF(F32&lt;&gt;"",1,0)+IF(DZ32&lt;&gt;"",1,0)+IF(EI32&lt;&gt;"",1,0))/12)</x:f>
      </x:c>
    </x:row>
    <x:row r="33">
      <x:c r="A33" s="175" t="str">
        <x:f>IF(L33="","","EV-"&amp;TEXT(ROW()-3,"0000"))</x:f>
      </x:c>
      <x:c r="B33" s="174"/>
      <x:c r="C33" s="175" t="str">
        <x:f>IF(L33="","",IF(OR(CM33="Retracted",CN33="Retracted",F33="Not used"),"🔴 Do not use for conclusion",IF(OR(R33="Official / Institutional",I33="Official / contextual"),"🔵 Official / contextual",IF(OR(I33="Definition",I33="Framework",I33="Paradigm shift"),"🟣 Conceptual key source",IF(AND(CJ33="Yes",CL33="Yes",OR(CG33="High",CG33="Moderate"),CH33&lt;&gt;"High",CH33&lt;&gt;"Critical",F33="Claim-ready"),"🟢 Claim-ready","🟡 Caution / context")))))</x:f>
      </x:c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6"/>
      <x:c r="P33" s="174"/>
      <x:c r="Q33" s="174"/>
      <x:c r="R33" s="174"/>
      <x:c r="S33" s="174"/>
      <x:c r="T33" s="174"/>
      <x:c r="U33" s="174"/>
      <x:c r="V33" s="174"/>
      <x:c r="W33" s="175" t="str">
        <x:f>IF(V33="","",LOWER(SUBSTITUTE(SUBSTITUTE(SUBSTITUTE(SUBSTITUTE(TRIM(V33),"https://doi.org/",""),"http://doi.org/",""),"https://dx.doi.org/",""),"doi:","")))</x:f>
      </x:c>
      <x:c r="X33" s="174"/>
      <x:c r="Y33" s="174"/>
      <x:c r="Z33" s="174"/>
      <x:c r="AA33" s="174"/>
      <x:c r="AB33" s="174"/>
      <x:c r="AC33" s="174"/>
      <x:c r="AD33" s="177"/>
      <x:c r="AE33" s="177"/>
      <x:c r="AF33" s="174"/>
      <x:c r="AG33" s="174"/>
      <x:c r="AH33" s="174"/>
      <x:c r="AI33" s="174"/>
      <x:c r="AJ33" s="174"/>
      <x:c r="AK33" s="175" t="str">
        <x:f>IF(AJ33="","",IF(OR(LOWER(AJ33)="brazil",LOWER(AJ33)="brasil"),"Yes","No"))</x:f>
      </x:c>
      <x:c r="AL33" s="174"/>
      <x:c r="AM33" s="174"/>
      <x:c r="AN33" s="174"/>
      <x:c r="AO33" s="178"/>
      <x:c r="AP33" s="174"/>
      <x:c r="AQ33" s="174"/>
      <x:c r="AR33" s="174"/>
      <x:c r="AS33" s="174"/>
      <x:c r="AT33" s="174"/>
      <x:c r="AU33" s="174"/>
      <x:c r="AV33" s="174"/>
      <x:c r="AW33" s="174"/>
      <x:c r="AX33" s="174"/>
      <x:c r="AY33" s="174"/>
      <x:c r="AZ33" s="174"/>
      <x:c r="BA33" s="174"/>
      <x:c r="BB33" s="174"/>
      <x:c r="BC33" s="174"/>
      <x:c r="BD33" s="174"/>
      <x:c r="BE33" s="174"/>
      <x:c r="BF33" s="174"/>
      <x:c r="BG33" s="174"/>
      <x:c r="BH33" s="174"/>
      <x:c r="BI33" s="174"/>
      <x:c r="BJ33" s="174"/>
      <x:c r="BK33" s="174"/>
      <x:c r="BL33" s="174"/>
      <x:c r="BM33" s="174"/>
      <x:c r="BN33" s="174"/>
      <x:c r="BO33" s="174"/>
      <x:c r="BP33" s="174"/>
      <x:c r="BQ33" s="174"/>
      <x:c r="BR33" s="174"/>
      <x:c r="BS33" s="174"/>
      <x:c r="BT33" s="174"/>
      <x:c r="BU33" s="174"/>
      <x:c r="BV33" s="174"/>
      <x:c r="BW33" s="174"/>
      <x:c r="BX33" s="174"/>
      <x:c r="BY33" s="174"/>
      <x:c r="BZ33" s="174"/>
      <x:c r="CA33" s="174"/>
      <x:c r="CB33" s="174"/>
      <x:c r="CC33" s="174"/>
      <x:c r="CD33" s="174"/>
      <x:c r="CE33" s="174"/>
      <x:c r="CF33" s="174"/>
      <x:c r="CG33" s="174"/>
      <x:c r="CH33" s="174"/>
      <x:c r="CI33" s="179"/>
      <x:c r="CJ33" s="174"/>
      <x:c r="CK33" s="174"/>
      <x:c r="CL33" s="174"/>
      <x:c r="CM33" s="174"/>
      <x:c r="CN33" s="174"/>
      <x:c r="CO33" s="177"/>
      <x:c r="CP33" s="174"/>
      <x:c r="CQ33" s="174"/>
      <x:c r="CR33" s="174"/>
      <x:c r="CS33" s="174"/>
      <x:c r="CT33" s="174"/>
      <x:c r="CU33" s="176"/>
      <x:c r="CV33" s="176"/>
      <x:c r="CW33" s="176"/>
      <x:c r="CX33" s="176"/>
      <x:c r="CY33" s="176"/>
      <x:c r="CZ33" s="176"/>
      <x:c r="DA33" s="176"/>
      <x:c r="DB33" s="175" t="str">
        <x:f>IF(L33="","",IF(COUNT(CU33:DA33)&lt;7,"",SUM(CU33:DA33)))</x:f>
      </x:c>
      <x:c r="DC33" s="180" t="str">
        <x:f>IF(DB33="","",ROUND(DB33/14*10,1))</x:f>
      </x:c>
      <x:c r="DD33" s="174"/>
      <x:c r="DE33" s="175" t="str">
        <x:f>IF(L33="","",IF(DC33="","Pending",IF(DD33="Yes","CONDITIONAL — safety override",IF(DC33&gt;=8,"HIGH",IF(DC33&gt;=5,"CONDITIONAL","LOW")))))</x:f>
      </x:c>
      <x:c r="DF33" s="174"/>
      <x:c r="DG33" s="174"/>
      <x:c r="DH33" s="174"/>
      <x:c r="DI33" s="174"/>
      <x:c r="DJ33" s="174"/>
      <x:c r="DK33" s="174"/>
      <x:c r="DL33" s="174"/>
      <x:c r="DM33" s="174"/>
      <x:c r="DN33" s="174"/>
      <x:c r="DO33" s="174"/>
      <x:c r="DP33" s="174"/>
      <x:c r="DQ33" s="174"/>
      <x:c r="DR33" s="174"/>
      <x:c r="DS33" s="174"/>
      <x:c r="DT33" s="174"/>
      <x:c r="DU33" s="174"/>
      <x:c r="DV33" s="174"/>
      <x:c r="DW33" s="174"/>
      <x:c r="DX33" s="174"/>
      <x:c r="DY33" s="174"/>
      <x:c r="DZ33" s="174"/>
      <x:c r="EA33" s="174"/>
      <x:c r="EB33" s="175" t="str">
        <x:f>IF(L33="","",IF(AND(F33="Claim-ready",CJ33="Yes",CL33="Yes",DZ33&lt;&gt;""),"Yes","No / Pending"))</x:f>
      </x:c>
      <x:c r="EC33" s="174"/>
      <x:c r="ED33" s="174"/>
      <x:c r="EE33" s="174"/>
      <x:c r="EF33" s="174"/>
      <x:c r="EG33" s="174"/>
      <x:c r="EH33" s="177"/>
      <x:c r="EI33" s="174"/>
      <x:c r="EJ33" s="174"/>
      <x:c r="EK33" s="174"/>
      <x:c r="EL33" s="177"/>
      <x:c r="EM33" s="174"/>
      <x:c r="EN33" s="181" t="str">
        <x:f>IF(L33="","",(IF(N33&lt;&gt;"",1,0)+IF(O33&lt;&gt;"",1,0)+IF(AJ33&lt;&gt;"",1,0)+IF(AU33&lt;&gt;"",1,0)+IF(BE33&lt;&gt;"",1,0)+IF(CF33&lt;&gt;"",1,0)+IF(CJ33="Yes",1,0)+IF(CL33="Yes",1,0)+IF(DE33&lt;&gt;"Pending",1,0)+IF(F33&lt;&gt;"",1,0)+IF(DZ33&lt;&gt;"",1,0)+IF(EI33&lt;&gt;"",1,0))/12)</x:f>
      </x:c>
    </x:row>
    <x:row r="34">
      <x:c r="A34" s="175" t="str">
        <x:f>IF(L34="","","EV-"&amp;TEXT(ROW()-3,"0000"))</x:f>
      </x:c>
      <x:c r="B34" s="174"/>
      <x:c r="C34" s="175" t="str">
        <x:f>IF(L34="","",IF(OR(CM34="Retracted",CN34="Retracted",F34="Not used"),"🔴 Do not use for conclusion",IF(OR(R34="Official / Institutional",I34="Official / contextual"),"🔵 Official / contextual",IF(OR(I34="Definition",I34="Framework",I34="Paradigm shift"),"🟣 Conceptual key source",IF(AND(CJ34="Yes",CL34="Yes",OR(CG34="High",CG34="Moderate"),CH34&lt;&gt;"High",CH34&lt;&gt;"Critical",F34="Claim-ready"),"🟢 Claim-ready","🟡 Caution / context")))))</x:f>
      </x:c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6"/>
      <x:c r="P34" s="174"/>
      <x:c r="Q34" s="174"/>
      <x:c r="R34" s="174"/>
      <x:c r="S34" s="174"/>
      <x:c r="T34" s="174"/>
      <x:c r="U34" s="174"/>
      <x:c r="V34" s="174"/>
      <x:c r="W34" s="175" t="str">
        <x:f>IF(V34="","",LOWER(SUBSTITUTE(SUBSTITUTE(SUBSTITUTE(SUBSTITUTE(TRIM(V34),"https://doi.org/",""),"http://doi.org/",""),"https://dx.doi.org/",""),"doi:","")))</x:f>
      </x:c>
      <x:c r="X34" s="174"/>
      <x:c r="Y34" s="174"/>
      <x:c r="Z34" s="174"/>
      <x:c r="AA34" s="174"/>
      <x:c r="AB34" s="174"/>
      <x:c r="AC34" s="174"/>
      <x:c r="AD34" s="177"/>
      <x:c r="AE34" s="177"/>
      <x:c r="AF34" s="174"/>
      <x:c r="AG34" s="174"/>
      <x:c r="AH34" s="174"/>
      <x:c r="AI34" s="174"/>
      <x:c r="AJ34" s="174"/>
      <x:c r="AK34" s="175" t="str">
        <x:f>IF(AJ34="","",IF(OR(LOWER(AJ34)="brazil",LOWER(AJ34)="brasil"),"Yes","No"))</x:f>
      </x:c>
      <x:c r="AL34" s="174"/>
      <x:c r="AM34" s="174"/>
      <x:c r="AN34" s="174"/>
      <x:c r="AO34" s="178"/>
      <x:c r="AP34" s="174"/>
      <x:c r="AQ34" s="174"/>
      <x:c r="AR34" s="174"/>
      <x:c r="AS34" s="174"/>
      <x:c r="AT34" s="174"/>
      <x:c r="AU34" s="174"/>
      <x:c r="AV34" s="174"/>
      <x:c r="AW34" s="174"/>
      <x:c r="AX34" s="174"/>
      <x:c r="AY34" s="174"/>
      <x:c r="AZ34" s="174"/>
      <x:c r="BA34" s="174"/>
      <x:c r="BB34" s="174"/>
      <x:c r="BC34" s="174"/>
      <x:c r="BD34" s="174"/>
      <x:c r="BE34" s="174"/>
      <x:c r="BF34" s="174"/>
      <x:c r="BG34" s="174"/>
      <x:c r="BH34" s="174"/>
      <x:c r="BI34" s="174"/>
      <x:c r="BJ34" s="174"/>
      <x:c r="BK34" s="174"/>
      <x:c r="BL34" s="174"/>
      <x:c r="BM34" s="174"/>
      <x:c r="BN34" s="174"/>
      <x:c r="BO34" s="174"/>
      <x:c r="BP34" s="174"/>
      <x:c r="BQ34" s="174"/>
      <x:c r="BR34" s="174"/>
      <x:c r="BS34" s="174"/>
      <x:c r="BT34" s="174"/>
      <x:c r="BU34" s="174"/>
      <x:c r="BV34" s="174"/>
      <x:c r="BW34" s="174"/>
      <x:c r="BX34" s="174"/>
      <x:c r="BY34" s="174"/>
      <x:c r="BZ34" s="174"/>
      <x:c r="CA34" s="174"/>
      <x:c r="CB34" s="174"/>
      <x:c r="CC34" s="174"/>
      <x:c r="CD34" s="174"/>
      <x:c r="CE34" s="174"/>
      <x:c r="CF34" s="174"/>
      <x:c r="CG34" s="174"/>
      <x:c r="CH34" s="174"/>
      <x:c r="CI34" s="179"/>
      <x:c r="CJ34" s="174"/>
      <x:c r="CK34" s="174"/>
      <x:c r="CL34" s="174"/>
      <x:c r="CM34" s="174"/>
      <x:c r="CN34" s="174"/>
      <x:c r="CO34" s="177"/>
      <x:c r="CP34" s="174"/>
      <x:c r="CQ34" s="174"/>
      <x:c r="CR34" s="174"/>
      <x:c r="CS34" s="174"/>
      <x:c r="CT34" s="174"/>
      <x:c r="CU34" s="176"/>
      <x:c r="CV34" s="176"/>
      <x:c r="CW34" s="176"/>
      <x:c r="CX34" s="176"/>
      <x:c r="CY34" s="176"/>
      <x:c r="CZ34" s="176"/>
      <x:c r="DA34" s="176"/>
      <x:c r="DB34" s="175" t="str">
        <x:f>IF(L34="","",IF(COUNT(CU34:DA34)&lt;7,"",SUM(CU34:DA34)))</x:f>
      </x:c>
      <x:c r="DC34" s="180" t="str">
        <x:f>IF(DB34="","",ROUND(DB34/14*10,1))</x:f>
      </x:c>
      <x:c r="DD34" s="174"/>
      <x:c r="DE34" s="175" t="str">
        <x:f>IF(L34="","",IF(DC34="","Pending",IF(DD34="Yes","CONDITIONAL — safety override",IF(DC34&gt;=8,"HIGH",IF(DC34&gt;=5,"CONDITIONAL","LOW")))))</x:f>
      </x:c>
      <x:c r="DF34" s="174"/>
      <x:c r="DG34" s="174"/>
      <x:c r="DH34" s="174"/>
      <x:c r="DI34" s="174"/>
      <x:c r="DJ34" s="174"/>
      <x:c r="DK34" s="174"/>
      <x:c r="DL34" s="174"/>
      <x:c r="DM34" s="174"/>
      <x:c r="DN34" s="174"/>
      <x:c r="DO34" s="174"/>
      <x:c r="DP34" s="174"/>
      <x:c r="DQ34" s="174"/>
      <x:c r="DR34" s="174"/>
      <x:c r="DS34" s="174"/>
      <x:c r="DT34" s="174"/>
      <x:c r="DU34" s="174"/>
      <x:c r="DV34" s="174"/>
      <x:c r="DW34" s="174"/>
      <x:c r="DX34" s="174"/>
      <x:c r="DY34" s="174"/>
      <x:c r="DZ34" s="174"/>
      <x:c r="EA34" s="174"/>
      <x:c r="EB34" s="175" t="str">
        <x:f>IF(L34="","",IF(AND(F34="Claim-ready",CJ34="Yes",CL34="Yes",DZ34&lt;&gt;""),"Yes","No / Pending"))</x:f>
      </x:c>
      <x:c r="EC34" s="174"/>
      <x:c r="ED34" s="174"/>
      <x:c r="EE34" s="174"/>
      <x:c r="EF34" s="174"/>
      <x:c r="EG34" s="174"/>
      <x:c r="EH34" s="177"/>
      <x:c r="EI34" s="174"/>
      <x:c r="EJ34" s="174"/>
      <x:c r="EK34" s="174"/>
      <x:c r="EL34" s="177"/>
      <x:c r="EM34" s="174"/>
      <x:c r="EN34" s="181" t="str">
        <x:f>IF(L34="","",(IF(N34&lt;&gt;"",1,0)+IF(O34&lt;&gt;"",1,0)+IF(AJ34&lt;&gt;"",1,0)+IF(AU34&lt;&gt;"",1,0)+IF(BE34&lt;&gt;"",1,0)+IF(CF34&lt;&gt;"",1,0)+IF(CJ34="Yes",1,0)+IF(CL34="Yes",1,0)+IF(DE34&lt;&gt;"Pending",1,0)+IF(F34&lt;&gt;"",1,0)+IF(DZ34&lt;&gt;"",1,0)+IF(EI34&lt;&gt;"",1,0))/12)</x:f>
      </x:c>
    </x:row>
    <x:row r="35">
      <x:c r="A35" s="175" t="str">
        <x:f>IF(L35="","","EV-"&amp;TEXT(ROW()-3,"0000"))</x:f>
      </x:c>
      <x:c r="B35" s="174"/>
      <x:c r="C35" s="175" t="str">
        <x:f>IF(L35="","",IF(OR(CM35="Retracted",CN35="Retracted",F35="Not used"),"🔴 Do not use for conclusion",IF(OR(R35="Official / Institutional",I35="Official / contextual"),"🔵 Official / contextual",IF(OR(I35="Definition",I35="Framework",I35="Paradigm shift"),"🟣 Conceptual key source",IF(AND(CJ35="Yes",CL35="Yes",OR(CG35="High",CG35="Moderate"),CH35&lt;&gt;"High",CH35&lt;&gt;"Critical",F35="Claim-ready"),"🟢 Claim-ready","🟡 Caution / context")))))</x:f>
      </x:c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6"/>
      <x:c r="P35" s="174"/>
      <x:c r="Q35" s="174"/>
      <x:c r="R35" s="174"/>
      <x:c r="S35" s="174"/>
      <x:c r="T35" s="174"/>
      <x:c r="U35" s="174"/>
      <x:c r="V35" s="174"/>
      <x:c r="W35" s="175" t="str">
        <x:f>IF(V35="","",LOWER(SUBSTITUTE(SUBSTITUTE(SUBSTITUTE(SUBSTITUTE(TRIM(V35),"https://doi.org/",""),"http://doi.org/",""),"https://dx.doi.org/",""),"doi:","")))</x:f>
      </x:c>
      <x:c r="X35" s="174"/>
      <x:c r="Y35" s="174"/>
      <x:c r="Z35" s="174"/>
      <x:c r="AA35" s="174"/>
      <x:c r="AB35" s="174"/>
      <x:c r="AC35" s="174"/>
      <x:c r="AD35" s="177"/>
      <x:c r="AE35" s="177"/>
      <x:c r="AF35" s="174"/>
      <x:c r="AG35" s="174"/>
      <x:c r="AH35" s="174"/>
      <x:c r="AI35" s="174"/>
      <x:c r="AJ35" s="174"/>
      <x:c r="AK35" s="175" t="str">
        <x:f>IF(AJ35="","",IF(OR(LOWER(AJ35)="brazil",LOWER(AJ35)="brasil"),"Yes","No"))</x:f>
      </x:c>
      <x:c r="AL35" s="174"/>
      <x:c r="AM35" s="174"/>
      <x:c r="AN35" s="174"/>
      <x:c r="AO35" s="178"/>
      <x:c r="AP35" s="174"/>
      <x:c r="AQ35" s="174"/>
      <x:c r="AR35" s="174"/>
      <x:c r="AS35" s="174"/>
      <x:c r="AT35" s="174"/>
      <x:c r="AU35" s="174"/>
      <x:c r="AV35" s="174"/>
      <x:c r="AW35" s="174"/>
      <x:c r="AX35" s="174"/>
      <x:c r="AY35" s="174"/>
      <x:c r="AZ35" s="174"/>
      <x:c r="BA35" s="174"/>
      <x:c r="BB35" s="174"/>
      <x:c r="BC35" s="174"/>
      <x:c r="BD35" s="174"/>
      <x:c r="BE35" s="174"/>
      <x:c r="BF35" s="174"/>
      <x:c r="BG35" s="174"/>
      <x:c r="BH35" s="174"/>
      <x:c r="BI35" s="174"/>
      <x:c r="BJ35" s="174"/>
      <x:c r="BK35" s="174"/>
      <x:c r="BL35" s="174"/>
      <x:c r="BM35" s="174"/>
      <x:c r="BN35" s="174"/>
      <x:c r="BO35" s="174"/>
      <x:c r="BP35" s="174"/>
      <x:c r="BQ35" s="174"/>
      <x:c r="BR35" s="174"/>
      <x:c r="BS35" s="174"/>
      <x:c r="BT35" s="174"/>
      <x:c r="BU35" s="174"/>
      <x:c r="BV35" s="174"/>
      <x:c r="BW35" s="174"/>
      <x:c r="BX35" s="174"/>
      <x:c r="BY35" s="174"/>
      <x:c r="BZ35" s="174"/>
      <x:c r="CA35" s="174"/>
      <x:c r="CB35" s="174"/>
      <x:c r="CC35" s="174"/>
      <x:c r="CD35" s="174"/>
      <x:c r="CE35" s="174"/>
      <x:c r="CF35" s="174"/>
      <x:c r="CG35" s="174"/>
      <x:c r="CH35" s="174"/>
      <x:c r="CI35" s="179"/>
      <x:c r="CJ35" s="174"/>
      <x:c r="CK35" s="174"/>
      <x:c r="CL35" s="174"/>
      <x:c r="CM35" s="174"/>
      <x:c r="CN35" s="174"/>
      <x:c r="CO35" s="177"/>
      <x:c r="CP35" s="174"/>
      <x:c r="CQ35" s="174"/>
      <x:c r="CR35" s="174"/>
      <x:c r="CS35" s="174"/>
      <x:c r="CT35" s="174"/>
      <x:c r="CU35" s="176"/>
      <x:c r="CV35" s="176"/>
      <x:c r="CW35" s="176"/>
      <x:c r="CX35" s="176"/>
      <x:c r="CY35" s="176"/>
      <x:c r="CZ35" s="176"/>
      <x:c r="DA35" s="176"/>
      <x:c r="DB35" s="175" t="str">
        <x:f>IF(L35="","",IF(COUNT(CU35:DA35)&lt;7,"",SUM(CU35:DA35)))</x:f>
      </x:c>
      <x:c r="DC35" s="180" t="str">
        <x:f>IF(DB35="","",ROUND(DB35/14*10,1))</x:f>
      </x:c>
      <x:c r="DD35" s="174"/>
      <x:c r="DE35" s="175" t="str">
        <x:f>IF(L35="","",IF(DC35="","Pending",IF(DD35="Yes","CONDITIONAL — safety override",IF(DC35&gt;=8,"HIGH",IF(DC35&gt;=5,"CONDITIONAL","LOW")))))</x:f>
      </x:c>
      <x:c r="DF35" s="174"/>
      <x:c r="DG35" s="174"/>
      <x:c r="DH35" s="174"/>
      <x:c r="DI35" s="174"/>
      <x:c r="DJ35" s="174"/>
      <x:c r="DK35" s="174"/>
      <x:c r="DL35" s="174"/>
      <x:c r="DM35" s="174"/>
      <x:c r="DN35" s="174"/>
      <x:c r="DO35" s="174"/>
      <x:c r="DP35" s="174"/>
      <x:c r="DQ35" s="174"/>
      <x:c r="DR35" s="174"/>
      <x:c r="DS35" s="174"/>
      <x:c r="DT35" s="174"/>
      <x:c r="DU35" s="174"/>
      <x:c r="DV35" s="174"/>
      <x:c r="DW35" s="174"/>
      <x:c r="DX35" s="174"/>
      <x:c r="DY35" s="174"/>
      <x:c r="DZ35" s="174"/>
      <x:c r="EA35" s="174"/>
      <x:c r="EB35" s="175" t="str">
        <x:f>IF(L35="","",IF(AND(F35="Claim-ready",CJ35="Yes",CL35="Yes",DZ35&lt;&gt;""),"Yes","No / Pending"))</x:f>
      </x:c>
      <x:c r="EC35" s="174"/>
      <x:c r="ED35" s="174"/>
      <x:c r="EE35" s="174"/>
      <x:c r="EF35" s="174"/>
      <x:c r="EG35" s="174"/>
      <x:c r="EH35" s="177"/>
      <x:c r="EI35" s="174"/>
      <x:c r="EJ35" s="174"/>
      <x:c r="EK35" s="174"/>
      <x:c r="EL35" s="177"/>
      <x:c r="EM35" s="174"/>
      <x:c r="EN35" s="181" t="str">
        <x:f>IF(L35="","",(IF(N35&lt;&gt;"",1,0)+IF(O35&lt;&gt;"",1,0)+IF(AJ35&lt;&gt;"",1,0)+IF(AU35&lt;&gt;"",1,0)+IF(BE35&lt;&gt;"",1,0)+IF(CF35&lt;&gt;"",1,0)+IF(CJ35="Yes",1,0)+IF(CL35="Yes",1,0)+IF(DE35&lt;&gt;"Pending",1,0)+IF(F35&lt;&gt;"",1,0)+IF(DZ35&lt;&gt;"",1,0)+IF(EI35&lt;&gt;"",1,0))/12)</x:f>
      </x:c>
    </x:row>
    <x:row r="36">
      <x:c r="A36" s="175" t="str">
        <x:f>IF(L36="","","EV-"&amp;TEXT(ROW()-3,"0000"))</x:f>
      </x:c>
      <x:c r="B36" s="174"/>
      <x:c r="C36" s="175" t="str">
        <x:f>IF(L36="","",IF(OR(CM36="Retracted",CN36="Retracted",F36="Not used"),"🔴 Do not use for conclusion",IF(OR(R36="Official / Institutional",I36="Official / contextual"),"🔵 Official / contextual",IF(OR(I36="Definition",I36="Framework",I36="Paradigm shift"),"🟣 Conceptual key source",IF(AND(CJ36="Yes",CL36="Yes",OR(CG36="High",CG36="Moderate"),CH36&lt;&gt;"High",CH36&lt;&gt;"Critical",F36="Claim-ready"),"🟢 Claim-ready","🟡 Caution / context")))))</x:f>
      </x:c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6"/>
      <x:c r="P36" s="174"/>
      <x:c r="Q36" s="174"/>
      <x:c r="R36" s="174"/>
      <x:c r="S36" s="174"/>
      <x:c r="T36" s="174"/>
      <x:c r="U36" s="174"/>
      <x:c r="V36" s="174"/>
      <x:c r="W36" s="175" t="str">
        <x:f>IF(V36="","",LOWER(SUBSTITUTE(SUBSTITUTE(SUBSTITUTE(SUBSTITUTE(TRIM(V36),"https://doi.org/",""),"http://doi.org/",""),"https://dx.doi.org/",""),"doi:","")))</x:f>
      </x:c>
      <x:c r="X36" s="174"/>
      <x:c r="Y36" s="174"/>
      <x:c r="Z36" s="174"/>
      <x:c r="AA36" s="174"/>
      <x:c r="AB36" s="174"/>
      <x:c r="AC36" s="174"/>
      <x:c r="AD36" s="177"/>
      <x:c r="AE36" s="177"/>
      <x:c r="AF36" s="174"/>
      <x:c r="AG36" s="174"/>
      <x:c r="AH36" s="174"/>
      <x:c r="AI36" s="174"/>
      <x:c r="AJ36" s="174"/>
      <x:c r="AK36" s="175" t="str">
        <x:f>IF(AJ36="","",IF(OR(LOWER(AJ36)="brazil",LOWER(AJ36)="brasil"),"Yes","No"))</x:f>
      </x:c>
      <x:c r="AL36" s="174"/>
      <x:c r="AM36" s="174"/>
      <x:c r="AN36" s="174"/>
      <x:c r="AO36" s="178"/>
      <x:c r="AP36" s="174"/>
      <x:c r="AQ36" s="174"/>
      <x:c r="AR36" s="174"/>
      <x:c r="AS36" s="174"/>
      <x:c r="AT36" s="174"/>
      <x:c r="AU36" s="174"/>
      <x:c r="AV36" s="174"/>
      <x:c r="AW36" s="174"/>
      <x:c r="AX36" s="174"/>
      <x:c r="AY36" s="174"/>
      <x:c r="AZ36" s="174"/>
      <x:c r="BA36" s="174"/>
      <x:c r="BB36" s="174"/>
      <x:c r="BC36" s="174"/>
      <x:c r="BD36" s="174"/>
      <x:c r="BE36" s="174"/>
      <x:c r="BF36" s="174"/>
      <x:c r="BG36" s="174"/>
      <x:c r="BH36" s="174"/>
      <x:c r="BI36" s="174"/>
      <x:c r="BJ36" s="174"/>
      <x:c r="BK36" s="174"/>
      <x:c r="BL36" s="174"/>
      <x:c r="BM36" s="174"/>
      <x:c r="BN36" s="174"/>
      <x:c r="BO36" s="174"/>
      <x:c r="BP36" s="174"/>
      <x:c r="BQ36" s="174"/>
      <x:c r="BR36" s="174"/>
      <x:c r="BS36" s="174"/>
      <x:c r="BT36" s="174"/>
      <x:c r="BU36" s="174"/>
      <x:c r="BV36" s="174"/>
      <x:c r="BW36" s="174"/>
      <x:c r="BX36" s="174"/>
      <x:c r="BY36" s="174"/>
      <x:c r="BZ36" s="174"/>
      <x:c r="CA36" s="174"/>
      <x:c r="CB36" s="174"/>
      <x:c r="CC36" s="174"/>
      <x:c r="CD36" s="174"/>
      <x:c r="CE36" s="174"/>
      <x:c r="CF36" s="174"/>
      <x:c r="CG36" s="174"/>
      <x:c r="CH36" s="174"/>
      <x:c r="CI36" s="179"/>
      <x:c r="CJ36" s="174"/>
      <x:c r="CK36" s="174"/>
      <x:c r="CL36" s="174"/>
      <x:c r="CM36" s="174"/>
      <x:c r="CN36" s="174"/>
      <x:c r="CO36" s="177"/>
      <x:c r="CP36" s="174"/>
      <x:c r="CQ36" s="174"/>
      <x:c r="CR36" s="174"/>
      <x:c r="CS36" s="174"/>
      <x:c r="CT36" s="174"/>
      <x:c r="CU36" s="176"/>
      <x:c r="CV36" s="176"/>
      <x:c r="CW36" s="176"/>
      <x:c r="CX36" s="176"/>
      <x:c r="CY36" s="176"/>
      <x:c r="CZ36" s="176"/>
      <x:c r="DA36" s="176"/>
      <x:c r="DB36" s="175" t="str">
        <x:f>IF(L36="","",IF(COUNT(CU36:DA36)&lt;7,"",SUM(CU36:DA36)))</x:f>
      </x:c>
      <x:c r="DC36" s="180" t="str">
        <x:f>IF(DB36="","",ROUND(DB36/14*10,1))</x:f>
      </x:c>
      <x:c r="DD36" s="174"/>
      <x:c r="DE36" s="175" t="str">
        <x:f>IF(L36="","",IF(DC36="","Pending",IF(DD36="Yes","CONDITIONAL — safety override",IF(DC36&gt;=8,"HIGH",IF(DC36&gt;=5,"CONDITIONAL","LOW")))))</x:f>
      </x:c>
      <x:c r="DF36" s="174"/>
      <x:c r="DG36" s="174"/>
      <x:c r="DH36" s="174"/>
      <x:c r="DI36" s="174"/>
      <x:c r="DJ36" s="174"/>
      <x:c r="DK36" s="174"/>
      <x:c r="DL36" s="174"/>
      <x:c r="DM36" s="174"/>
      <x:c r="DN36" s="174"/>
      <x:c r="DO36" s="174"/>
      <x:c r="DP36" s="174"/>
      <x:c r="DQ36" s="174"/>
      <x:c r="DR36" s="174"/>
      <x:c r="DS36" s="174"/>
      <x:c r="DT36" s="174"/>
      <x:c r="DU36" s="174"/>
      <x:c r="DV36" s="174"/>
      <x:c r="DW36" s="174"/>
      <x:c r="DX36" s="174"/>
      <x:c r="DY36" s="174"/>
      <x:c r="DZ36" s="174"/>
      <x:c r="EA36" s="174"/>
      <x:c r="EB36" s="175" t="str">
        <x:f>IF(L36="","",IF(AND(F36="Claim-ready",CJ36="Yes",CL36="Yes",DZ36&lt;&gt;""),"Yes","No / Pending"))</x:f>
      </x:c>
      <x:c r="EC36" s="174"/>
      <x:c r="ED36" s="174"/>
      <x:c r="EE36" s="174"/>
      <x:c r="EF36" s="174"/>
      <x:c r="EG36" s="174"/>
      <x:c r="EH36" s="177"/>
      <x:c r="EI36" s="174"/>
      <x:c r="EJ36" s="174"/>
      <x:c r="EK36" s="174"/>
      <x:c r="EL36" s="177"/>
      <x:c r="EM36" s="174"/>
      <x:c r="EN36" s="181" t="str">
        <x:f>IF(L36="","",(IF(N36&lt;&gt;"",1,0)+IF(O36&lt;&gt;"",1,0)+IF(AJ36&lt;&gt;"",1,0)+IF(AU36&lt;&gt;"",1,0)+IF(BE36&lt;&gt;"",1,0)+IF(CF36&lt;&gt;"",1,0)+IF(CJ36="Yes",1,0)+IF(CL36="Yes",1,0)+IF(DE36&lt;&gt;"Pending",1,0)+IF(F36&lt;&gt;"",1,0)+IF(DZ36&lt;&gt;"",1,0)+IF(EI36&lt;&gt;"",1,0))/12)</x:f>
      </x:c>
    </x:row>
    <x:row r="37">
      <x:c r="A37" s="175" t="str">
        <x:f>IF(L37="","","EV-"&amp;TEXT(ROW()-3,"0000"))</x:f>
      </x:c>
      <x:c r="B37" s="174"/>
      <x:c r="C37" s="175" t="str">
        <x:f>IF(L37="","",IF(OR(CM37="Retracted",CN37="Retracted",F37="Not used"),"🔴 Do not use for conclusion",IF(OR(R37="Official / Institutional",I37="Official / contextual"),"🔵 Official / contextual",IF(OR(I37="Definition",I37="Framework",I37="Paradigm shift"),"🟣 Conceptual key source",IF(AND(CJ37="Yes",CL37="Yes",OR(CG37="High",CG37="Moderate"),CH37&lt;&gt;"High",CH37&lt;&gt;"Critical",F37="Claim-ready"),"🟢 Claim-ready","🟡 Caution / context")))))</x:f>
      </x:c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6"/>
      <x:c r="P37" s="174"/>
      <x:c r="Q37" s="174"/>
      <x:c r="R37" s="174"/>
      <x:c r="S37" s="174"/>
      <x:c r="T37" s="174"/>
      <x:c r="U37" s="174"/>
      <x:c r="V37" s="174"/>
      <x:c r="W37" s="175" t="str">
        <x:f>IF(V37="","",LOWER(SUBSTITUTE(SUBSTITUTE(SUBSTITUTE(SUBSTITUTE(TRIM(V37),"https://doi.org/",""),"http://doi.org/",""),"https://dx.doi.org/",""),"doi:","")))</x:f>
      </x:c>
      <x:c r="X37" s="174"/>
      <x:c r="Y37" s="174"/>
      <x:c r="Z37" s="174"/>
      <x:c r="AA37" s="174"/>
      <x:c r="AB37" s="174"/>
      <x:c r="AC37" s="174"/>
      <x:c r="AD37" s="177"/>
      <x:c r="AE37" s="177"/>
      <x:c r="AF37" s="174"/>
      <x:c r="AG37" s="174"/>
      <x:c r="AH37" s="174"/>
      <x:c r="AI37" s="174"/>
      <x:c r="AJ37" s="174"/>
      <x:c r="AK37" s="175" t="str">
        <x:f>IF(AJ37="","",IF(OR(LOWER(AJ37)="brazil",LOWER(AJ37)="brasil"),"Yes","No"))</x:f>
      </x:c>
      <x:c r="AL37" s="174"/>
      <x:c r="AM37" s="174"/>
      <x:c r="AN37" s="174"/>
      <x:c r="AO37" s="178"/>
      <x:c r="AP37" s="174"/>
      <x:c r="AQ37" s="174"/>
      <x:c r="AR37" s="174"/>
      <x:c r="AS37" s="174"/>
      <x:c r="AT37" s="174"/>
      <x:c r="AU37" s="174"/>
      <x:c r="AV37" s="174"/>
      <x:c r="AW37" s="174"/>
      <x:c r="AX37" s="174"/>
      <x:c r="AY37" s="174"/>
      <x:c r="AZ37" s="174"/>
      <x:c r="BA37" s="174"/>
      <x:c r="BB37" s="174"/>
      <x:c r="BC37" s="174"/>
      <x:c r="BD37" s="174"/>
      <x:c r="BE37" s="174"/>
      <x:c r="BF37" s="174"/>
      <x:c r="BG37" s="174"/>
      <x:c r="BH37" s="174"/>
      <x:c r="BI37" s="174"/>
      <x:c r="BJ37" s="174"/>
      <x:c r="BK37" s="174"/>
      <x:c r="BL37" s="174"/>
      <x:c r="BM37" s="174"/>
      <x:c r="BN37" s="174"/>
      <x:c r="BO37" s="174"/>
      <x:c r="BP37" s="174"/>
      <x:c r="BQ37" s="174"/>
      <x:c r="BR37" s="174"/>
      <x:c r="BS37" s="174"/>
      <x:c r="BT37" s="174"/>
      <x:c r="BU37" s="174"/>
      <x:c r="BV37" s="174"/>
      <x:c r="BW37" s="174"/>
      <x:c r="BX37" s="174"/>
      <x:c r="BY37" s="174"/>
      <x:c r="BZ37" s="174"/>
      <x:c r="CA37" s="174"/>
      <x:c r="CB37" s="174"/>
      <x:c r="CC37" s="174"/>
      <x:c r="CD37" s="174"/>
      <x:c r="CE37" s="174"/>
      <x:c r="CF37" s="174"/>
      <x:c r="CG37" s="174"/>
      <x:c r="CH37" s="174"/>
      <x:c r="CI37" s="179"/>
      <x:c r="CJ37" s="174"/>
      <x:c r="CK37" s="174"/>
      <x:c r="CL37" s="174"/>
      <x:c r="CM37" s="174"/>
      <x:c r="CN37" s="174"/>
      <x:c r="CO37" s="177"/>
      <x:c r="CP37" s="174"/>
      <x:c r="CQ37" s="174"/>
      <x:c r="CR37" s="174"/>
      <x:c r="CS37" s="174"/>
      <x:c r="CT37" s="174"/>
      <x:c r="CU37" s="176"/>
      <x:c r="CV37" s="176"/>
      <x:c r="CW37" s="176"/>
      <x:c r="CX37" s="176"/>
      <x:c r="CY37" s="176"/>
      <x:c r="CZ37" s="176"/>
      <x:c r="DA37" s="176"/>
      <x:c r="DB37" s="175" t="str">
        <x:f>IF(L37="","",IF(COUNT(CU37:DA37)&lt;7,"",SUM(CU37:DA37)))</x:f>
      </x:c>
      <x:c r="DC37" s="180" t="str">
        <x:f>IF(DB37="","",ROUND(DB37/14*10,1))</x:f>
      </x:c>
      <x:c r="DD37" s="174"/>
      <x:c r="DE37" s="175" t="str">
        <x:f>IF(L37="","",IF(DC37="","Pending",IF(DD37="Yes","CONDITIONAL — safety override",IF(DC37&gt;=8,"HIGH",IF(DC37&gt;=5,"CONDITIONAL","LOW")))))</x:f>
      </x:c>
      <x:c r="DF37" s="174"/>
      <x:c r="DG37" s="174"/>
      <x:c r="DH37" s="174"/>
      <x:c r="DI37" s="174"/>
      <x:c r="DJ37" s="174"/>
      <x:c r="DK37" s="174"/>
      <x:c r="DL37" s="174"/>
      <x:c r="DM37" s="174"/>
      <x:c r="DN37" s="174"/>
      <x:c r="DO37" s="174"/>
      <x:c r="DP37" s="174"/>
      <x:c r="DQ37" s="174"/>
      <x:c r="DR37" s="174"/>
      <x:c r="DS37" s="174"/>
      <x:c r="DT37" s="174"/>
      <x:c r="DU37" s="174"/>
      <x:c r="DV37" s="174"/>
      <x:c r="DW37" s="174"/>
      <x:c r="DX37" s="174"/>
      <x:c r="DY37" s="174"/>
      <x:c r="DZ37" s="174"/>
      <x:c r="EA37" s="174"/>
      <x:c r="EB37" s="175" t="str">
        <x:f>IF(L37="","",IF(AND(F37="Claim-ready",CJ37="Yes",CL37="Yes",DZ37&lt;&gt;""),"Yes","No / Pending"))</x:f>
      </x:c>
      <x:c r="EC37" s="174"/>
      <x:c r="ED37" s="174"/>
      <x:c r="EE37" s="174"/>
      <x:c r="EF37" s="174"/>
      <x:c r="EG37" s="174"/>
      <x:c r="EH37" s="177"/>
      <x:c r="EI37" s="174"/>
      <x:c r="EJ37" s="174"/>
      <x:c r="EK37" s="174"/>
      <x:c r="EL37" s="177"/>
      <x:c r="EM37" s="174"/>
      <x:c r="EN37" s="181" t="str">
        <x:f>IF(L37="","",(IF(N37&lt;&gt;"",1,0)+IF(O37&lt;&gt;"",1,0)+IF(AJ37&lt;&gt;"",1,0)+IF(AU37&lt;&gt;"",1,0)+IF(BE37&lt;&gt;"",1,0)+IF(CF37&lt;&gt;"",1,0)+IF(CJ37="Yes",1,0)+IF(CL37="Yes",1,0)+IF(DE37&lt;&gt;"Pending",1,0)+IF(F37&lt;&gt;"",1,0)+IF(DZ37&lt;&gt;"",1,0)+IF(EI37&lt;&gt;"",1,0))/12)</x:f>
      </x:c>
    </x:row>
    <x:row r="38">
      <x:c r="A38" s="175" t="str">
        <x:f>IF(L38="","","EV-"&amp;TEXT(ROW()-3,"0000"))</x:f>
      </x:c>
      <x:c r="B38" s="174"/>
      <x:c r="C38" s="175" t="str">
        <x:f>IF(L38="","",IF(OR(CM38="Retracted",CN38="Retracted",F38="Not used"),"🔴 Do not use for conclusion",IF(OR(R38="Official / Institutional",I38="Official / contextual"),"🔵 Official / contextual",IF(OR(I38="Definition",I38="Framework",I38="Paradigm shift"),"🟣 Conceptual key source",IF(AND(CJ38="Yes",CL38="Yes",OR(CG38="High",CG38="Moderate"),CH38&lt;&gt;"High",CH38&lt;&gt;"Critical",F38="Claim-ready"),"🟢 Claim-ready","🟡 Caution / context")))))</x:f>
      </x:c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6"/>
      <x:c r="P38" s="174"/>
      <x:c r="Q38" s="174"/>
      <x:c r="R38" s="174"/>
      <x:c r="S38" s="174"/>
      <x:c r="T38" s="174"/>
      <x:c r="U38" s="174"/>
      <x:c r="V38" s="174"/>
      <x:c r="W38" s="175" t="str">
        <x:f>IF(V38="","",LOWER(SUBSTITUTE(SUBSTITUTE(SUBSTITUTE(SUBSTITUTE(TRIM(V38),"https://doi.org/",""),"http://doi.org/",""),"https://dx.doi.org/",""),"doi:","")))</x:f>
      </x:c>
      <x:c r="X38" s="174"/>
      <x:c r="Y38" s="174"/>
      <x:c r="Z38" s="174"/>
      <x:c r="AA38" s="174"/>
      <x:c r="AB38" s="174"/>
      <x:c r="AC38" s="174"/>
      <x:c r="AD38" s="177"/>
      <x:c r="AE38" s="177"/>
      <x:c r="AF38" s="174"/>
      <x:c r="AG38" s="174"/>
      <x:c r="AH38" s="174"/>
      <x:c r="AI38" s="174"/>
      <x:c r="AJ38" s="174"/>
      <x:c r="AK38" s="175" t="str">
        <x:f>IF(AJ38="","",IF(OR(LOWER(AJ38)="brazil",LOWER(AJ38)="brasil"),"Yes","No"))</x:f>
      </x:c>
      <x:c r="AL38" s="174"/>
      <x:c r="AM38" s="174"/>
      <x:c r="AN38" s="174"/>
      <x:c r="AO38" s="178"/>
      <x:c r="AP38" s="174"/>
      <x:c r="AQ38" s="174"/>
      <x:c r="AR38" s="174"/>
      <x:c r="AS38" s="174"/>
      <x:c r="AT38" s="174"/>
      <x:c r="AU38" s="174"/>
      <x:c r="AV38" s="174"/>
      <x:c r="AW38" s="174"/>
      <x:c r="AX38" s="174"/>
      <x:c r="AY38" s="174"/>
      <x:c r="AZ38" s="174"/>
      <x:c r="BA38" s="174"/>
      <x:c r="BB38" s="174"/>
      <x:c r="BC38" s="174"/>
      <x:c r="BD38" s="174"/>
      <x:c r="BE38" s="174"/>
      <x:c r="BF38" s="174"/>
      <x:c r="BG38" s="174"/>
      <x:c r="BH38" s="174"/>
      <x:c r="BI38" s="174"/>
      <x:c r="BJ38" s="174"/>
      <x:c r="BK38" s="174"/>
      <x:c r="BL38" s="174"/>
      <x:c r="BM38" s="174"/>
      <x:c r="BN38" s="174"/>
      <x:c r="BO38" s="174"/>
      <x:c r="BP38" s="174"/>
      <x:c r="BQ38" s="174"/>
      <x:c r="BR38" s="174"/>
      <x:c r="BS38" s="174"/>
      <x:c r="BT38" s="174"/>
      <x:c r="BU38" s="174"/>
      <x:c r="BV38" s="174"/>
      <x:c r="BW38" s="174"/>
      <x:c r="BX38" s="174"/>
      <x:c r="BY38" s="174"/>
      <x:c r="BZ38" s="174"/>
      <x:c r="CA38" s="174"/>
      <x:c r="CB38" s="174"/>
      <x:c r="CC38" s="174"/>
      <x:c r="CD38" s="174"/>
      <x:c r="CE38" s="174"/>
      <x:c r="CF38" s="174"/>
      <x:c r="CG38" s="174"/>
      <x:c r="CH38" s="174"/>
      <x:c r="CI38" s="179"/>
      <x:c r="CJ38" s="174"/>
      <x:c r="CK38" s="174"/>
      <x:c r="CL38" s="174"/>
      <x:c r="CM38" s="174"/>
      <x:c r="CN38" s="174"/>
      <x:c r="CO38" s="177"/>
      <x:c r="CP38" s="174"/>
      <x:c r="CQ38" s="174"/>
      <x:c r="CR38" s="174"/>
      <x:c r="CS38" s="174"/>
      <x:c r="CT38" s="174"/>
      <x:c r="CU38" s="176"/>
      <x:c r="CV38" s="176"/>
      <x:c r="CW38" s="176"/>
      <x:c r="CX38" s="176"/>
      <x:c r="CY38" s="176"/>
      <x:c r="CZ38" s="176"/>
      <x:c r="DA38" s="176"/>
      <x:c r="DB38" s="175" t="str">
        <x:f>IF(L38="","",IF(COUNT(CU38:DA38)&lt;7,"",SUM(CU38:DA38)))</x:f>
      </x:c>
      <x:c r="DC38" s="180" t="str">
        <x:f>IF(DB38="","",ROUND(DB38/14*10,1))</x:f>
      </x:c>
      <x:c r="DD38" s="174"/>
      <x:c r="DE38" s="175" t="str">
        <x:f>IF(L38="","",IF(DC38="","Pending",IF(DD38="Yes","CONDITIONAL — safety override",IF(DC38&gt;=8,"HIGH",IF(DC38&gt;=5,"CONDITIONAL","LOW")))))</x:f>
      </x:c>
      <x:c r="DF38" s="174"/>
      <x:c r="DG38" s="174"/>
      <x:c r="DH38" s="174"/>
      <x:c r="DI38" s="174"/>
      <x:c r="DJ38" s="174"/>
      <x:c r="DK38" s="174"/>
      <x:c r="DL38" s="174"/>
      <x:c r="DM38" s="174"/>
      <x:c r="DN38" s="174"/>
      <x:c r="DO38" s="174"/>
      <x:c r="DP38" s="174"/>
      <x:c r="DQ38" s="174"/>
      <x:c r="DR38" s="174"/>
      <x:c r="DS38" s="174"/>
      <x:c r="DT38" s="174"/>
      <x:c r="DU38" s="174"/>
      <x:c r="DV38" s="174"/>
      <x:c r="DW38" s="174"/>
      <x:c r="DX38" s="174"/>
      <x:c r="DY38" s="174"/>
      <x:c r="DZ38" s="174"/>
      <x:c r="EA38" s="174"/>
      <x:c r="EB38" s="175" t="str">
        <x:f>IF(L38="","",IF(AND(F38="Claim-ready",CJ38="Yes",CL38="Yes",DZ38&lt;&gt;""),"Yes","No / Pending"))</x:f>
      </x:c>
      <x:c r="EC38" s="174"/>
      <x:c r="ED38" s="174"/>
      <x:c r="EE38" s="174"/>
      <x:c r="EF38" s="174"/>
      <x:c r="EG38" s="174"/>
      <x:c r="EH38" s="177"/>
      <x:c r="EI38" s="174"/>
      <x:c r="EJ38" s="174"/>
      <x:c r="EK38" s="174"/>
      <x:c r="EL38" s="177"/>
      <x:c r="EM38" s="174"/>
      <x:c r="EN38" s="181" t="str">
        <x:f>IF(L38="","",(IF(N38&lt;&gt;"",1,0)+IF(O38&lt;&gt;"",1,0)+IF(AJ38&lt;&gt;"",1,0)+IF(AU38&lt;&gt;"",1,0)+IF(BE38&lt;&gt;"",1,0)+IF(CF38&lt;&gt;"",1,0)+IF(CJ38="Yes",1,0)+IF(CL38="Yes",1,0)+IF(DE38&lt;&gt;"Pending",1,0)+IF(F38&lt;&gt;"",1,0)+IF(DZ38&lt;&gt;"",1,0)+IF(EI38&lt;&gt;"",1,0))/12)</x:f>
      </x:c>
    </x:row>
    <x:row r="39">
      <x:c r="A39" s="175" t="str">
        <x:f>IF(L39="","","EV-"&amp;TEXT(ROW()-3,"0000"))</x:f>
      </x:c>
      <x:c r="B39" s="174"/>
      <x:c r="C39" s="175" t="str">
        <x:f>IF(L39="","",IF(OR(CM39="Retracted",CN39="Retracted",F39="Not used"),"🔴 Do not use for conclusion",IF(OR(R39="Official / Institutional",I39="Official / contextual"),"🔵 Official / contextual",IF(OR(I39="Definition",I39="Framework",I39="Paradigm shift"),"🟣 Conceptual key source",IF(AND(CJ39="Yes",CL39="Yes",OR(CG39="High",CG39="Moderate"),CH39&lt;&gt;"High",CH39&lt;&gt;"Critical",F39="Claim-ready"),"🟢 Claim-ready","🟡 Caution / context")))))</x:f>
      </x:c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6"/>
      <x:c r="P39" s="174"/>
      <x:c r="Q39" s="174"/>
      <x:c r="R39" s="174"/>
      <x:c r="S39" s="174"/>
      <x:c r="T39" s="174"/>
      <x:c r="U39" s="174"/>
      <x:c r="V39" s="174"/>
      <x:c r="W39" s="175" t="str">
        <x:f>IF(V39="","",LOWER(SUBSTITUTE(SUBSTITUTE(SUBSTITUTE(SUBSTITUTE(TRIM(V39),"https://doi.org/",""),"http://doi.org/",""),"https://dx.doi.org/",""),"doi:","")))</x:f>
      </x:c>
      <x:c r="X39" s="174"/>
      <x:c r="Y39" s="174"/>
      <x:c r="Z39" s="174"/>
      <x:c r="AA39" s="174"/>
      <x:c r="AB39" s="174"/>
      <x:c r="AC39" s="174"/>
      <x:c r="AD39" s="177"/>
      <x:c r="AE39" s="177"/>
      <x:c r="AF39" s="174"/>
      <x:c r="AG39" s="174"/>
      <x:c r="AH39" s="174"/>
      <x:c r="AI39" s="174"/>
      <x:c r="AJ39" s="174"/>
      <x:c r="AK39" s="175" t="str">
        <x:f>IF(AJ39="","",IF(OR(LOWER(AJ39)="brazil",LOWER(AJ39)="brasil"),"Yes","No"))</x:f>
      </x:c>
      <x:c r="AL39" s="174"/>
      <x:c r="AM39" s="174"/>
      <x:c r="AN39" s="174"/>
      <x:c r="AO39" s="178"/>
      <x:c r="AP39" s="174"/>
      <x:c r="AQ39" s="174"/>
      <x:c r="AR39" s="174"/>
      <x:c r="AS39" s="174"/>
      <x:c r="AT39" s="174"/>
      <x:c r="AU39" s="174"/>
      <x:c r="AV39" s="174"/>
      <x:c r="AW39" s="174"/>
      <x:c r="AX39" s="174"/>
      <x:c r="AY39" s="174"/>
      <x:c r="AZ39" s="174"/>
      <x:c r="BA39" s="174"/>
      <x:c r="BB39" s="174"/>
      <x:c r="BC39" s="174"/>
      <x:c r="BD39" s="174"/>
      <x:c r="BE39" s="174"/>
      <x:c r="BF39" s="174"/>
      <x:c r="BG39" s="174"/>
      <x:c r="BH39" s="174"/>
      <x:c r="BI39" s="174"/>
      <x:c r="BJ39" s="174"/>
      <x:c r="BK39" s="174"/>
      <x:c r="BL39" s="174"/>
      <x:c r="BM39" s="174"/>
      <x:c r="BN39" s="174"/>
      <x:c r="BO39" s="174"/>
      <x:c r="BP39" s="174"/>
      <x:c r="BQ39" s="174"/>
      <x:c r="BR39" s="174"/>
      <x:c r="BS39" s="174"/>
      <x:c r="BT39" s="174"/>
      <x:c r="BU39" s="174"/>
      <x:c r="BV39" s="174"/>
      <x:c r="BW39" s="174"/>
      <x:c r="BX39" s="174"/>
      <x:c r="BY39" s="174"/>
      <x:c r="BZ39" s="174"/>
      <x:c r="CA39" s="174"/>
      <x:c r="CB39" s="174"/>
      <x:c r="CC39" s="174"/>
      <x:c r="CD39" s="174"/>
      <x:c r="CE39" s="174"/>
      <x:c r="CF39" s="174"/>
      <x:c r="CG39" s="174"/>
      <x:c r="CH39" s="174"/>
      <x:c r="CI39" s="179"/>
      <x:c r="CJ39" s="174"/>
      <x:c r="CK39" s="174"/>
      <x:c r="CL39" s="174"/>
      <x:c r="CM39" s="174"/>
      <x:c r="CN39" s="174"/>
      <x:c r="CO39" s="177"/>
      <x:c r="CP39" s="174"/>
      <x:c r="CQ39" s="174"/>
      <x:c r="CR39" s="174"/>
      <x:c r="CS39" s="174"/>
      <x:c r="CT39" s="174"/>
      <x:c r="CU39" s="176"/>
      <x:c r="CV39" s="176"/>
      <x:c r="CW39" s="176"/>
      <x:c r="CX39" s="176"/>
      <x:c r="CY39" s="176"/>
      <x:c r="CZ39" s="176"/>
      <x:c r="DA39" s="176"/>
      <x:c r="DB39" s="175" t="str">
        <x:f>IF(L39="","",IF(COUNT(CU39:DA39)&lt;7,"",SUM(CU39:DA39)))</x:f>
      </x:c>
      <x:c r="DC39" s="180" t="str">
        <x:f>IF(DB39="","",ROUND(DB39/14*10,1))</x:f>
      </x:c>
      <x:c r="DD39" s="174"/>
      <x:c r="DE39" s="175" t="str">
        <x:f>IF(L39="","",IF(DC39="","Pending",IF(DD39="Yes","CONDITIONAL — safety override",IF(DC39&gt;=8,"HIGH",IF(DC39&gt;=5,"CONDITIONAL","LOW")))))</x:f>
      </x:c>
      <x:c r="DF39" s="174"/>
      <x:c r="DG39" s="174"/>
      <x:c r="DH39" s="174"/>
      <x:c r="DI39" s="174"/>
      <x:c r="DJ39" s="174"/>
      <x:c r="DK39" s="174"/>
      <x:c r="DL39" s="174"/>
      <x:c r="DM39" s="174"/>
      <x:c r="DN39" s="174"/>
      <x:c r="DO39" s="174"/>
      <x:c r="DP39" s="174"/>
      <x:c r="DQ39" s="174"/>
      <x:c r="DR39" s="174"/>
      <x:c r="DS39" s="174"/>
      <x:c r="DT39" s="174"/>
      <x:c r="DU39" s="174"/>
      <x:c r="DV39" s="174"/>
      <x:c r="DW39" s="174"/>
      <x:c r="DX39" s="174"/>
      <x:c r="DY39" s="174"/>
      <x:c r="DZ39" s="174"/>
      <x:c r="EA39" s="174"/>
      <x:c r="EB39" s="175" t="str">
        <x:f>IF(L39="","",IF(AND(F39="Claim-ready",CJ39="Yes",CL39="Yes",DZ39&lt;&gt;""),"Yes","No / Pending"))</x:f>
      </x:c>
      <x:c r="EC39" s="174"/>
      <x:c r="ED39" s="174"/>
      <x:c r="EE39" s="174"/>
      <x:c r="EF39" s="174"/>
      <x:c r="EG39" s="174"/>
      <x:c r="EH39" s="177"/>
      <x:c r="EI39" s="174"/>
      <x:c r="EJ39" s="174"/>
      <x:c r="EK39" s="174"/>
      <x:c r="EL39" s="177"/>
      <x:c r="EM39" s="174"/>
      <x:c r="EN39" s="181" t="str">
        <x:f>IF(L39="","",(IF(N39&lt;&gt;"",1,0)+IF(O39&lt;&gt;"",1,0)+IF(AJ39&lt;&gt;"",1,0)+IF(AU39&lt;&gt;"",1,0)+IF(BE39&lt;&gt;"",1,0)+IF(CF39&lt;&gt;"",1,0)+IF(CJ39="Yes",1,0)+IF(CL39="Yes",1,0)+IF(DE39&lt;&gt;"Pending",1,0)+IF(F39&lt;&gt;"",1,0)+IF(DZ39&lt;&gt;"",1,0)+IF(EI39&lt;&gt;"",1,0))/12)</x:f>
      </x:c>
    </x:row>
    <x:row r="40">
      <x:c r="A40" s="175" t="str">
        <x:f>IF(L40="","","EV-"&amp;TEXT(ROW()-3,"0000"))</x:f>
      </x:c>
      <x:c r="B40" s="174"/>
      <x:c r="C40" s="175" t="str">
        <x:f>IF(L40="","",IF(OR(CM40="Retracted",CN40="Retracted",F40="Not used"),"🔴 Do not use for conclusion",IF(OR(R40="Official / Institutional",I40="Official / contextual"),"🔵 Official / contextual",IF(OR(I40="Definition",I40="Framework",I40="Paradigm shift"),"🟣 Conceptual key source",IF(AND(CJ40="Yes",CL40="Yes",OR(CG40="High",CG40="Moderate"),CH40&lt;&gt;"High",CH40&lt;&gt;"Critical",F40="Claim-ready"),"🟢 Claim-ready","🟡 Caution / context")))))</x:f>
      </x:c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6"/>
      <x:c r="P40" s="174"/>
      <x:c r="Q40" s="174"/>
      <x:c r="R40" s="174"/>
      <x:c r="S40" s="174"/>
      <x:c r="T40" s="174"/>
      <x:c r="U40" s="174"/>
      <x:c r="V40" s="174"/>
      <x:c r="W40" s="175" t="str">
        <x:f>IF(V40="","",LOWER(SUBSTITUTE(SUBSTITUTE(SUBSTITUTE(SUBSTITUTE(TRIM(V40),"https://doi.org/",""),"http://doi.org/",""),"https://dx.doi.org/",""),"doi:","")))</x:f>
      </x:c>
      <x:c r="X40" s="174"/>
      <x:c r="Y40" s="174"/>
      <x:c r="Z40" s="174"/>
      <x:c r="AA40" s="174"/>
      <x:c r="AB40" s="174"/>
      <x:c r="AC40" s="174"/>
      <x:c r="AD40" s="177"/>
      <x:c r="AE40" s="177"/>
      <x:c r="AF40" s="174"/>
      <x:c r="AG40" s="174"/>
      <x:c r="AH40" s="174"/>
      <x:c r="AI40" s="174"/>
      <x:c r="AJ40" s="174"/>
      <x:c r="AK40" s="175" t="str">
        <x:f>IF(AJ40="","",IF(OR(LOWER(AJ40)="brazil",LOWER(AJ40)="brasil"),"Yes","No"))</x:f>
      </x:c>
      <x:c r="AL40" s="174"/>
      <x:c r="AM40" s="174"/>
      <x:c r="AN40" s="174"/>
      <x:c r="AO40" s="178"/>
      <x:c r="AP40" s="174"/>
      <x:c r="AQ40" s="174"/>
      <x:c r="AR40" s="174"/>
      <x:c r="AS40" s="174"/>
      <x:c r="AT40" s="174"/>
      <x:c r="AU40" s="174"/>
      <x:c r="AV40" s="174"/>
      <x:c r="AW40" s="174"/>
      <x:c r="AX40" s="174"/>
      <x:c r="AY40" s="174"/>
      <x:c r="AZ40" s="174"/>
      <x:c r="BA40" s="174"/>
      <x:c r="BB40" s="174"/>
      <x:c r="BC40" s="174"/>
      <x:c r="BD40" s="174"/>
      <x:c r="BE40" s="174"/>
      <x:c r="BF40" s="174"/>
      <x:c r="BG40" s="174"/>
      <x:c r="BH40" s="174"/>
      <x:c r="BI40" s="174"/>
      <x:c r="BJ40" s="174"/>
      <x:c r="BK40" s="174"/>
      <x:c r="BL40" s="174"/>
      <x:c r="BM40" s="174"/>
      <x:c r="BN40" s="174"/>
      <x:c r="BO40" s="174"/>
      <x:c r="BP40" s="174"/>
      <x:c r="BQ40" s="174"/>
      <x:c r="BR40" s="174"/>
      <x:c r="BS40" s="174"/>
      <x:c r="BT40" s="174"/>
      <x:c r="BU40" s="174"/>
      <x:c r="BV40" s="174"/>
      <x:c r="BW40" s="174"/>
      <x:c r="BX40" s="174"/>
      <x:c r="BY40" s="174"/>
      <x:c r="BZ40" s="174"/>
      <x:c r="CA40" s="174"/>
      <x:c r="CB40" s="174"/>
      <x:c r="CC40" s="174"/>
      <x:c r="CD40" s="174"/>
      <x:c r="CE40" s="174"/>
      <x:c r="CF40" s="174"/>
      <x:c r="CG40" s="174"/>
      <x:c r="CH40" s="174"/>
      <x:c r="CI40" s="179"/>
      <x:c r="CJ40" s="174"/>
      <x:c r="CK40" s="174"/>
      <x:c r="CL40" s="174"/>
      <x:c r="CM40" s="174"/>
      <x:c r="CN40" s="174"/>
      <x:c r="CO40" s="177"/>
      <x:c r="CP40" s="174"/>
      <x:c r="CQ40" s="174"/>
      <x:c r="CR40" s="174"/>
      <x:c r="CS40" s="174"/>
      <x:c r="CT40" s="174"/>
      <x:c r="CU40" s="176"/>
      <x:c r="CV40" s="176"/>
      <x:c r="CW40" s="176"/>
      <x:c r="CX40" s="176"/>
      <x:c r="CY40" s="176"/>
      <x:c r="CZ40" s="176"/>
      <x:c r="DA40" s="176"/>
      <x:c r="DB40" s="175" t="str">
        <x:f>IF(L40="","",IF(COUNT(CU40:DA40)&lt;7,"",SUM(CU40:DA40)))</x:f>
      </x:c>
      <x:c r="DC40" s="180" t="str">
        <x:f>IF(DB40="","",ROUND(DB40/14*10,1))</x:f>
      </x:c>
      <x:c r="DD40" s="174"/>
      <x:c r="DE40" s="175" t="str">
        <x:f>IF(L40="","",IF(DC40="","Pending",IF(DD40="Yes","CONDITIONAL — safety override",IF(DC40&gt;=8,"HIGH",IF(DC40&gt;=5,"CONDITIONAL","LOW")))))</x:f>
      </x:c>
      <x:c r="DF40" s="174"/>
      <x:c r="DG40" s="174"/>
      <x:c r="DH40" s="174"/>
      <x:c r="DI40" s="174"/>
      <x:c r="DJ40" s="174"/>
      <x:c r="DK40" s="174"/>
      <x:c r="DL40" s="174"/>
      <x:c r="DM40" s="174"/>
      <x:c r="DN40" s="174"/>
      <x:c r="DO40" s="174"/>
      <x:c r="DP40" s="174"/>
      <x:c r="DQ40" s="174"/>
      <x:c r="DR40" s="174"/>
      <x:c r="DS40" s="174"/>
      <x:c r="DT40" s="174"/>
      <x:c r="DU40" s="174"/>
      <x:c r="DV40" s="174"/>
      <x:c r="DW40" s="174"/>
      <x:c r="DX40" s="174"/>
      <x:c r="DY40" s="174"/>
      <x:c r="DZ40" s="174"/>
      <x:c r="EA40" s="174"/>
      <x:c r="EB40" s="175" t="str">
        <x:f>IF(L40="","",IF(AND(F40="Claim-ready",CJ40="Yes",CL40="Yes",DZ40&lt;&gt;""),"Yes","No / Pending"))</x:f>
      </x:c>
      <x:c r="EC40" s="174"/>
      <x:c r="ED40" s="174"/>
      <x:c r="EE40" s="174"/>
      <x:c r="EF40" s="174"/>
      <x:c r="EG40" s="174"/>
      <x:c r="EH40" s="177"/>
      <x:c r="EI40" s="174"/>
      <x:c r="EJ40" s="174"/>
      <x:c r="EK40" s="174"/>
      <x:c r="EL40" s="177"/>
      <x:c r="EM40" s="174"/>
      <x:c r="EN40" s="181" t="str">
        <x:f>IF(L40="","",(IF(N40&lt;&gt;"",1,0)+IF(O40&lt;&gt;"",1,0)+IF(AJ40&lt;&gt;"",1,0)+IF(AU40&lt;&gt;"",1,0)+IF(BE40&lt;&gt;"",1,0)+IF(CF40&lt;&gt;"",1,0)+IF(CJ40="Yes",1,0)+IF(CL40="Yes",1,0)+IF(DE40&lt;&gt;"Pending",1,0)+IF(F40&lt;&gt;"",1,0)+IF(DZ40&lt;&gt;"",1,0)+IF(EI40&lt;&gt;"",1,0))/12)</x:f>
      </x:c>
    </x:row>
    <x:row r="41">
      <x:c r="A41" s="175" t="str">
        <x:f>IF(L41="","","EV-"&amp;TEXT(ROW()-3,"0000"))</x:f>
      </x:c>
      <x:c r="B41" s="174"/>
      <x:c r="C41" s="175" t="str">
        <x:f>IF(L41="","",IF(OR(CM41="Retracted",CN41="Retracted",F41="Not used"),"🔴 Do not use for conclusion",IF(OR(R41="Official / Institutional",I41="Official / contextual"),"🔵 Official / contextual",IF(OR(I41="Definition",I41="Framework",I41="Paradigm shift"),"🟣 Conceptual key source",IF(AND(CJ41="Yes",CL41="Yes",OR(CG41="High",CG41="Moderate"),CH41&lt;&gt;"High",CH41&lt;&gt;"Critical",F41="Claim-ready"),"🟢 Claim-ready","🟡 Caution / context")))))</x:f>
      </x:c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6"/>
      <x:c r="P41" s="174"/>
      <x:c r="Q41" s="174"/>
      <x:c r="R41" s="174"/>
      <x:c r="S41" s="174"/>
      <x:c r="T41" s="174"/>
      <x:c r="U41" s="174"/>
      <x:c r="V41" s="174"/>
      <x:c r="W41" s="175" t="str">
        <x:f>IF(V41="","",LOWER(SUBSTITUTE(SUBSTITUTE(SUBSTITUTE(SUBSTITUTE(TRIM(V41),"https://doi.org/",""),"http://doi.org/",""),"https://dx.doi.org/",""),"doi:","")))</x:f>
      </x:c>
      <x:c r="X41" s="174"/>
      <x:c r="Y41" s="174"/>
      <x:c r="Z41" s="174"/>
      <x:c r="AA41" s="174"/>
      <x:c r="AB41" s="174"/>
      <x:c r="AC41" s="174"/>
      <x:c r="AD41" s="177"/>
      <x:c r="AE41" s="177"/>
      <x:c r="AF41" s="174"/>
      <x:c r="AG41" s="174"/>
      <x:c r="AH41" s="174"/>
      <x:c r="AI41" s="174"/>
      <x:c r="AJ41" s="174"/>
      <x:c r="AK41" s="175" t="str">
        <x:f>IF(AJ41="","",IF(OR(LOWER(AJ41)="brazil",LOWER(AJ41)="brasil"),"Yes","No"))</x:f>
      </x:c>
      <x:c r="AL41" s="174"/>
      <x:c r="AM41" s="174"/>
      <x:c r="AN41" s="174"/>
      <x:c r="AO41" s="178"/>
      <x:c r="AP41" s="174"/>
      <x:c r="AQ41" s="174"/>
      <x:c r="AR41" s="174"/>
      <x:c r="AS41" s="174"/>
      <x:c r="AT41" s="174"/>
      <x:c r="AU41" s="174"/>
      <x:c r="AV41" s="174"/>
      <x:c r="AW41" s="174"/>
      <x:c r="AX41" s="174"/>
      <x:c r="AY41" s="174"/>
      <x:c r="AZ41" s="174"/>
      <x:c r="BA41" s="174"/>
      <x:c r="BB41" s="174"/>
      <x:c r="BC41" s="174"/>
      <x:c r="BD41" s="174"/>
      <x:c r="BE41" s="174"/>
      <x:c r="BF41" s="174"/>
      <x:c r="BG41" s="174"/>
      <x:c r="BH41" s="174"/>
      <x:c r="BI41" s="174"/>
      <x:c r="BJ41" s="174"/>
      <x:c r="BK41" s="174"/>
      <x:c r="BL41" s="174"/>
      <x:c r="BM41" s="174"/>
      <x:c r="BN41" s="174"/>
      <x:c r="BO41" s="174"/>
      <x:c r="BP41" s="174"/>
      <x:c r="BQ41" s="174"/>
      <x:c r="BR41" s="174"/>
      <x:c r="BS41" s="174"/>
      <x:c r="BT41" s="174"/>
      <x:c r="BU41" s="174"/>
      <x:c r="BV41" s="174"/>
      <x:c r="BW41" s="174"/>
      <x:c r="BX41" s="174"/>
      <x:c r="BY41" s="174"/>
      <x:c r="BZ41" s="174"/>
      <x:c r="CA41" s="174"/>
      <x:c r="CB41" s="174"/>
      <x:c r="CC41" s="174"/>
      <x:c r="CD41" s="174"/>
      <x:c r="CE41" s="174"/>
      <x:c r="CF41" s="174"/>
      <x:c r="CG41" s="174"/>
      <x:c r="CH41" s="174"/>
      <x:c r="CI41" s="179"/>
      <x:c r="CJ41" s="174"/>
      <x:c r="CK41" s="174"/>
      <x:c r="CL41" s="174"/>
      <x:c r="CM41" s="174"/>
      <x:c r="CN41" s="174"/>
      <x:c r="CO41" s="177"/>
      <x:c r="CP41" s="174"/>
      <x:c r="CQ41" s="174"/>
      <x:c r="CR41" s="174"/>
      <x:c r="CS41" s="174"/>
      <x:c r="CT41" s="174"/>
      <x:c r="CU41" s="176"/>
      <x:c r="CV41" s="176"/>
      <x:c r="CW41" s="176"/>
      <x:c r="CX41" s="176"/>
      <x:c r="CY41" s="176"/>
      <x:c r="CZ41" s="176"/>
      <x:c r="DA41" s="176"/>
      <x:c r="DB41" s="175" t="str">
        <x:f>IF(L41="","",IF(COUNT(CU41:DA41)&lt;7,"",SUM(CU41:DA41)))</x:f>
      </x:c>
      <x:c r="DC41" s="180" t="str">
        <x:f>IF(DB41="","",ROUND(DB41/14*10,1))</x:f>
      </x:c>
      <x:c r="DD41" s="174"/>
      <x:c r="DE41" s="175" t="str">
        <x:f>IF(L41="","",IF(DC41="","Pending",IF(DD41="Yes","CONDITIONAL — safety override",IF(DC41&gt;=8,"HIGH",IF(DC41&gt;=5,"CONDITIONAL","LOW")))))</x:f>
      </x:c>
      <x:c r="DF41" s="174"/>
      <x:c r="DG41" s="174"/>
      <x:c r="DH41" s="174"/>
      <x:c r="DI41" s="174"/>
      <x:c r="DJ41" s="174"/>
      <x:c r="DK41" s="174"/>
      <x:c r="DL41" s="174"/>
      <x:c r="DM41" s="174"/>
      <x:c r="DN41" s="174"/>
      <x:c r="DO41" s="174"/>
      <x:c r="DP41" s="174"/>
      <x:c r="DQ41" s="174"/>
      <x:c r="DR41" s="174"/>
      <x:c r="DS41" s="174"/>
      <x:c r="DT41" s="174"/>
      <x:c r="DU41" s="174"/>
      <x:c r="DV41" s="174"/>
      <x:c r="DW41" s="174"/>
      <x:c r="DX41" s="174"/>
      <x:c r="DY41" s="174"/>
      <x:c r="DZ41" s="174"/>
      <x:c r="EA41" s="174"/>
      <x:c r="EB41" s="175" t="str">
        <x:f>IF(L41="","",IF(AND(F41="Claim-ready",CJ41="Yes",CL41="Yes",DZ41&lt;&gt;""),"Yes","No / Pending"))</x:f>
      </x:c>
      <x:c r="EC41" s="174"/>
      <x:c r="ED41" s="174"/>
      <x:c r="EE41" s="174"/>
      <x:c r="EF41" s="174"/>
      <x:c r="EG41" s="174"/>
      <x:c r="EH41" s="177"/>
      <x:c r="EI41" s="174"/>
      <x:c r="EJ41" s="174"/>
      <x:c r="EK41" s="174"/>
      <x:c r="EL41" s="177"/>
      <x:c r="EM41" s="174"/>
      <x:c r="EN41" s="181" t="str">
        <x:f>IF(L41="","",(IF(N41&lt;&gt;"",1,0)+IF(O41&lt;&gt;"",1,0)+IF(AJ41&lt;&gt;"",1,0)+IF(AU41&lt;&gt;"",1,0)+IF(BE41&lt;&gt;"",1,0)+IF(CF41&lt;&gt;"",1,0)+IF(CJ41="Yes",1,0)+IF(CL41="Yes",1,0)+IF(DE41&lt;&gt;"Pending",1,0)+IF(F41&lt;&gt;"",1,0)+IF(DZ41&lt;&gt;"",1,0)+IF(EI41&lt;&gt;"",1,0))/12)</x:f>
      </x:c>
    </x:row>
    <x:row r="42">
      <x:c r="A42" s="175" t="str">
        <x:f>IF(L42="","","EV-"&amp;TEXT(ROW()-3,"0000"))</x:f>
      </x:c>
      <x:c r="B42" s="174"/>
      <x:c r="C42" s="175" t="str">
        <x:f>IF(L42="","",IF(OR(CM42="Retracted",CN42="Retracted",F42="Not used"),"🔴 Do not use for conclusion",IF(OR(R42="Official / Institutional",I42="Official / contextual"),"🔵 Official / contextual",IF(OR(I42="Definition",I42="Framework",I42="Paradigm shift"),"🟣 Conceptual key source",IF(AND(CJ42="Yes",CL42="Yes",OR(CG42="High",CG42="Moderate"),CH42&lt;&gt;"High",CH42&lt;&gt;"Critical",F42="Claim-ready"),"🟢 Claim-ready","🟡 Caution / context")))))</x:f>
      </x:c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6"/>
      <x:c r="P42" s="174"/>
      <x:c r="Q42" s="174"/>
      <x:c r="R42" s="174"/>
      <x:c r="S42" s="174"/>
      <x:c r="T42" s="174"/>
      <x:c r="U42" s="174"/>
      <x:c r="V42" s="174"/>
      <x:c r="W42" s="175" t="str">
        <x:f>IF(V42="","",LOWER(SUBSTITUTE(SUBSTITUTE(SUBSTITUTE(SUBSTITUTE(TRIM(V42),"https://doi.org/",""),"http://doi.org/",""),"https://dx.doi.org/",""),"doi:","")))</x:f>
      </x:c>
      <x:c r="X42" s="174"/>
      <x:c r="Y42" s="174"/>
      <x:c r="Z42" s="174"/>
      <x:c r="AA42" s="174"/>
      <x:c r="AB42" s="174"/>
      <x:c r="AC42" s="174"/>
      <x:c r="AD42" s="177"/>
      <x:c r="AE42" s="177"/>
      <x:c r="AF42" s="174"/>
      <x:c r="AG42" s="174"/>
      <x:c r="AH42" s="174"/>
      <x:c r="AI42" s="174"/>
      <x:c r="AJ42" s="174"/>
      <x:c r="AK42" s="175" t="str">
        <x:f>IF(AJ42="","",IF(OR(LOWER(AJ42)="brazil",LOWER(AJ42)="brasil"),"Yes","No"))</x:f>
      </x:c>
      <x:c r="AL42" s="174"/>
      <x:c r="AM42" s="174"/>
      <x:c r="AN42" s="174"/>
      <x:c r="AO42" s="178"/>
      <x:c r="AP42" s="174"/>
      <x:c r="AQ42" s="174"/>
      <x:c r="AR42" s="174"/>
      <x:c r="AS42" s="174"/>
      <x:c r="AT42" s="174"/>
      <x:c r="AU42" s="174"/>
      <x:c r="AV42" s="174"/>
      <x:c r="AW42" s="174"/>
      <x:c r="AX42" s="174"/>
      <x:c r="AY42" s="174"/>
      <x:c r="AZ42" s="174"/>
      <x:c r="BA42" s="174"/>
      <x:c r="BB42" s="174"/>
      <x:c r="BC42" s="174"/>
      <x:c r="BD42" s="174"/>
      <x:c r="BE42" s="174"/>
      <x:c r="BF42" s="174"/>
      <x:c r="BG42" s="174"/>
      <x:c r="BH42" s="174"/>
      <x:c r="BI42" s="174"/>
      <x:c r="BJ42" s="174"/>
      <x:c r="BK42" s="174"/>
      <x:c r="BL42" s="174"/>
      <x:c r="BM42" s="174"/>
      <x:c r="BN42" s="174"/>
      <x:c r="BO42" s="174"/>
      <x:c r="BP42" s="174"/>
      <x:c r="BQ42" s="174"/>
      <x:c r="BR42" s="174"/>
      <x:c r="BS42" s="174"/>
      <x:c r="BT42" s="174"/>
      <x:c r="BU42" s="174"/>
      <x:c r="BV42" s="174"/>
      <x:c r="BW42" s="174"/>
      <x:c r="BX42" s="174"/>
      <x:c r="BY42" s="174"/>
      <x:c r="BZ42" s="174"/>
      <x:c r="CA42" s="174"/>
      <x:c r="CB42" s="174"/>
      <x:c r="CC42" s="174"/>
      <x:c r="CD42" s="174"/>
      <x:c r="CE42" s="174"/>
      <x:c r="CF42" s="174"/>
      <x:c r="CG42" s="174"/>
      <x:c r="CH42" s="174"/>
      <x:c r="CI42" s="179"/>
      <x:c r="CJ42" s="174"/>
      <x:c r="CK42" s="174"/>
      <x:c r="CL42" s="174"/>
      <x:c r="CM42" s="174"/>
      <x:c r="CN42" s="174"/>
      <x:c r="CO42" s="177"/>
      <x:c r="CP42" s="174"/>
      <x:c r="CQ42" s="174"/>
      <x:c r="CR42" s="174"/>
      <x:c r="CS42" s="174"/>
      <x:c r="CT42" s="174"/>
      <x:c r="CU42" s="176"/>
      <x:c r="CV42" s="176"/>
      <x:c r="CW42" s="176"/>
      <x:c r="CX42" s="176"/>
      <x:c r="CY42" s="176"/>
      <x:c r="CZ42" s="176"/>
      <x:c r="DA42" s="176"/>
      <x:c r="DB42" s="175" t="str">
        <x:f>IF(L42="","",IF(COUNT(CU42:DA42)&lt;7,"",SUM(CU42:DA42)))</x:f>
      </x:c>
      <x:c r="DC42" s="180" t="str">
        <x:f>IF(DB42="","",ROUND(DB42/14*10,1))</x:f>
      </x:c>
      <x:c r="DD42" s="174"/>
      <x:c r="DE42" s="175" t="str">
        <x:f>IF(L42="","",IF(DC42="","Pending",IF(DD42="Yes","CONDITIONAL — safety override",IF(DC42&gt;=8,"HIGH",IF(DC42&gt;=5,"CONDITIONAL","LOW")))))</x:f>
      </x:c>
      <x:c r="DF42" s="174"/>
      <x:c r="DG42" s="174"/>
      <x:c r="DH42" s="174"/>
      <x:c r="DI42" s="174"/>
      <x:c r="DJ42" s="174"/>
      <x:c r="DK42" s="174"/>
      <x:c r="DL42" s="174"/>
      <x:c r="DM42" s="174"/>
      <x:c r="DN42" s="174"/>
      <x:c r="DO42" s="174"/>
      <x:c r="DP42" s="174"/>
      <x:c r="DQ42" s="174"/>
      <x:c r="DR42" s="174"/>
      <x:c r="DS42" s="174"/>
      <x:c r="DT42" s="174"/>
      <x:c r="DU42" s="174"/>
      <x:c r="DV42" s="174"/>
      <x:c r="DW42" s="174"/>
      <x:c r="DX42" s="174"/>
      <x:c r="DY42" s="174"/>
      <x:c r="DZ42" s="174"/>
      <x:c r="EA42" s="174"/>
      <x:c r="EB42" s="175" t="str">
        <x:f>IF(L42="","",IF(AND(F42="Claim-ready",CJ42="Yes",CL42="Yes",DZ42&lt;&gt;""),"Yes","No / Pending"))</x:f>
      </x:c>
      <x:c r="EC42" s="174"/>
      <x:c r="ED42" s="174"/>
      <x:c r="EE42" s="174"/>
      <x:c r="EF42" s="174"/>
      <x:c r="EG42" s="174"/>
      <x:c r="EH42" s="177"/>
      <x:c r="EI42" s="174"/>
      <x:c r="EJ42" s="174"/>
      <x:c r="EK42" s="174"/>
      <x:c r="EL42" s="177"/>
      <x:c r="EM42" s="174"/>
      <x:c r="EN42" s="181" t="str">
        <x:f>IF(L42="","",(IF(N42&lt;&gt;"",1,0)+IF(O42&lt;&gt;"",1,0)+IF(AJ42&lt;&gt;"",1,0)+IF(AU42&lt;&gt;"",1,0)+IF(BE42&lt;&gt;"",1,0)+IF(CF42&lt;&gt;"",1,0)+IF(CJ42="Yes",1,0)+IF(CL42="Yes",1,0)+IF(DE42&lt;&gt;"Pending",1,0)+IF(F42&lt;&gt;"",1,0)+IF(DZ42&lt;&gt;"",1,0)+IF(EI42&lt;&gt;"",1,0))/12)</x:f>
      </x:c>
    </x:row>
    <x:row r="43">
      <x:c r="A43" s="175" t="str">
        <x:f>IF(L43="","","EV-"&amp;TEXT(ROW()-3,"0000"))</x:f>
      </x:c>
      <x:c r="B43" s="174"/>
      <x:c r="C43" s="175" t="str">
        <x:f>IF(L43="","",IF(OR(CM43="Retracted",CN43="Retracted",F43="Not used"),"🔴 Do not use for conclusion",IF(OR(R43="Official / Institutional",I43="Official / contextual"),"🔵 Official / contextual",IF(OR(I43="Definition",I43="Framework",I43="Paradigm shift"),"🟣 Conceptual key source",IF(AND(CJ43="Yes",CL43="Yes",OR(CG43="High",CG43="Moderate"),CH43&lt;&gt;"High",CH43&lt;&gt;"Critical",F43="Claim-ready"),"🟢 Claim-ready","🟡 Caution / context")))))</x:f>
      </x:c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6"/>
      <x:c r="P43" s="174"/>
      <x:c r="Q43" s="174"/>
      <x:c r="R43" s="174"/>
      <x:c r="S43" s="174"/>
      <x:c r="T43" s="174"/>
      <x:c r="U43" s="174"/>
      <x:c r="V43" s="174"/>
      <x:c r="W43" s="175" t="str">
        <x:f>IF(V43="","",LOWER(SUBSTITUTE(SUBSTITUTE(SUBSTITUTE(SUBSTITUTE(TRIM(V43),"https://doi.org/",""),"http://doi.org/",""),"https://dx.doi.org/",""),"doi:","")))</x:f>
      </x:c>
      <x:c r="X43" s="174"/>
      <x:c r="Y43" s="174"/>
      <x:c r="Z43" s="174"/>
      <x:c r="AA43" s="174"/>
      <x:c r="AB43" s="174"/>
      <x:c r="AC43" s="174"/>
      <x:c r="AD43" s="177"/>
      <x:c r="AE43" s="177"/>
      <x:c r="AF43" s="174"/>
      <x:c r="AG43" s="174"/>
      <x:c r="AH43" s="174"/>
      <x:c r="AI43" s="174"/>
      <x:c r="AJ43" s="174"/>
      <x:c r="AK43" s="175" t="str">
        <x:f>IF(AJ43="","",IF(OR(LOWER(AJ43)="brazil",LOWER(AJ43)="brasil"),"Yes","No"))</x:f>
      </x:c>
      <x:c r="AL43" s="174"/>
      <x:c r="AM43" s="174"/>
      <x:c r="AN43" s="174"/>
      <x:c r="AO43" s="178"/>
      <x:c r="AP43" s="174"/>
      <x:c r="AQ43" s="174"/>
      <x:c r="AR43" s="174"/>
      <x:c r="AS43" s="174"/>
      <x:c r="AT43" s="174"/>
      <x:c r="AU43" s="174"/>
      <x:c r="AV43" s="174"/>
      <x:c r="AW43" s="174"/>
      <x:c r="AX43" s="174"/>
      <x:c r="AY43" s="174"/>
      <x:c r="AZ43" s="174"/>
      <x:c r="BA43" s="174"/>
      <x:c r="BB43" s="174"/>
      <x:c r="BC43" s="174"/>
      <x:c r="BD43" s="174"/>
      <x:c r="BE43" s="174"/>
      <x:c r="BF43" s="174"/>
      <x:c r="BG43" s="174"/>
      <x:c r="BH43" s="174"/>
      <x:c r="BI43" s="174"/>
      <x:c r="BJ43" s="174"/>
      <x:c r="BK43" s="174"/>
      <x:c r="BL43" s="174"/>
      <x:c r="BM43" s="174"/>
      <x:c r="BN43" s="174"/>
      <x:c r="BO43" s="174"/>
      <x:c r="BP43" s="174"/>
      <x:c r="BQ43" s="174"/>
      <x:c r="BR43" s="174"/>
      <x:c r="BS43" s="174"/>
      <x:c r="BT43" s="174"/>
      <x:c r="BU43" s="174"/>
      <x:c r="BV43" s="174"/>
      <x:c r="BW43" s="174"/>
      <x:c r="BX43" s="174"/>
      <x:c r="BY43" s="174"/>
      <x:c r="BZ43" s="174"/>
      <x:c r="CA43" s="174"/>
      <x:c r="CB43" s="174"/>
      <x:c r="CC43" s="174"/>
      <x:c r="CD43" s="174"/>
      <x:c r="CE43" s="174"/>
      <x:c r="CF43" s="174"/>
      <x:c r="CG43" s="174"/>
      <x:c r="CH43" s="174"/>
      <x:c r="CI43" s="179"/>
      <x:c r="CJ43" s="174"/>
      <x:c r="CK43" s="174"/>
      <x:c r="CL43" s="174"/>
      <x:c r="CM43" s="174"/>
      <x:c r="CN43" s="174"/>
      <x:c r="CO43" s="177"/>
      <x:c r="CP43" s="174"/>
      <x:c r="CQ43" s="174"/>
      <x:c r="CR43" s="174"/>
      <x:c r="CS43" s="174"/>
      <x:c r="CT43" s="174"/>
      <x:c r="CU43" s="176"/>
      <x:c r="CV43" s="176"/>
      <x:c r="CW43" s="176"/>
      <x:c r="CX43" s="176"/>
      <x:c r="CY43" s="176"/>
      <x:c r="CZ43" s="176"/>
      <x:c r="DA43" s="176"/>
      <x:c r="DB43" s="175" t="str">
        <x:f>IF(L43="","",IF(COUNT(CU43:DA43)&lt;7,"",SUM(CU43:DA43)))</x:f>
      </x:c>
      <x:c r="DC43" s="180" t="str">
        <x:f>IF(DB43="","",ROUND(DB43/14*10,1))</x:f>
      </x:c>
      <x:c r="DD43" s="174"/>
      <x:c r="DE43" s="175" t="str">
        <x:f>IF(L43="","",IF(DC43="","Pending",IF(DD43="Yes","CONDITIONAL — safety override",IF(DC43&gt;=8,"HIGH",IF(DC43&gt;=5,"CONDITIONAL","LOW")))))</x:f>
      </x:c>
      <x:c r="DF43" s="174"/>
      <x:c r="DG43" s="174"/>
      <x:c r="DH43" s="174"/>
      <x:c r="DI43" s="174"/>
      <x:c r="DJ43" s="174"/>
      <x:c r="DK43" s="174"/>
      <x:c r="DL43" s="174"/>
      <x:c r="DM43" s="174"/>
      <x:c r="DN43" s="174"/>
      <x:c r="DO43" s="174"/>
      <x:c r="DP43" s="174"/>
      <x:c r="DQ43" s="174"/>
      <x:c r="DR43" s="174"/>
      <x:c r="DS43" s="174"/>
      <x:c r="DT43" s="174"/>
      <x:c r="DU43" s="174"/>
      <x:c r="DV43" s="174"/>
      <x:c r="DW43" s="174"/>
      <x:c r="DX43" s="174"/>
      <x:c r="DY43" s="174"/>
      <x:c r="DZ43" s="174"/>
      <x:c r="EA43" s="174"/>
      <x:c r="EB43" s="175" t="str">
        <x:f>IF(L43="","",IF(AND(F43="Claim-ready",CJ43="Yes",CL43="Yes",DZ43&lt;&gt;""),"Yes","No / Pending"))</x:f>
      </x:c>
      <x:c r="EC43" s="174"/>
      <x:c r="ED43" s="174"/>
      <x:c r="EE43" s="174"/>
      <x:c r="EF43" s="174"/>
      <x:c r="EG43" s="174"/>
      <x:c r="EH43" s="177"/>
      <x:c r="EI43" s="174"/>
      <x:c r="EJ43" s="174"/>
      <x:c r="EK43" s="174"/>
      <x:c r="EL43" s="177"/>
      <x:c r="EM43" s="174"/>
      <x:c r="EN43" s="181" t="str">
        <x:f>IF(L43="","",(IF(N43&lt;&gt;"",1,0)+IF(O43&lt;&gt;"",1,0)+IF(AJ43&lt;&gt;"",1,0)+IF(AU43&lt;&gt;"",1,0)+IF(BE43&lt;&gt;"",1,0)+IF(CF43&lt;&gt;"",1,0)+IF(CJ43="Yes",1,0)+IF(CL43="Yes",1,0)+IF(DE43&lt;&gt;"Pending",1,0)+IF(F43&lt;&gt;"",1,0)+IF(DZ43&lt;&gt;"",1,0)+IF(EI43&lt;&gt;"",1,0))/12)</x:f>
      </x:c>
    </x:row>
    <x:row r="44">
      <x:c r="A44" s="175" t="str">
        <x:f>IF(L44="","","EV-"&amp;TEXT(ROW()-3,"0000"))</x:f>
      </x:c>
      <x:c r="B44" s="174"/>
      <x:c r="C44" s="175" t="str">
        <x:f>IF(L44="","",IF(OR(CM44="Retracted",CN44="Retracted",F44="Not used"),"🔴 Do not use for conclusion",IF(OR(R44="Official / Institutional",I44="Official / contextual"),"🔵 Official / contextual",IF(OR(I44="Definition",I44="Framework",I44="Paradigm shift"),"🟣 Conceptual key source",IF(AND(CJ44="Yes",CL44="Yes",OR(CG44="High",CG44="Moderate"),CH44&lt;&gt;"High",CH44&lt;&gt;"Critical",F44="Claim-ready"),"🟢 Claim-ready","🟡 Caution / context")))))</x:f>
      </x:c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6"/>
      <x:c r="P44" s="174"/>
      <x:c r="Q44" s="174"/>
      <x:c r="R44" s="174"/>
      <x:c r="S44" s="174"/>
      <x:c r="T44" s="174"/>
      <x:c r="U44" s="174"/>
      <x:c r="V44" s="174"/>
      <x:c r="W44" s="175" t="str">
        <x:f>IF(V44="","",LOWER(SUBSTITUTE(SUBSTITUTE(SUBSTITUTE(SUBSTITUTE(TRIM(V44),"https://doi.org/",""),"http://doi.org/",""),"https://dx.doi.org/",""),"doi:","")))</x:f>
      </x:c>
      <x:c r="X44" s="174"/>
      <x:c r="Y44" s="174"/>
      <x:c r="Z44" s="174"/>
      <x:c r="AA44" s="174"/>
      <x:c r="AB44" s="174"/>
      <x:c r="AC44" s="174"/>
      <x:c r="AD44" s="177"/>
      <x:c r="AE44" s="177"/>
      <x:c r="AF44" s="174"/>
      <x:c r="AG44" s="174"/>
      <x:c r="AH44" s="174"/>
      <x:c r="AI44" s="174"/>
      <x:c r="AJ44" s="174"/>
      <x:c r="AK44" s="175" t="str">
        <x:f>IF(AJ44="","",IF(OR(LOWER(AJ44)="brazil",LOWER(AJ44)="brasil"),"Yes","No"))</x:f>
      </x:c>
      <x:c r="AL44" s="174"/>
      <x:c r="AM44" s="174"/>
      <x:c r="AN44" s="174"/>
      <x:c r="AO44" s="178"/>
      <x:c r="AP44" s="174"/>
      <x:c r="AQ44" s="174"/>
      <x:c r="AR44" s="174"/>
      <x:c r="AS44" s="174"/>
      <x:c r="AT44" s="174"/>
      <x:c r="AU44" s="174"/>
      <x:c r="AV44" s="174"/>
      <x:c r="AW44" s="174"/>
      <x:c r="AX44" s="174"/>
      <x:c r="AY44" s="174"/>
      <x:c r="AZ44" s="174"/>
      <x:c r="BA44" s="174"/>
      <x:c r="BB44" s="174"/>
      <x:c r="BC44" s="174"/>
      <x:c r="BD44" s="174"/>
      <x:c r="BE44" s="174"/>
      <x:c r="BF44" s="174"/>
      <x:c r="BG44" s="174"/>
      <x:c r="BH44" s="174"/>
      <x:c r="BI44" s="174"/>
      <x:c r="BJ44" s="174"/>
      <x:c r="BK44" s="174"/>
      <x:c r="BL44" s="174"/>
      <x:c r="BM44" s="174"/>
      <x:c r="BN44" s="174"/>
      <x:c r="BO44" s="174"/>
      <x:c r="BP44" s="174"/>
      <x:c r="BQ44" s="174"/>
      <x:c r="BR44" s="174"/>
      <x:c r="BS44" s="174"/>
      <x:c r="BT44" s="174"/>
      <x:c r="BU44" s="174"/>
      <x:c r="BV44" s="174"/>
      <x:c r="BW44" s="174"/>
      <x:c r="BX44" s="174"/>
      <x:c r="BY44" s="174"/>
      <x:c r="BZ44" s="174"/>
      <x:c r="CA44" s="174"/>
      <x:c r="CB44" s="174"/>
      <x:c r="CC44" s="174"/>
      <x:c r="CD44" s="174"/>
      <x:c r="CE44" s="174"/>
      <x:c r="CF44" s="174"/>
      <x:c r="CG44" s="174"/>
      <x:c r="CH44" s="174"/>
      <x:c r="CI44" s="179"/>
      <x:c r="CJ44" s="174"/>
      <x:c r="CK44" s="174"/>
      <x:c r="CL44" s="174"/>
      <x:c r="CM44" s="174"/>
      <x:c r="CN44" s="174"/>
      <x:c r="CO44" s="177"/>
      <x:c r="CP44" s="174"/>
      <x:c r="CQ44" s="174"/>
      <x:c r="CR44" s="174"/>
      <x:c r="CS44" s="174"/>
      <x:c r="CT44" s="174"/>
      <x:c r="CU44" s="176"/>
      <x:c r="CV44" s="176"/>
      <x:c r="CW44" s="176"/>
      <x:c r="CX44" s="176"/>
      <x:c r="CY44" s="176"/>
      <x:c r="CZ44" s="176"/>
      <x:c r="DA44" s="176"/>
      <x:c r="DB44" s="175" t="str">
        <x:f>IF(L44="","",IF(COUNT(CU44:DA44)&lt;7,"",SUM(CU44:DA44)))</x:f>
      </x:c>
      <x:c r="DC44" s="180" t="str">
        <x:f>IF(DB44="","",ROUND(DB44/14*10,1))</x:f>
      </x:c>
      <x:c r="DD44" s="174"/>
      <x:c r="DE44" s="175" t="str">
        <x:f>IF(L44="","",IF(DC44="","Pending",IF(DD44="Yes","CONDITIONAL — safety override",IF(DC44&gt;=8,"HIGH",IF(DC44&gt;=5,"CONDITIONAL","LOW")))))</x:f>
      </x:c>
      <x:c r="DF44" s="174"/>
      <x:c r="DG44" s="174"/>
      <x:c r="DH44" s="174"/>
      <x:c r="DI44" s="174"/>
      <x:c r="DJ44" s="174"/>
      <x:c r="DK44" s="174"/>
      <x:c r="DL44" s="174"/>
      <x:c r="DM44" s="174"/>
      <x:c r="DN44" s="174"/>
      <x:c r="DO44" s="174"/>
      <x:c r="DP44" s="174"/>
      <x:c r="DQ44" s="174"/>
      <x:c r="DR44" s="174"/>
      <x:c r="DS44" s="174"/>
      <x:c r="DT44" s="174"/>
      <x:c r="DU44" s="174"/>
      <x:c r="DV44" s="174"/>
      <x:c r="DW44" s="174"/>
      <x:c r="DX44" s="174"/>
      <x:c r="DY44" s="174"/>
      <x:c r="DZ44" s="174"/>
      <x:c r="EA44" s="174"/>
      <x:c r="EB44" s="175" t="str">
        <x:f>IF(L44="","",IF(AND(F44="Claim-ready",CJ44="Yes",CL44="Yes",DZ44&lt;&gt;""),"Yes","No / Pending"))</x:f>
      </x:c>
      <x:c r="EC44" s="174"/>
      <x:c r="ED44" s="174"/>
      <x:c r="EE44" s="174"/>
      <x:c r="EF44" s="174"/>
      <x:c r="EG44" s="174"/>
      <x:c r="EH44" s="177"/>
      <x:c r="EI44" s="174"/>
      <x:c r="EJ44" s="174"/>
      <x:c r="EK44" s="174"/>
      <x:c r="EL44" s="177"/>
      <x:c r="EM44" s="174"/>
      <x:c r="EN44" s="181" t="str">
        <x:f>IF(L44="","",(IF(N44&lt;&gt;"",1,0)+IF(O44&lt;&gt;"",1,0)+IF(AJ44&lt;&gt;"",1,0)+IF(AU44&lt;&gt;"",1,0)+IF(BE44&lt;&gt;"",1,0)+IF(CF44&lt;&gt;"",1,0)+IF(CJ44="Yes",1,0)+IF(CL44="Yes",1,0)+IF(DE44&lt;&gt;"Pending",1,0)+IF(F44&lt;&gt;"",1,0)+IF(DZ44&lt;&gt;"",1,0)+IF(EI44&lt;&gt;"",1,0))/12)</x:f>
      </x:c>
    </x:row>
    <x:row r="45">
      <x:c r="A45" s="175" t="str">
        <x:f>IF(L45="","","EV-"&amp;TEXT(ROW()-3,"0000"))</x:f>
      </x:c>
      <x:c r="B45" s="174"/>
      <x:c r="C45" s="175" t="str">
        <x:f>IF(L45="","",IF(OR(CM45="Retracted",CN45="Retracted",F45="Not used"),"🔴 Do not use for conclusion",IF(OR(R45="Official / Institutional",I45="Official / contextual"),"🔵 Official / contextual",IF(OR(I45="Definition",I45="Framework",I45="Paradigm shift"),"🟣 Conceptual key source",IF(AND(CJ45="Yes",CL45="Yes",OR(CG45="High",CG45="Moderate"),CH45&lt;&gt;"High",CH45&lt;&gt;"Critical",F45="Claim-ready"),"🟢 Claim-ready","🟡 Caution / context")))))</x:f>
      </x:c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6"/>
      <x:c r="P45" s="174"/>
      <x:c r="Q45" s="174"/>
      <x:c r="R45" s="174"/>
      <x:c r="S45" s="174"/>
      <x:c r="T45" s="174"/>
      <x:c r="U45" s="174"/>
      <x:c r="V45" s="174"/>
      <x:c r="W45" s="175" t="str">
        <x:f>IF(V45="","",LOWER(SUBSTITUTE(SUBSTITUTE(SUBSTITUTE(SUBSTITUTE(TRIM(V45),"https://doi.org/",""),"http://doi.org/",""),"https://dx.doi.org/",""),"doi:","")))</x:f>
      </x:c>
      <x:c r="X45" s="174"/>
      <x:c r="Y45" s="174"/>
      <x:c r="Z45" s="174"/>
      <x:c r="AA45" s="174"/>
      <x:c r="AB45" s="174"/>
      <x:c r="AC45" s="174"/>
      <x:c r="AD45" s="177"/>
      <x:c r="AE45" s="177"/>
      <x:c r="AF45" s="174"/>
      <x:c r="AG45" s="174"/>
      <x:c r="AH45" s="174"/>
      <x:c r="AI45" s="174"/>
      <x:c r="AJ45" s="174"/>
      <x:c r="AK45" s="175" t="str">
        <x:f>IF(AJ45="","",IF(OR(LOWER(AJ45)="brazil",LOWER(AJ45)="brasil"),"Yes","No"))</x:f>
      </x:c>
      <x:c r="AL45" s="174"/>
      <x:c r="AM45" s="174"/>
      <x:c r="AN45" s="174"/>
      <x:c r="AO45" s="178"/>
      <x:c r="AP45" s="174"/>
      <x:c r="AQ45" s="174"/>
      <x:c r="AR45" s="174"/>
      <x:c r="AS45" s="174"/>
      <x:c r="AT45" s="174"/>
      <x:c r="AU45" s="174"/>
      <x:c r="AV45" s="174"/>
      <x:c r="AW45" s="174"/>
      <x:c r="AX45" s="174"/>
      <x:c r="AY45" s="174"/>
      <x:c r="AZ45" s="174"/>
      <x:c r="BA45" s="174"/>
      <x:c r="BB45" s="174"/>
      <x:c r="BC45" s="174"/>
      <x:c r="BD45" s="174"/>
      <x:c r="BE45" s="174"/>
      <x:c r="BF45" s="174"/>
      <x:c r="BG45" s="174"/>
      <x:c r="BH45" s="174"/>
      <x:c r="BI45" s="174"/>
      <x:c r="BJ45" s="174"/>
      <x:c r="BK45" s="174"/>
      <x:c r="BL45" s="174"/>
      <x:c r="BM45" s="174"/>
      <x:c r="BN45" s="174"/>
      <x:c r="BO45" s="174"/>
      <x:c r="BP45" s="174"/>
      <x:c r="BQ45" s="174"/>
      <x:c r="BR45" s="174"/>
      <x:c r="BS45" s="174"/>
      <x:c r="BT45" s="174"/>
      <x:c r="BU45" s="174"/>
      <x:c r="BV45" s="174"/>
      <x:c r="BW45" s="174"/>
      <x:c r="BX45" s="174"/>
      <x:c r="BY45" s="174"/>
      <x:c r="BZ45" s="174"/>
      <x:c r="CA45" s="174"/>
      <x:c r="CB45" s="174"/>
      <x:c r="CC45" s="174"/>
      <x:c r="CD45" s="174"/>
      <x:c r="CE45" s="174"/>
      <x:c r="CF45" s="174"/>
      <x:c r="CG45" s="174"/>
      <x:c r="CH45" s="174"/>
      <x:c r="CI45" s="179"/>
      <x:c r="CJ45" s="174"/>
      <x:c r="CK45" s="174"/>
      <x:c r="CL45" s="174"/>
      <x:c r="CM45" s="174"/>
      <x:c r="CN45" s="174"/>
      <x:c r="CO45" s="177"/>
      <x:c r="CP45" s="174"/>
      <x:c r="CQ45" s="174"/>
      <x:c r="CR45" s="174"/>
      <x:c r="CS45" s="174"/>
      <x:c r="CT45" s="174"/>
      <x:c r="CU45" s="176"/>
      <x:c r="CV45" s="176"/>
      <x:c r="CW45" s="176"/>
      <x:c r="CX45" s="176"/>
      <x:c r="CY45" s="176"/>
      <x:c r="CZ45" s="176"/>
      <x:c r="DA45" s="176"/>
      <x:c r="DB45" s="175" t="str">
        <x:f>IF(L45="","",IF(COUNT(CU45:DA45)&lt;7,"",SUM(CU45:DA45)))</x:f>
      </x:c>
      <x:c r="DC45" s="180" t="str">
        <x:f>IF(DB45="","",ROUND(DB45/14*10,1))</x:f>
      </x:c>
      <x:c r="DD45" s="174"/>
      <x:c r="DE45" s="175" t="str">
        <x:f>IF(L45="","",IF(DC45="","Pending",IF(DD45="Yes","CONDITIONAL — safety override",IF(DC45&gt;=8,"HIGH",IF(DC45&gt;=5,"CONDITIONAL","LOW")))))</x:f>
      </x:c>
      <x:c r="DF45" s="174"/>
      <x:c r="DG45" s="174"/>
      <x:c r="DH45" s="174"/>
      <x:c r="DI45" s="174"/>
      <x:c r="DJ45" s="174"/>
      <x:c r="DK45" s="174"/>
      <x:c r="DL45" s="174"/>
      <x:c r="DM45" s="174"/>
      <x:c r="DN45" s="174"/>
      <x:c r="DO45" s="174"/>
      <x:c r="DP45" s="174"/>
      <x:c r="DQ45" s="174"/>
      <x:c r="DR45" s="174"/>
      <x:c r="DS45" s="174"/>
      <x:c r="DT45" s="174"/>
      <x:c r="DU45" s="174"/>
      <x:c r="DV45" s="174"/>
      <x:c r="DW45" s="174"/>
      <x:c r="DX45" s="174"/>
      <x:c r="DY45" s="174"/>
      <x:c r="DZ45" s="174"/>
      <x:c r="EA45" s="174"/>
      <x:c r="EB45" s="175" t="str">
        <x:f>IF(L45="","",IF(AND(F45="Claim-ready",CJ45="Yes",CL45="Yes",DZ45&lt;&gt;""),"Yes","No / Pending"))</x:f>
      </x:c>
      <x:c r="EC45" s="174"/>
      <x:c r="ED45" s="174"/>
      <x:c r="EE45" s="174"/>
      <x:c r="EF45" s="174"/>
      <x:c r="EG45" s="174"/>
      <x:c r="EH45" s="177"/>
      <x:c r="EI45" s="174"/>
      <x:c r="EJ45" s="174"/>
      <x:c r="EK45" s="174"/>
      <x:c r="EL45" s="177"/>
      <x:c r="EM45" s="174"/>
      <x:c r="EN45" s="181" t="str">
        <x:f>IF(L45="","",(IF(N45&lt;&gt;"",1,0)+IF(O45&lt;&gt;"",1,0)+IF(AJ45&lt;&gt;"",1,0)+IF(AU45&lt;&gt;"",1,0)+IF(BE45&lt;&gt;"",1,0)+IF(CF45&lt;&gt;"",1,0)+IF(CJ45="Yes",1,0)+IF(CL45="Yes",1,0)+IF(DE45&lt;&gt;"Pending",1,0)+IF(F45&lt;&gt;"",1,0)+IF(DZ45&lt;&gt;"",1,0)+IF(EI45&lt;&gt;"",1,0))/12)</x:f>
      </x:c>
    </x:row>
    <x:row r="46">
      <x:c r="A46" s="175" t="str">
        <x:f>IF(L46="","","EV-"&amp;TEXT(ROW()-3,"0000"))</x:f>
      </x:c>
      <x:c r="B46" s="174"/>
      <x:c r="C46" s="175" t="str">
        <x:f>IF(L46="","",IF(OR(CM46="Retracted",CN46="Retracted",F46="Not used"),"🔴 Do not use for conclusion",IF(OR(R46="Official / Institutional",I46="Official / contextual"),"🔵 Official / contextual",IF(OR(I46="Definition",I46="Framework",I46="Paradigm shift"),"🟣 Conceptual key source",IF(AND(CJ46="Yes",CL46="Yes",OR(CG46="High",CG46="Moderate"),CH46&lt;&gt;"High",CH46&lt;&gt;"Critical",F46="Claim-ready"),"🟢 Claim-ready","🟡 Caution / context")))))</x:f>
      </x:c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6"/>
      <x:c r="P46" s="174"/>
      <x:c r="Q46" s="174"/>
      <x:c r="R46" s="174"/>
      <x:c r="S46" s="174"/>
      <x:c r="T46" s="174"/>
      <x:c r="U46" s="174"/>
      <x:c r="V46" s="174"/>
      <x:c r="W46" s="175" t="str">
        <x:f>IF(V46="","",LOWER(SUBSTITUTE(SUBSTITUTE(SUBSTITUTE(SUBSTITUTE(TRIM(V46),"https://doi.org/",""),"http://doi.org/",""),"https://dx.doi.org/",""),"doi:","")))</x:f>
      </x:c>
      <x:c r="X46" s="174"/>
      <x:c r="Y46" s="174"/>
      <x:c r="Z46" s="174"/>
      <x:c r="AA46" s="174"/>
      <x:c r="AB46" s="174"/>
      <x:c r="AC46" s="174"/>
      <x:c r="AD46" s="177"/>
      <x:c r="AE46" s="177"/>
      <x:c r="AF46" s="174"/>
      <x:c r="AG46" s="174"/>
      <x:c r="AH46" s="174"/>
      <x:c r="AI46" s="174"/>
      <x:c r="AJ46" s="174"/>
      <x:c r="AK46" s="175" t="str">
        <x:f>IF(AJ46="","",IF(OR(LOWER(AJ46)="brazil",LOWER(AJ46)="brasil"),"Yes","No"))</x:f>
      </x:c>
      <x:c r="AL46" s="174"/>
      <x:c r="AM46" s="174"/>
      <x:c r="AN46" s="174"/>
      <x:c r="AO46" s="178"/>
      <x:c r="AP46" s="174"/>
      <x:c r="AQ46" s="174"/>
      <x:c r="AR46" s="174"/>
      <x:c r="AS46" s="174"/>
      <x:c r="AT46" s="174"/>
      <x:c r="AU46" s="174"/>
      <x:c r="AV46" s="174"/>
      <x:c r="AW46" s="174"/>
      <x:c r="AX46" s="174"/>
      <x:c r="AY46" s="174"/>
      <x:c r="AZ46" s="174"/>
      <x:c r="BA46" s="174"/>
      <x:c r="BB46" s="174"/>
      <x:c r="BC46" s="174"/>
      <x:c r="BD46" s="174"/>
      <x:c r="BE46" s="174"/>
      <x:c r="BF46" s="174"/>
      <x:c r="BG46" s="174"/>
      <x:c r="BH46" s="174"/>
      <x:c r="BI46" s="174"/>
      <x:c r="BJ46" s="174"/>
      <x:c r="BK46" s="174"/>
      <x:c r="BL46" s="174"/>
      <x:c r="BM46" s="174"/>
      <x:c r="BN46" s="174"/>
      <x:c r="BO46" s="174"/>
      <x:c r="BP46" s="174"/>
      <x:c r="BQ46" s="174"/>
      <x:c r="BR46" s="174"/>
      <x:c r="BS46" s="174"/>
      <x:c r="BT46" s="174"/>
      <x:c r="BU46" s="174"/>
      <x:c r="BV46" s="174"/>
      <x:c r="BW46" s="174"/>
      <x:c r="BX46" s="174"/>
      <x:c r="BY46" s="174"/>
      <x:c r="BZ46" s="174"/>
      <x:c r="CA46" s="174"/>
      <x:c r="CB46" s="174"/>
      <x:c r="CC46" s="174"/>
      <x:c r="CD46" s="174"/>
      <x:c r="CE46" s="174"/>
      <x:c r="CF46" s="174"/>
      <x:c r="CG46" s="174"/>
      <x:c r="CH46" s="174"/>
      <x:c r="CI46" s="179"/>
      <x:c r="CJ46" s="174"/>
      <x:c r="CK46" s="174"/>
      <x:c r="CL46" s="174"/>
      <x:c r="CM46" s="174"/>
      <x:c r="CN46" s="174"/>
      <x:c r="CO46" s="177"/>
      <x:c r="CP46" s="174"/>
      <x:c r="CQ46" s="174"/>
      <x:c r="CR46" s="174"/>
      <x:c r="CS46" s="174"/>
      <x:c r="CT46" s="174"/>
      <x:c r="CU46" s="176"/>
      <x:c r="CV46" s="176"/>
      <x:c r="CW46" s="176"/>
      <x:c r="CX46" s="176"/>
      <x:c r="CY46" s="176"/>
      <x:c r="CZ46" s="176"/>
      <x:c r="DA46" s="176"/>
      <x:c r="DB46" s="175" t="str">
        <x:f>IF(L46="","",IF(COUNT(CU46:DA46)&lt;7,"",SUM(CU46:DA46)))</x:f>
      </x:c>
      <x:c r="DC46" s="180" t="str">
        <x:f>IF(DB46="","",ROUND(DB46/14*10,1))</x:f>
      </x:c>
      <x:c r="DD46" s="174"/>
      <x:c r="DE46" s="175" t="str">
        <x:f>IF(L46="","",IF(DC46="","Pending",IF(DD46="Yes","CONDITIONAL — safety override",IF(DC46&gt;=8,"HIGH",IF(DC46&gt;=5,"CONDITIONAL","LOW")))))</x:f>
      </x:c>
      <x:c r="DF46" s="174"/>
      <x:c r="DG46" s="174"/>
      <x:c r="DH46" s="174"/>
      <x:c r="DI46" s="174"/>
      <x:c r="DJ46" s="174"/>
      <x:c r="DK46" s="174"/>
      <x:c r="DL46" s="174"/>
      <x:c r="DM46" s="174"/>
      <x:c r="DN46" s="174"/>
      <x:c r="DO46" s="174"/>
      <x:c r="DP46" s="174"/>
      <x:c r="DQ46" s="174"/>
      <x:c r="DR46" s="174"/>
      <x:c r="DS46" s="174"/>
      <x:c r="DT46" s="174"/>
      <x:c r="DU46" s="174"/>
      <x:c r="DV46" s="174"/>
      <x:c r="DW46" s="174"/>
      <x:c r="DX46" s="174"/>
      <x:c r="DY46" s="174"/>
      <x:c r="DZ46" s="174"/>
      <x:c r="EA46" s="174"/>
      <x:c r="EB46" s="175" t="str">
        <x:f>IF(L46="","",IF(AND(F46="Claim-ready",CJ46="Yes",CL46="Yes",DZ46&lt;&gt;""),"Yes","No / Pending"))</x:f>
      </x:c>
      <x:c r="EC46" s="174"/>
      <x:c r="ED46" s="174"/>
      <x:c r="EE46" s="174"/>
      <x:c r="EF46" s="174"/>
      <x:c r="EG46" s="174"/>
      <x:c r="EH46" s="177"/>
      <x:c r="EI46" s="174"/>
      <x:c r="EJ46" s="174"/>
      <x:c r="EK46" s="174"/>
      <x:c r="EL46" s="177"/>
      <x:c r="EM46" s="174"/>
      <x:c r="EN46" s="181" t="str">
        <x:f>IF(L46="","",(IF(N46&lt;&gt;"",1,0)+IF(O46&lt;&gt;"",1,0)+IF(AJ46&lt;&gt;"",1,0)+IF(AU46&lt;&gt;"",1,0)+IF(BE46&lt;&gt;"",1,0)+IF(CF46&lt;&gt;"",1,0)+IF(CJ46="Yes",1,0)+IF(CL46="Yes",1,0)+IF(DE46&lt;&gt;"Pending",1,0)+IF(F46&lt;&gt;"",1,0)+IF(DZ46&lt;&gt;"",1,0)+IF(EI46&lt;&gt;"",1,0))/12)</x:f>
      </x:c>
    </x:row>
    <x:row r="47">
      <x:c r="A47" s="175" t="str">
        <x:f>IF(L47="","","EV-"&amp;TEXT(ROW()-3,"0000"))</x:f>
      </x:c>
      <x:c r="B47" s="174"/>
      <x:c r="C47" s="175" t="str">
        <x:f>IF(L47="","",IF(OR(CM47="Retracted",CN47="Retracted",F47="Not used"),"🔴 Do not use for conclusion",IF(OR(R47="Official / Institutional",I47="Official / contextual"),"🔵 Official / contextual",IF(OR(I47="Definition",I47="Framework",I47="Paradigm shift"),"🟣 Conceptual key source",IF(AND(CJ47="Yes",CL47="Yes",OR(CG47="High",CG47="Moderate"),CH47&lt;&gt;"High",CH47&lt;&gt;"Critical",F47="Claim-ready"),"🟢 Claim-ready","🟡 Caution / context")))))</x:f>
      </x:c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6"/>
      <x:c r="P47" s="174"/>
      <x:c r="Q47" s="174"/>
      <x:c r="R47" s="174"/>
      <x:c r="S47" s="174"/>
      <x:c r="T47" s="174"/>
      <x:c r="U47" s="174"/>
      <x:c r="V47" s="174"/>
      <x:c r="W47" s="175" t="str">
        <x:f>IF(V47="","",LOWER(SUBSTITUTE(SUBSTITUTE(SUBSTITUTE(SUBSTITUTE(TRIM(V47),"https://doi.org/",""),"http://doi.org/",""),"https://dx.doi.org/",""),"doi:","")))</x:f>
      </x:c>
      <x:c r="X47" s="174"/>
      <x:c r="Y47" s="174"/>
      <x:c r="Z47" s="174"/>
      <x:c r="AA47" s="174"/>
      <x:c r="AB47" s="174"/>
      <x:c r="AC47" s="174"/>
      <x:c r="AD47" s="177"/>
      <x:c r="AE47" s="177"/>
      <x:c r="AF47" s="174"/>
      <x:c r="AG47" s="174"/>
      <x:c r="AH47" s="174"/>
      <x:c r="AI47" s="174"/>
      <x:c r="AJ47" s="174"/>
      <x:c r="AK47" s="175" t="str">
        <x:f>IF(AJ47="","",IF(OR(LOWER(AJ47)="brazil",LOWER(AJ47)="brasil"),"Yes","No"))</x:f>
      </x:c>
      <x:c r="AL47" s="174"/>
      <x:c r="AM47" s="174"/>
      <x:c r="AN47" s="174"/>
      <x:c r="AO47" s="178"/>
      <x:c r="AP47" s="174"/>
      <x:c r="AQ47" s="174"/>
      <x:c r="AR47" s="174"/>
      <x:c r="AS47" s="174"/>
      <x:c r="AT47" s="174"/>
      <x:c r="AU47" s="174"/>
      <x:c r="AV47" s="174"/>
      <x:c r="AW47" s="174"/>
      <x:c r="AX47" s="174"/>
      <x:c r="AY47" s="174"/>
      <x:c r="AZ47" s="174"/>
      <x:c r="BA47" s="174"/>
      <x:c r="BB47" s="174"/>
      <x:c r="BC47" s="174"/>
      <x:c r="BD47" s="174"/>
      <x:c r="BE47" s="174"/>
      <x:c r="BF47" s="174"/>
      <x:c r="BG47" s="174"/>
      <x:c r="BH47" s="174"/>
      <x:c r="BI47" s="174"/>
      <x:c r="BJ47" s="174"/>
      <x:c r="BK47" s="174"/>
      <x:c r="BL47" s="174"/>
      <x:c r="BM47" s="174"/>
      <x:c r="BN47" s="174"/>
      <x:c r="BO47" s="174"/>
      <x:c r="BP47" s="174"/>
      <x:c r="BQ47" s="174"/>
      <x:c r="BR47" s="174"/>
      <x:c r="BS47" s="174"/>
      <x:c r="BT47" s="174"/>
      <x:c r="BU47" s="174"/>
      <x:c r="BV47" s="174"/>
      <x:c r="BW47" s="174"/>
      <x:c r="BX47" s="174"/>
      <x:c r="BY47" s="174"/>
      <x:c r="BZ47" s="174"/>
      <x:c r="CA47" s="174"/>
      <x:c r="CB47" s="174"/>
      <x:c r="CC47" s="174"/>
      <x:c r="CD47" s="174"/>
      <x:c r="CE47" s="174"/>
      <x:c r="CF47" s="174"/>
      <x:c r="CG47" s="174"/>
      <x:c r="CH47" s="174"/>
      <x:c r="CI47" s="179"/>
      <x:c r="CJ47" s="174"/>
      <x:c r="CK47" s="174"/>
      <x:c r="CL47" s="174"/>
      <x:c r="CM47" s="174"/>
      <x:c r="CN47" s="174"/>
      <x:c r="CO47" s="177"/>
      <x:c r="CP47" s="174"/>
      <x:c r="CQ47" s="174"/>
      <x:c r="CR47" s="174"/>
      <x:c r="CS47" s="174"/>
      <x:c r="CT47" s="174"/>
      <x:c r="CU47" s="176"/>
      <x:c r="CV47" s="176"/>
      <x:c r="CW47" s="176"/>
      <x:c r="CX47" s="176"/>
      <x:c r="CY47" s="176"/>
      <x:c r="CZ47" s="176"/>
      <x:c r="DA47" s="176"/>
      <x:c r="DB47" s="175" t="str">
        <x:f>IF(L47="","",IF(COUNT(CU47:DA47)&lt;7,"",SUM(CU47:DA47)))</x:f>
      </x:c>
      <x:c r="DC47" s="180" t="str">
        <x:f>IF(DB47="","",ROUND(DB47/14*10,1))</x:f>
      </x:c>
      <x:c r="DD47" s="174"/>
      <x:c r="DE47" s="175" t="str">
        <x:f>IF(L47="","",IF(DC47="","Pending",IF(DD47="Yes","CONDITIONAL — safety override",IF(DC47&gt;=8,"HIGH",IF(DC47&gt;=5,"CONDITIONAL","LOW")))))</x:f>
      </x:c>
      <x:c r="DF47" s="174"/>
      <x:c r="DG47" s="174"/>
      <x:c r="DH47" s="174"/>
      <x:c r="DI47" s="174"/>
      <x:c r="DJ47" s="174"/>
      <x:c r="DK47" s="174"/>
      <x:c r="DL47" s="174"/>
      <x:c r="DM47" s="174"/>
      <x:c r="DN47" s="174"/>
      <x:c r="DO47" s="174"/>
      <x:c r="DP47" s="174"/>
      <x:c r="DQ47" s="174"/>
      <x:c r="DR47" s="174"/>
      <x:c r="DS47" s="174"/>
      <x:c r="DT47" s="174"/>
      <x:c r="DU47" s="174"/>
      <x:c r="DV47" s="174"/>
      <x:c r="DW47" s="174"/>
      <x:c r="DX47" s="174"/>
      <x:c r="DY47" s="174"/>
      <x:c r="DZ47" s="174"/>
      <x:c r="EA47" s="174"/>
      <x:c r="EB47" s="175" t="str">
        <x:f>IF(L47="","",IF(AND(F47="Claim-ready",CJ47="Yes",CL47="Yes",DZ47&lt;&gt;""),"Yes","No / Pending"))</x:f>
      </x:c>
      <x:c r="EC47" s="174"/>
      <x:c r="ED47" s="174"/>
      <x:c r="EE47" s="174"/>
      <x:c r="EF47" s="174"/>
      <x:c r="EG47" s="174"/>
      <x:c r="EH47" s="177"/>
      <x:c r="EI47" s="174"/>
      <x:c r="EJ47" s="174"/>
      <x:c r="EK47" s="174"/>
      <x:c r="EL47" s="177"/>
      <x:c r="EM47" s="174"/>
      <x:c r="EN47" s="181" t="str">
        <x:f>IF(L47="","",(IF(N47&lt;&gt;"",1,0)+IF(O47&lt;&gt;"",1,0)+IF(AJ47&lt;&gt;"",1,0)+IF(AU47&lt;&gt;"",1,0)+IF(BE47&lt;&gt;"",1,0)+IF(CF47&lt;&gt;"",1,0)+IF(CJ47="Yes",1,0)+IF(CL47="Yes",1,0)+IF(DE47&lt;&gt;"Pending",1,0)+IF(F47&lt;&gt;"",1,0)+IF(DZ47&lt;&gt;"",1,0)+IF(EI47&lt;&gt;"",1,0))/12)</x:f>
      </x:c>
    </x:row>
    <x:row r="48">
      <x:c r="A48" s="175" t="str">
        <x:f>IF(L48="","","EV-"&amp;TEXT(ROW()-3,"0000"))</x:f>
      </x:c>
      <x:c r="B48" s="174"/>
      <x:c r="C48" s="175" t="str">
        <x:f>IF(L48="","",IF(OR(CM48="Retracted",CN48="Retracted",F48="Not used"),"🔴 Do not use for conclusion",IF(OR(R48="Official / Institutional",I48="Official / contextual"),"🔵 Official / contextual",IF(OR(I48="Definition",I48="Framework",I48="Paradigm shift"),"🟣 Conceptual key source",IF(AND(CJ48="Yes",CL48="Yes",OR(CG48="High",CG48="Moderate"),CH48&lt;&gt;"High",CH48&lt;&gt;"Critical",F48="Claim-ready"),"🟢 Claim-ready","🟡 Caution / context")))))</x:f>
      </x:c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6"/>
      <x:c r="P48" s="174"/>
      <x:c r="Q48" s="174"/>
      <x:c r="R48" s="174"/>
      <x:c r="S48" s="174"/>
      <x:c r="T48" s="174"/>
      <x:c r="U48" s="174"/>
      <x:c r="V48" s="174"/>
      <x:c r="W48" s="175" t="str">
        <x:f>IF(V48="","",LOWER(SUBSTITUTE(SUBSTITUTE(SUBSTITUTE(SUBSTITUTE(TRIM(V48),"https://doi.org/",""),"http://doi.org/",""),"https://dx.doi.org/",""),"doi:","")))</x:f>
      </x:c>
      <x:c r="X48" s="174"/>
      <x:c r="Y48" s="174"/>
      <x:c r="Z48" s="174"/>
      <x:c r="AA48" s="174"/>
      <x:c r="AB48" s="174"/>
      <x:c r="AC48" s="174"/>
      <x:c r="AD48" s="177"/>
      <x:c r="AE48" s="177"/>
      <x:c r="AF48" s="174"/>
      <x:c r="AG48" s="174"/>
      <x:c r="AH48" s="174"/>
      <x:c r="AI48" s="174"/>
      <x:c r="AJ48" s="174"/>
      <x:c r="AK48" s="175" t="str">
        <x:f>IF(AJ48="","",IF(OR(LOWER(AJ48)="brazil",LOWER(AJ48)="brasil"),"Yes","No"))</x:f>
      </x:c>
      <x:c r="AL48" s="174"/>
      <x:c r="AM48" s="174"/>
      <x:c r="AN48" s="174"/>
      <x:c r="AO48" s="178"/>
      <x:c r="AP48" s="174"/>
      <x:c r="AQ48" s="174"/>
      <x:c r="AR48" s="174"/>
      <x:c r="AS48" s="174"/>
      <x:c r="AT48" s="174"/>
      <x:c r="AU48" s="174"/>
      <x:c r="AV48" s="174"/>
      <x:c r="AW48" s="174"/>
      <x:c r="AX48" s="174"/>
      <x:c r="AY48" s="174"/>
      <x:c r="AZ48" s="174"/>
      <x:c r="BA48" s="174"/>
      <x:c r="BB48" s="174"/>
      <x:c r="BC48" s="174"/>
      <x:c r="BD48" s="174"/>
      <x:c r="BE48" s="174"/>
      <x:c r="BF48" s="174"/>
      <x:c r="BG48" s="174"/>
      <x:c r="BH48" s="174"/>
      <x:c r="BI48" s="174"/>
      <x:c r="BJ48" s="174"/>
      <x:c r="BK48" s="174"/>
      <x:c r="BL48" s="174"/>
      <x:c r="BM48" s="174"/>
      <x:c r="BN48" s="174"/>
      <x:c r="BO48" s="174"/>
      <x:c r="BP48" s="174"/>
      <x:c r="BQ48" s="174"/>
      <x:c r="BR48" s="174"/>
      <x:c r="BS48" s="174"/>
      <x:c r="BT48" s="174"/>
      <x:c r="BU48" s="174"/>
      <x:c r="BV48" s="174"/>
      <x:c r="BW48" s="174"/>
      <x:c r="BX48" s="174"/>
      <x:c r="BY48" s="174"/>
      <x:c r="BZ48" s="174"/>
      <x:c r="CA48" s="174"/>
      <x:c r="CB48" s="174"/>
      <x:c r="CC48" s="174"/>
      <x:c r="CD48" s="174"/>
      <x:c r="CE48" s="174"/>
      <x:c r="CF48" s="174"/>
      <x:c r="CG48" s="174"/>
      <x:c r="CH48" s="174"/>
      <x:c r="CI48" s="179"/>
      <x:c r="CJ48" s="174"/>
      <x:c r="CK48" s="174"/>
      <x:c r="CL48" s="174"/>
      <x:c r="CM48" s="174"/>
      <x:c r="CN48" s="174"/>
      <x:c r="CO48" s="177"/>
      <x:c r="CP48" s="174"/>
      <x:c r="CQ48" s="174"/>
      <x:c r="CR48" s="174"/>
      <x:c r="CS48" s="174"/>
      <x:c r="CT48" s="174"/>
      <x:c r="CU48" s="176"/>
      <x:c r="CV48" s="176"/>
      <x:c r="CW48" s="176"/>
      <x:c r="CX48" s="176"/>
      <x:c r="CY48" s="176"/>
      <x:c r="CZ48" s="176"/>
      <x:c r="DA48" s="176"/>
      <x:c r="DB48" s="175" t="str">
        <x:f>IF(L48="","",IF(COUNT(CU48:DA48)&lt;7,"",SUM(CU48:DA48)))</x:f>
      </x:c>
      <x:c r="DC48" s="180" t="str">
        <x:f>IF(DB48="","",ROUND(DB48/14*10,1))</x:f>
      </x:c>
      <x:c r="DD48" s="174"/>
      <x:c r="DE48" s="175" t="str">
        <x:f>IF(L48="","",IF(DC48="","Pending",IF(DD48="Yes","CONDITIONAL — safety override",IF(DC48&gt;=8,"HIGH",IF(DC48&gt;=5,"CONDITIONAL","LOW")))))</x:f>
      </x:c>
      <x:c r="DF48" s="174"/>
      <x:c r="DG48" s="174"/>
      <x:c r="DH48" s="174"/>
      <x:c r="DI48" s="174"/>
      <x:c r="DJ48" s="174"/>
      <x:c r="DK48" s="174"/>
      <x:c r="DL48" s="174"/>
      <x:c r="DM48" s="174"/>
      <x:c r="DN48" s="174"/>
      <x:c r="DO48" s="174"/>
      <x:c r="DP48" s="174"/>
      <x:c r="DQ48" s="174"/>
      <x:c r="DR48" s="174"/>
      <x:c r="DS48" s="174"/>
      <x:c r="DT48" s="174"/>
      <x:c r="DU48" s="174"/>
      <x:c r="DV48" s="174"/>
      <x:c r="DW48" s="174"/>
      <x:c r="DX48" s="174"/>
      <x:c r="DY48" s="174"/>
      <x:c r="DZ48" s="174"/>
      <x:c r="EA48" s="174"/>
      <x:c r="EB48" s="175" t="str">
        <x:f>IF(L48="","",IF(AND(F48="Claim-ready",CJ48="Yes",CL48="Yes",DZ48&lt;&gt;""),"Yes","No / Pending"))</x:f>
      </x:c>
      <x:c r="EC48" s="174"/>
      <x:c r="ED48" s="174"/>
      <x:c r="EE48" s="174"/>
      <x:c r="EF48" s="174"/>
      <x:c r="EG48" s="174"/>
      <x:c r="EH48" s="177"/>
      <x:c r="EI48" s="174"/>
      <x:c r="EJ48" s="174"/>
      <x:c r="EK48" s="174"/>
      <x:c r="EL48" s="177"/>
      <x:c r="EM48" s="174"/>
      <x:c r="EN48" s="181" t="str">
        <x:f>IF(L48="","",(IF(N48&lt;&gt;"",1,0)+IF(O48&lt;&gt;"",1,0)+IF(AJ48&lt;&gt;"",1,0)+IF(AU48&lt;&gt;"",1,0)+IF(BE48&lt;&gt;"",1,0)+IF(CF48&lt;&gt;"",1,0)+IF(CJ48="Yes",1,0)+IF(CL48="Yes",1,0)+IF(DE48&lt;&gt;"Pending",1,0)+IF(F48&lt;&gt;"",1,0)+IF(DZ48&lt;&gt;"",1,0)+IF(EI48&lt;&gt;"",1,0))/12)</x:f>
      </x:c>
    </x:row>
    <x:row r="49">
      <x:c r="A49" s="175" t="str">
        <x:f>IF(L49="","","EV-"&amp;TEXT(ROW()-3,"0000"))</x:f>
      </x:c>
      <x:c r="B49" s="174"/>
      <x:c r="C49" s="175" t="str">
        <x:f>IF(L49="","",IF(OR(CM49="Retracted",CN49="Retracted",F49="Not used"),"🔴 Do not use for conclusion",IF(OR(R49="Official / Institutional",I49="Official / contextual"),"🔵 Official / contextual",IF(OR(I49="Definition",I49="Framework",I49="Paradigm shift"),"🟣 Conceptual key source",IF(AND(CJ49="Yes",CL49="Yes",OR(CG49="High",CG49="Moderate"),CH49&lt;&gt;"High",CH49&lt;&gt;"Critical",F49="Claim-ready"),"🟢 Claim-ready","🟡 Caution / context")))))</x:f>
      </x:c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6"/>
      <x:c r="P49" s="174"/>
      <x:c r="Q49" s="174"/>
      <x:c r="R49" s="174"/>
      <x:c r="S49" s="174"/>
      <x:c r="T49" s="174"/>
      <x:c r="U49" s="174"/>
      <x:c r="V49" s="174"/>
      <x:c r="W49" s="175" t="str">
        <x:f>IF(V49="","",LOWER(SUBSTITUTE(SUBSTITUTE(SUBSTITUTE(SUBSTITUTE(TRIM(V49),"https://doi.org/",""),"http://doi.org/",""),"https://dx.doi.org/",""),"doi:","")))</x:f>
      </x:c>
      <x:c r="X49" s="174"/>
      <x:c r="Y49" s="174"/>
      <x:c r="Z49" s="174"/>
      <x:c r="AA49" s="174"/>
      <x:c r="AB49" s="174"/>
      <x:c r="AC49" s="174"/>
      <x:c r="AD49" s="177"/>
      <x:c r="AE49" s="177"/>
      <x:c r="AF49" s="174"/>
      <x:c r="AG49" s="174"/>
      <x:c r="AH49" s="174"/>
      <x:c r="AI49" s="174"/>
      <x:c r="AJ49" s="174"/>
      <x:c r="AK49" s="175" t="str">
        <x:f>IF(AJ49="","",IF(OR(LOWER(AJ49)="brazil",LOWER(AJ49)="brasil"),"Yes","No"))</x:f>
      </x:c>
      <x:c r="AL49" s="174"/>
      <x:c r="AM49" s="174"/>
      <x:c r="AN49" s="174"/>
      <x:c r="AO49" s="178"/>
      <x:c r="AP49" s="174"/>
      <x:c r="AQ49" s="174"/>
      <x:c r="AR49" s="174"/>
      <x:c r="AS49" s="174"/>
      <x:c r="AT49" s="174"/>
      <x:c r="AU49" s="174"/>
      <x:c r="AV49" s="174"/>
      <x:c r="AW49" s="174"/>
      <x:c r="AX49" s="174"/>
      <x:c r="AY49" s="174"/>
      <x:c r="AZ49" s="174"/>
      <x:c r="BA49" s="174"/>
      <x:c r="BB49" s="174"/>
      <x:c r="BC49" s="174"/>
      <x:c r="BD49" s="174"/>
      <x:c r="BE49" s="174"/>
      <x:c r="BF49" s="174"/>
      <x:c r="BG49" s="174"/>
      <x:c r="BH49" s="174"/>
      <x:c r="BI49" s="174"/>
      <x:c r="BJ49" s="174"/>
      <x:c r="BK49" s="174"/>
      <x:c r="BL49" s="174"/>
      <x:c r="BM49" s="174"/>
      <x:c r="BN49" s="174"/>
      <x:c r="BO49" s="174"/>
      <x:c r="BP49" s="174"/>
      <x:c r="BQ49" s="174"/>
      <x:c r="BR49" s="174"/>
      <x:c r="BS49" s="174"/>
      <x:c r="BT49" s="174"/>
      <x:c r="BU49" s="174"/>
      <x:c r="BV49" s="174"/>
      <x:c r="BW49" s="174"/>
      <x:c r="BX49" s="174"/>
      <x:c r="BY49" s="174"/>
      <x:c r="BZ49" s="174"/>
      <x:c r="CA49" s="174"/>
      <x:c r="CB49" s="174"/>
      <x:c r="CC49" s="174"/>
      <x:c r="CD49" s="174"/>
      <x:c r="CE49" s="174"/>
      <x:c r="CF49" s="174"/>
      <x:c r="CG49" s="174"/>
      <x:c r="CH49" s="174"/>
      <x:c r="CI49" s="179"/>
      <x:c r="CJ49" s="174"/>
      <x:c r="CK49" s="174"/>
      <x:c r="CL49" s="174"/>
      <x:c r="CM49" s="174"/>
      <x:c r="CN49" s="174"/>
      <x:c r="CO49" s="177"/>
      <x:c r="CP49" s="174"/>
      <x:c r="CQ49" s="174"/>
      <x:c r="CR49" s="174"/>
      <x:c r="CS49" s="174"/>
      <x:c r="CT49" s="174"/>
      <x:c r="CU49" s="176"/>
      <x:c r="CV49" s="176"/>
      <x:c r="CW49" s="176"/>
      <x:c r="CX49" s="176"/>
      <x:c r="CY49" s="176"/>
      <x:c r="CZ49" s="176"/>
      <x:c r="DA49" s="176"/>
      <x:c r="DB49" s="175" t="str">
        <x:f>IF(L49="","",IF(COUNT(CU49:DA49)&lt;7,"",SUM(CU49:DA49)))</x:f>
      </x:c>
      <x:c r="DC49" s="180" t="str">
        <x:f>IF(DB49="","",ROUND(DB49/14*10,1))</x:f>
      </x:c>
      <x:c r="DD49" s="174"/>
      <x:c r="DE49" s="175" t="str">
        <x:f>IF(L49="","",IF(DC49="","Pending",IF(DD49="Yes","CONDITIONAL — safety override",IF(DC49&gt;=8,"HIGH",IF(DC49&gt;=5,"CONDITIONAL","LOW")))))</x:f>
      </x:c>
      <x:c r="DF49" s="174"/>
      <x:c r="DG49" s="174"/>
      <x:c r="DH49" s="174"/>
      <x:c r="DI49" s="174"/>
      <x:c r="DJ49" s="174"/>
      <x:c r="DK49" s="174"/>
      <x:c r="DL49" s="174"/>
      <x:c r="DM49" s="174"/>
      <x:c r="DN49" s="174"/>
      <x:c r="DO49" s="174"/>
      <x:c r="DP49" s="174"/>
      <x:c r="DQ49" s="174"/>
      <x:c r="DR49" s="174"/>
      <x:c r="DS49" s="174"/>
      <x:c r="DT49" s="174"/>
      <x:c r="DU49" s="174"/>
      <x:c r="DV49" s="174"/>
      <x:c r="DW49" s="174"/>
      <x:c r="DX49" s="174"/>
      <x:c r="DY49" s="174"/>
      <x:c r="DZ49" s="174"/>
      <x:c r="EA49" s="174"/>
      <x:c r="EB49" s="175" t="str">
        <x:f>IF(L49="","",IF(AND(F49="Claim-ready",CJ49="Yes",CL49="Yes",DZ49&lt;&gt;""),"Yes","No / Pending"))</x:f>
      </x:c>
      <x:c r="EC49" s="174"/>
      <x:c r="ED49" s="174"/>
      <x:c r="EE49" s="174"/>
      <x:c r="EF49" s="174"/>
      <x:c r="EG49" s="174"/>
      <x:c r="EH49" s="177"/>
      <x:c r="EI49" s="174"/>
      <x:c r="EJ49" s="174"/>
      <x:c r="EK49" s="174"/>
      <x:c r="EL49" s="177"/>
      <x:c r="EM49" s="174"/>
      <x:c r="EN49" s="181" t="str">
        <x:f>IF(L49="","",(IF(N49&lt;&gt;"",1,0)+IF(O49&lt;&gt;"",1,0)+IF(AJ49&lt;&gt;"",1,0)+IF(AU49&lt;&gt;"",1,0)+IF(BE49&lt;&gt;"",1,0)+IF(CF49&lt;&gt;"",1,0)+IF(CJ49="Yes",1,0)+IF(CL49="Yes",1,0)+IF(DE49&lt;&gt;"Pending",1,0)+IF(F49&lt;&gt;"",1,0)+IF(DZ49&lt;&gt;"",1,0)+IF(EI49&lt;&gt;"",1,0))/12)</x:f>
      </x:c>
    </x:row>
    <x:row r="50">
      <x:c r="A50" s="175" t="str">
        <x:f>IF(L50="","","EV-"&amp;TEXT(ROW()-3,"0000"))</x:f>
      </x:c>
      <x:c r="B50" s="174"/>
      <x:c r="C50" s="175" t="str">
        <x:f>IF(L50="","",IF(OR(CM50="Retracted",CN50="Retracted",F50="Not used"),"🔴 Do not use for conclusion",IF(OR(R50="Official / Institutional",I50="Official / contextual"),"🔵 Official / contextual",IF(OR(I50="Definition",I50="Framework",I50="Paradigm shift"),"🟣 Conceptual key source",IF(AND(CJ50="Yes",CL50="Yes",OR(CG50="High",CG50="Moderate"),CH50&lt;&gt;"High",CH50&lt;&gt;"Critical",F50="Claim-ready"),"🟢 Claim-ready","🟡 Caution / context")))))</x:f>
      </x:c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6"/>
      <x:c r="P50" s="174"/>
      <x:c r="Q50" s="174"/>
      <x:c r="R50" s="174"/>
      <x:c r="S50" s="174"/>
      <x:c r="T50" s="174"/>
      <x:c r="U50" s="174"/>
      <x:c r="V50" s="174"/>
      <x:c r="W50" s="175" t="str">
        <x:f>IF(V50="","",LOWER(SUBSTITUTE(SUBSTITUTE(SUBSTITUTE(SUBSTITUTE(TRIM(V50),"https://doi.org/",""),"http://doi.org/",""),"https://dx.doi.org/",""),"doi:","")))</x:f>
      </x:c>
      <x:c r="X50" s="174"/>
      <x:c r="Y50" s="174"/>
      <x:c r="Z50" s="174"/>
      <x:c r="AA50" s="174"/>
      <x:c r="AB50" s="174"/>
      <x:c r="AC50" s="174"/>
      <x:c r="AD50" s="177"/>
      <x:c r="AE50" s="177"/>
      <x:c r="AF50" s="174"/>
      <x:c r="AG50" s="174"/>
      <x:c r="AH50" s="174"/>
      <x:c r="AI50" s="174"/>
      <x:c r="AJ50" s="174"/>
      <x:c r="AK50" s="175" t="str">
        <x:f>IF(AJ50="","",IF(OR(LOWER(AJ50)="brazil",LOWER(AJ50)="brasil"),"Yes","No"))</x:f>
      </x:c>
      <x:c r="AL50" s="174"/>
      <x:c r="AM50" s="174"/>
      <x:c r="AN50" s="174"/>
      <x:c r="AO50" s="178"/>
      <x:c r="AP50" s="174"/>
      <x:c r="AQ50" s="174"/>
      <x:c r="AR50" s="174"/>
      <x:c r="AS50" s="174"/>
      <x:c r="AT50" s="174"/>
      <x:c r="AU50" s="174"/>
      <x:c r="AV50" s="174"/>
      <x:c r="AW50" s="174"/>
      <x:c r="AX50" s="174"/>
      <x:c r="AY50" s="174"/>
      <x:c r="AZ50" s="174"/>
      <x:c r="BA50" s="174"/>
      <x:c r="BB50" s="174"/>
      <x:c r="BC50" s="174"/>
      <x:c r="BD50" s="174"/>
      <x:c r="BE50" s="174"/>
      <x:c r="BF50" s="174"/>
      <x:c r="BG50" s="174"/>
      <x:c r="BH50" s="174"/>
      <x:c r="BI50" s="174"/>
      <x:c r="BJ50" s="174"/>
      <x:c r="BK50" s="174"/>
      <x:c r="BL50" s="174"/>
      <x:c r="BM50" s="174"/>
      <x:c r="BN50" s="174"/>
      <x:c r="BO50" s="174"/>
      <x:c r="BP50" s="174"/>
      <x:c r="BQ50" s="174"/>
      <x:c r="BR50" s="174"/>
      <x:c r="BS50" s="174"/>
      <x:c r="BT50" s="174"/>
      <x:c r="BU50" s="174"/>
      <x:c r="BV50" s="174"/>
      <x:c r="BW50" s="174"/>
      <x:c r="BX50" s="174"/>
      <x:c r="BY50" s="174"/>
      <x:c r="BZ50" s="174"/>
      <x:c r="CA50" s="174"/>
      <x:c r="CB50" s="174"/>
      <x:c r="CC50" s="174"/>
      <x:c r="CD50" s="174"/>
      <x:c r="CE50" s="174"/>
      <x:c r="CF50" s="174"/>
      <x:c r="CG50" s="174"/>
      <x:c r="CH50" s="174"/>
      <x:c r="CI50" s="179"/>
      <x:c r="CJ50" s="174"/>
      <x:c r="CK50" s="174"/>
      <x:c r="CL50" s="174"/>
      <x:c r="CM50" s="174"/>
      <x:c r="CN50" s="174"/>
      <x:c r="CO50" s="177"/>
      <x:c r="CP50" s="174"/>
      <x:c r="CQ50" s="174"/>
      <x:c r="CR50" s="174"/>
      <x:c r="CS50" s="174"/>
      <x:c r="CT50" s="174"/>
      <x:c r="CU50" s="176"/>
      <x:c r="CV50" s="176"/>
      <x:c r="CW50" s="176"/>
      <x:c r="CX50" s="176"/>
      <x:c r="CY50" s="176"/>
      <x:c r="CZ50" s="176"/>
      <x:c r="DA50" s="176"/>
      <x:c r="DB50" s="175" t="str">
        <x:f>IF(L50="","",IF(COUNT(CU50:DA50)&lt;7,"",SUM(CU50:DA50)))</x:f>
      </x:c>
      <x:c r="DC50" s="180" t="str">
        <x:f>IF(DB50="","",ROUND(DB50/14*10,1))</x:f>
      </x:c>
      <x:c r="DD50" s="174"/>
      <x:c r="DE50" s="175" t="str">
        <x:f>IF(L50="","",IF(DC50="","Pending",IF(DD50="Yes","CONDITIONAL — safety override",IF(DC50&gt;=8,"HIGH",IF(DC50&gt;=5,"CONDITIONAL","LOW")))))</x:f>
      </x:c>
      <x:c r="DF50" s="174"/>
      <x:c r="DG50" s="174"/>
      <x:c r="DH50" s="174"/>
      <x:c r="DI50" s="174"/>
      <x:c r="DJ50" s="174"/>
      <x:c r="DK50" s="174"/>
      <x:c r="DL50" s="174"/>
      <x:c r="DM50" s="174"/>
      <x:c r="DN50" s="174"/>
      <x:c r="DO50" s="174"/>
      <x:c r="DP50" s="174"/>
      <x:c r="DQ50" s="174"/>
      <x:c r="DR50" s="174"/>
      <x:c r="DS50" s="174"/>
      <x:c r="DT50" s="174"/>
      <x:c r="DU50" s="174"/>
      <x:c r="DV50" s="174"/>
      <x:c r="DW50" s="174"/>
      <x:c r="DX50" s="174"/>
      <x:c r="DY50" s="174"/>
      <x:c r="DZ50" s="174"/>
      <x:c r="EA50" s="174"/>
      <x:c r="EB50" s="175" t="str">
        <x:f>IF(L50="","",IF(AND(F50="Claim-ready",CJ50="Yes",CL50="Yes",DZ50&lt;&gt;""),"Yes","No / Pending"))</x:f>
      </x:c>
      <x:c r="EC50" s="174"/>
      <x:c r="ED50" s="174"/>
      <x:c r="EE50" s="174"/>
      <x:c r="EF50" s="174"/>
      <x:c r="EG50" s="174"/>
      <x:c r="EH50" s="177"/>
      <x:c r="EI50" s="174"/>
      <x:c r="EJ50" s="174"/>
      <x:c r="EK50" s="174"/>
      <x:c r="EL50" s="177"/>
      <x:c r="EM50" s="174"/>
      <x:c r="EN50" s="181" t="str">
        <x:f>IF(L50="","",(IF(N50&lt;&gt;"",1,0)+IF(O50&lt;&gt;"",1,0)+IF(AJ50&lt;&gt;"",1,0)+IF(AU50&lt;&gt;"",1,0)+IF(BE50&lt;&gt;"",1,0)+IF(CF50&lt;&gt;"",1,0)+IF(CJ50="Yes",1,0)+IF(CL50="Yes",1,0)+IF(DE50&lt;&gt;"Pending",1,0)+IF(F50&lt;&gt;"",1,0)+IF(DZ50&lt;&gt;"",1,0)+IF(EI50&lt;&gt;"",1,0))/12)</x:f>
      </x:c>
    </x:row>
    <x:row r="51">
      <x:c r="A51" s="175" t="str">
        <x:f>IF(L51="","","EV-"&amp;TEXT(ROW()-3,"0000"))</x:f>
      </x:c>
      <x:c r="B51" s="174"/>
      <x:c r="C51" s="175" t="str">
        <x:f>IF(L51="","",IF(OR(CM51="Retracted",CN51="Retracted",F51="Not used"),"🔴 Do not use for conclusion",IF(OR(R51="Official / Institutional",I51="Official / contextual"),"🔵 Official / contextual",IF(OR(I51="Definition",I51="Framework",I51="Paradigm shift"),"🟣 Conceptual key source",IF(AND(CJ51="Yes",CL51="Yes",OR(CG51="High",CG51="Moderate"),CH51&lt;&gt;"High",CH51&lt;&gt;"Critical",F51="Claim-ready"),"🟢 Claim-ready","🟡 Caution / context")))))</x:f>
      </x:c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6"/>
      <x:c r="P51" s="174"/>
      <x:c r="Q51" s="174"/>
      <x:c r="R51" s="174"/>
      <x:c r="S51" s="174"/>
      <x:c r="T51" s="174"/>
      <x:c r="U51" s="174"/>
      <x:c r="V51" s="174"/>
      <x:c r="W51" s="175" t="str">
        <x:f>IF(V51="","",LOWER(SUBSTITUTE(SUBSTITUTE(SUBSTITUTE(SUBSTITUTE(TRIM(V51),"https://doi.org/",""),"http://doi.org/",""),"https://dx.doi.org/",""),"doi:","")))</x:f>
      </x:c>
      <x:c r="X51" s="174"/>
      <x:c r="Y51" s="174"/>
      <x:c r="Z51" s="174"/>
      <x:c r="AA51" s="174"/>
      <x:c r="AB51" s="174"/>
      <x:c r="AC51" s="174"/>
      <x:c r="AD51" s="177"/>
      <x:c r="AE51" s="177"/>
      <x:c r="AF51" s="174"/>
      <x:c r="AG51" s="174"/>
      <x:c r="AH51" s="174"/>
      <x:c r="AI51" s="174"/>
      <x:c r="AJ51" s="174"/>
      <x:c r="AK51" s="175" t="str">
        <x:f>IF(AJ51="","",IF(OR(LOWER(AJ51)="brazil",LOWER(AJ51)="brasil"),"Yes","No"))</x:f>
      </x:c>
      <x:c r="AL51" s="174"/>
      <x:c r="AM51" s="174"/>
      <x:c r="AN51" s="174"/>
      <x:c r="AO51" s="178"/>
      <x:c r="AP51" s="174"/>
      <x:c r="AQ51" s="174"/>
      <x:c r="AR51" s="174"/>
      <x:c r="AS51" s="174"/>
      <x:c r="AT51" s="174"/>
      <x:c r="AU51" s="174"/>
      <x:c r="AV51" s="174"/>
      <x:c r="AW51" s="174"/>
      <x:c r="AX51" s="174"/>
      <x:c r="AY51" s="174"/>
      <x:c r="AZ51" s="174"/>
      <x:c r="BA51" s="174"/>
      <x:c r="BB51" s="174"/>
      <x:c r="BC51" s="174"/>
      <x:c r="BD51" s="174"/>
      <x:c r="BE51" s="174"/>
      <x:c r="BF51" s="174"/>
      <x:c r="BG51" s="174"/>
      <x:c r="BH51" s="174"/>
      <x:c r="BI51" s="174"/>
      <x:c r="BJ51" s="174"/>
      <x:c r="BK51" s="174"/>
      <x:c r="BL51" s="174"/>
      <x:c r="BM51" s="174"/>
      <x:c r="BN51" s="174"/>
      <x:c r="BO51" s="174"/>
      <x:c r="BP51" s="174"/>
      <x:c r="BQ51" s="174"/>
      <x:c r="BR51" s="174"/>
      <x:c r="BS51" s="174"/>
      <x:c r="BT51" s="174"/>
      <x:c r="BU51" s="174"/>
      <x:c r="BV51" s="174"/>
      <x:c r="BW51" s="174"/>
      <x:c r="BX51" s="174"/>
      <x:c r="BY51" s="174"/>
      <x:c r="BZ51" s="174"/>
      <x:c r="CA51" s="174"/>
      <x:c r="CB51" s="174"/>
      <x:c r="CC51" s="174"/>
      <x:c r="CD51" s="174"/>
      <x:c r="CE51" s="174"/>
      <x:c r="CF51" s="174"/>
      <x:c r="CG51" s="174"/>
      <x:c r="CH51" s="174"/>
      <x:c r="CI51" s="179"/>
      <x:c r="CJ51" s="174"/>
      <x:c r="CK51" s="174"/>
      <x:c r="CL51" s="174"/>
      <x:c r="CM51" s="174"/>
      <x:c r="CN51" s="174"/>
      <x:c r="CO51" s="177"/>
      <x:c r="CP51" s="174"/>
      <x:c r="CQ51" s="174"/>
      <x:c r="CR51" s="174"/>
      <x:c r="CS51" s="174"/>
      <x:c r="CT51" s="174"/>
      <x:c r="CU51" s="176"/>
      <x:c r="CV51" s="176"/>
      <x:c r="CW51" s="176"/>
      <x:c r="CX51" s="176"/>
      <x:c r="CY51" s="176"/>
      <x:c r="CZ51" s="176"/>
      <x:c r="DA51" s="176"/>
      <x:c r="DB51" s="175" t="str">
        <x:f>IF(L51="","",IF(COUNT(CU51:DA51)&lt;7,"",SUM(CU51:DA51)))</x:f>
      </x:c>
      <x:c r="DC51" s="180" t="str">
        <x:f>IF(DB51="","",ROUND(DB51/14*10,1))</x:f>
      </x:c>
      <x:c r="DD51" s="174"/>
      <x:c r="DE51" s="175" t="str">
        <x:f>IF(L51="","",IF(DC51="","Pending",IF(DD51="Yes","CONDITIONAL — safety override",IF(DC51&gt;=8,"HIGH",IF(DC51&gt;=5,"CONDITIONAL","LOW")))))</x:f>
      </x:c>
      <x:c r="DF51" s="174"/>
      <x:c r="DG51" s="174"/>
      <x:c r="DH51" s="174"/>
      <x:c r="DI51" s="174"/>
      <x:c r="DJ51" s="174"/>
      <x:c r="DK51" s="174"/>
      <x:c r="DL51" s="174"/>
      <x:c r="DM51" s="174"/>
      <x:c r="DN51" s="174"/>
      <x:c r="DO51" s="174"/>
      <x:c r="DP51" s="174"/>
      <x:c r="DQ51" s="174"/>
      <x:c r="DR51" s="174"/>
      <x:c r="DS51" s="174"/>
      <x:c r="DT51" s="174"/>
      <x:c r="DU51" s="174"/>
      <x:c r="DV51" s="174"/>
      <x:c r="DW51" s="174"/>
      <x:c r="DX51" s="174"/>
      <x:c r="DY51" s="174"/>
      <x:c r="DZ51" s="174"/>
      <x:c r="EA51" s="174"/>
      <x:c r="EB51" s="175" t="str">
        <x:f>IF(L51="","",IF(AND(F51="Claim-ready",CJ51="Yes",CL51="Yes",DZ51&lt;&gt;""),"Yes","No / Pending"))</x:f>
      </x:c>
      <x:c r="EC51" s="174"/>
      <x:c r="ED51" s="174"/>
      <x:c r="EE51" s="174"/>
      <x:c r="EF51" s="174"/>
      <x:c r="EG51" s="174"/>
      <x:c r="EH51" s="177"/>
      <x:c r="EI51" s="174"/>
      <x:c r="EJ51" s="174"/>
      <x:c r="EK51" s="174"/>
      <x:c r="EL51" s="177"/>
      <x:c r="EM51" s="174"/>
      <x:c r="EN51" s="181" t="str">
        <x:f>IF(L51="","",(IF(N51&lt;&gt;"",1,0)+IF(O51&lt;&gt;"",1,0)+IF(AJ51&lt;&gt;"",1,0)+IF(AU51&lt;&gt;"",1,0)+IF(BE51&lt;&gt;"",1,0)+IF(CF51&lt;&gt;"",1,0)+IF(CJ51="Yes",1,0)+IF(CL51="Yes",1,0)+IF(DE51&lt;&gt;"Pending",1,0)+IF(F51&lt;&gt;"",1,0)+IF(DZ51&lt;&gt;"",1,0)+IF(EI51&lt;&gt;"",1,0))/12)</x:f>
      </x:c>
    </x:row>
    <x:row r="52">
      <x:c r="A52" s="175" t="str">
        <x:f>IF(L52="","","EV-"&amp;TEXT(ROW()-3,"0000"))</x:f>
      </x:c>
      <x:c r="B52" s="174"/>
      <x:c r="C52" s="175" t="str">
        <x:f>IF(L52="","",IF(OR(CM52="Retracted",CN52="Retracted",F52="Not used"),"🔴 Do not use for conclusion",IF(OR(R52="Official / Institutional",I52="Official / contextual"),"🔵 Official / contextual",IF(OR(I52="Definition",I52="Framework",I52="Paradigm shift"),"🟣 Conceptual key source",IF(AND(CJ52="Yes",CL52="Yes",OR(CG52="High",CG52="Moderate"),CH52&lt;&gt;"High",CH52&lt;&gt;"Critical",F52="Claim-ready"),"🟢 Claim-ready","🟡 Caution / context")))))</x:f>
      </x:c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6"/>
      <x:c r="P52" s="174"/>
      <x:c r="Q52" s="174"/>
      <x:c r="R52" s="174"/>
      <x:c r="S52" s="174"/>
      <x:c r="T52" s="174"/>
      <x:c r="U52" s="174"/>
      <x:c r="V52" s="174"/>
      <x:c r="W52" s="175" t="str">
        <x:f>IF(V52="","",LOWER(SUBSTITUTE(SUBSTITUTE(SUBSTITUTE(SUBSTITUTE(TRIM(V52),"https://doi.org/",""),"http://doi.org/",""),"https://dx.doi.org/",""),"doi:","")))</x:f>
      </x:c>
      <x:c r="X52" s="174"/>
      <x:c r="Y52" s="174"/>
      <x:c r="Z52" s="174"/>
      <x:c r="AA52" s="174"/>
      <x:c r="AB52" s="174"/>
      <x:c r="AC52" s="174"/>
      <x:c r="AD52" s="177"/>
      <x:c r="AE52" s="177"/>
      <x:c r="AF52" s="174"/>
      <x:c r="AG52" s="174"/>
      <x:c r="AH52" s="174"/>
      <x:c r="AI52" s="174"/>
      <x:c r="AJ52" s="174"/>
      <x:c r="AK52" s="175" t="str">
        <x:f>IF(AJ52="","",IF(OR(LOWER(AJ52)="brazil",LOWER(AJ52)="brasil"),"Yes","No"))</x:f>
      </x:c>
      <x:c r="AL52" s="174"/>
      <x:c r="AM52" s="174"/>
      <x:c r="AN52" s="174"/>
      <x:c r="AO52" s="178"/>
      <x:c r="AP52" s="174"/>
      <x:c r="AQ52" s="174"/>
      <x:c r="AR52" s="174"/>
      <x:c r="AS52" s="174"/>
      <x:c r="AT52" s="174"/>
      <x:c r="AU52" s="174"/>
      <x:c r="AV52" s="174"/>
      <x:c r="AW52" s="174"/>
      <x:c r="AX52" s="174"/>
      <x:c r="AY52" s="174"/>
      <x:c r="AZ52" s="174"/>
      <x:c r="BA52" s="174"/>
      <x:c r="BB52" s="174"/>
      <x:c r="BC52" s="174"/>
      <x:c r="BD52" s="174"/>
      <x:c r="BE52" s="174"/>
      <x:c r="BF52" s="174"/>
      <x:c r="BG52" s="174"/>
      <x:c r="BH52" s="174"/>
      <x:c r="BI52" s="174"/>
      <x:c r="BJ52" s="174"/>
      <x:c r="BK52" s="174"/>
      <x:c r="BL52" s="174"/>
      <x:c r="BM52" s="174"/>
      <x:c r="BN52" s="174"/>
      <x:c r="BO52" s="174"/>
      <x:c r="BP52" s="174"/>
      <x:c r="BQ52" s="174"/>
      <x:c r="BR52" s="174"/>
      <x:c r="BS52" s="174"/>
      <x:c r="BT52" s="174"/>
      <x:c r="BU52" s="174"/>
      <x:c r="BV52" s="174"/>
      <x:c r="BW52" s="174"/>
      <x:c r="BX52" s="174"/>
      <x:c r="BY52" s="174"/>
      <x:c r="BZ52" s="174"/>
      <x:c r="CA52" s="174"/>
      <x:c r="CB52" s="174"/>
      <x:c r="CC52" s="174"/>
      <x:c r="CD52" s="174"/>
      <x:c r="CE52" s="174"/>
      <x:c r="CF52" s="174"/>
      <x:c r="CG52" s="174"/>
      <x:c r="CH52" s="174"/>
      <x:c r="CI52" s="179"/>
      <x:c r="CJ52" s="174"/>
      <x:c r="CK52" s="174"/>
      <x:c r="CL52" s="174"/>
      <x:c r="CM52" s="174"/>
      <x:c r="CN52" s="174"/>
      <x:c r="CO52" s="177"/>
      <x:c r="CP52" s="174"/>
      <x:c r="CQ52" s="174"/>
      <x:c r="CR52" s="174"/>
      <x:c r="CS52" s="174"/>
      <x:c r="CT52" s="174"/>
      <x:c r="CU52" s="176"/>
      <x:c r="CV52" s="176"/>
      <x:c r="CW52" s="176"/>
      <x:c r="CX52" s="176"/>
      <x:c r="CY52" s="176"/>
      <x:c r="CZ52" s="176"/>
      <x:c r="DA52" s="176"/>
      <x:c r="DB52" s="175" t="str">
        <x:f>IF(L52="","",IF(COUNT(CU52:DA52)&lt;7,"",SUM(CU52:DA52)))</x:f>
      </x:c>
      <x:c r="DC52" s="180" t="str">
        <x:f>IF(DB52="","",ROUND(DB52/14*10,1))</x:f>
      </x:c>
      <x:c r="DD52" s="174"/>
      <x:c r="DE52" s="175" t="str">
        <x:f>IF(L52="","",IF(DC52="","Pending",IF(DD52="Yes","CONDITIONAL — safety override",IF(DC52&gt;=8,"HIGH",IF(DC52&gt;=5,"CONDITIONAL","LOW")))))</x:f>
      </x:c>
      <x:c r="DF52" s="174"/>
      <x:c r="DG52" s="174"/>
      <x:c r="DH52" s="174"/>
      <x:c r="DI52" s="174"/>
      <x:c r="DJ52" s="174"/>
      <x:c r="DK52" s="174"/>
      <x:c r="DL52" s="174"/>
      <x:c r="DM52" s="174"/>
      <x:c r="DN52" s="174"/>
      <x:c r="DO52" s="174"/>
      <x:c r="DP52" s="174"/>
      <x:c r="DQ52" s="174"/>
      <x:c r="DR52" s="174"/>
      <x:c r="DS52" s="174"/>
      <x:c r="DT52" s="174"/>
      <x:c r="DU52" s="174"/>
      <x:c r="DV52" s="174"/>
      <x:c r="DW52" s="174"/>
      <x:c r="DX52" s="174"/>
      <x:c r="DY52" s="174"/>
      <x:c r="DZ52" s="174"/>
      <x:c r="EA52" s="174"/>
      <x:c r="EB52" s="175" t="str">
        <x:f>IF(L52="","",IF(AND(F52="Claim-ready",CJ52="Yes",CL52="Yes",DZ52&lt;&gt;""),"Yes","No / Pending"))</x:f>
      </x:c>
      <x:c r="EC52" s="174"/>
      <x:c r="ED52" s="174"/>
      <x:c r="EE52" s="174"/>
      <x:c r="EF52" s="174"/>
      <x:c r="EG52" s="174"/>
      <x:c r="EH52" s="177"/>
      <x:c r="EI52" s="174"/>
      <x:c r="EJ52" s="174"/>
      <x:c r="EK52" s="174"/>
      <x:c r="EL52" s="177"/>
      <x:c r="EM52" s="174"/>
      <x:c r="EN52" s="181" t="str">
        <x:f>IF(L52="","",(IF(N52&lt;&gt;"",1,0)+IF(O52&lt;&gt;"",1,0)+IF(AJ52&lt;&gt;"",1,0)+IF(AU52&lt;&gt;"",1,0)+IF(BE52&lt;&gt;"",1,0)+IF(CF52&lt;&gt;"",1,0)+IF(CJ52="Yes",1,0)+IF(CL52="Yes",1,0)+IF(DE52&lt;&gt;"Pending",1,0)+IF(F52&lt;&gt;"",1,0)+IF(DZ52&lt;&gt;"",1,0)+IF(EI52&lt;&gt;"",1,0))/12)</x:f>
      </x:c>
    </x:row>
    <x:row r="53">
      <x:c r="A53" s="175" t="str">
        <x:f>IF(L53="","","EV-"&amp;TEXT(ROW()-3,"0000"))</x:f>
      </x:c>
      <x:c r="B53" s="174"/>
      <x:c r="C53" s="175" t="str">
        <x:f>IF(L53="","",IF(OR(CM53="Retracted",CN53="Retracted",F53="Not used"),"🔴 Do not use for conclusion",IF(OR(R53="Official / Institutional",I53="Official / contextual"),"🔵 Official / contextual",IF(OR(I53="Definition",I53="Framework",I53="Paradigm shift"),"🟣 Conceptual key source",IF(AND(CJ53="Yes",CL53="Yes",OR(CG53="High",CG53="Moderate"),CH53&lt;&gt;"High",CH53&lt;&gt;"Critical",F53="Claim-ready"),"🟢 Claim-ready","🟡 Caution / context")))))</x:f>
      </x:c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6"/>
      <x:c r="P53" s="174"/>
      <x:c r="Q53" s="174"/>
      <x:c r="R53" s="174"/>
      <x:c r="S53" s="174"/>
      <x:c r="T53" s="174"/>
      <x:c r="U53" s="174"/>
      <x:c r="V53" s="174"/>
      <x:c r="W53" s="175" t="str">
        <x:f>IF(V53="","",LOWER(SUBSTITUTE(SUBSTITUTE(SUBSTITUTE(SUBSTITUTE(TRIM(V53),"https://doi.org/",""),"http://doi.org/",""),"https://dx.doi.org/",""),"doi:","")))</x:f>
      </x:c>
      <x:c r="X53" s="174"/>
      <x:c r="Y53" s="174"/>
      <x:c r="Z53" s="174"/>
      <x:c r="AA53" s="174"/>
      <x:c r="AB53" s="174"/>
      <x:c r="AC53" s="174"/>
      <x:c r="AD53" s="177"/>
      <x:c r="AE53" s="177"/>
      <x:c r="AF53" s="174"/>
      <x:c r="AG53" s="174"/>
      <x:c r="AH53" s="174"/>
      <x:c r="AI53" s="174"/>
      <x:c r="AJ53" s="174"/>
      <x:c r="AK53" s="175" t="str">
        <x:f>IF(AJ53="","",IF(OR(LOWER(AJ53)="brazil",LOWER(AJ53)="brasil"),"Yes","No"))</x:f>
      </x:c>
      <x:c r="AL53" s="174"/>
      <x:c r="AM53" s="174"/>
      <x:c r="AN53" s="174"/>
      <x:c r="AO53" s="178"/>
      <x:c r="AP53" s="174"/>
      <x:c r="AQ53" s="174"/>
      <x:c r="AR53" s="174"/>
      <x:c r="AS53" s="174"/>
      <x:c r="AT53" s="174"/>
      <x:c r="AU53" s="174"/>
      <x:c r="AV53" s="174"/>
      <x:c r="AW53" s="174"/>
      <x:c r="AX53" s="174"/>
      <x:c r="AY53" s="174"/>
      <x:c r="AZ53" s="174"/>
      <x:c r="BA53" s="174"/>
      <x:c r="BB53" s="174"/>
      <x:c r="BC53" s="174"/>
      <x:c r="BD53" s="174"/>
      <x:c r="BE53" s="174"/>
      <x:c r="BF53" s="174"/>
      <x:c r="BG53" s="174"/>
      <x:c r="BH53" s="174"/>
      <x:c r="BI53" s="174"/>
      <x:c r="BJ53" s="174"/>
      <x:c r="BK53" s="174"/>
      <x:c r="BL53" s="174"/>
      <x:c r="BM53" s="174"/>
      <x:c r="BN53" s="174"/>
      <x:c r="BO53" s="174"/>
      <x:c r="BP53" s="174"/>
      <x:c r="BQ53" s="174"/>
      <x:c r="BR53" s="174"/>
      <x:c r="BS53" s="174"/>
      <x:c r="BT53" s="174"/>
      <x:c r="BU53" s="174"/>
      <x:c r="BV53" s="174"/>
      <x:c r="BW53" s="174"/>
      <x:c r="BX53" s="174"/>
      <x:c r="BY53" s="174"/>
      <x:c r="BZ53" s="174"/>
      <x:c r="CA53" s="174"/>
      <x:c r="CB53" s="174"/>
      <x:c r="CC53" s="174"/>
      <x:c r="CD53" s="174"/>
      <x:c r="CE53" s="174"/>
      <x:c r="CF53" s="174"/>
      <x:c r="CG53" s="174"/>
      <x:c r="CH53" s="174"/>
      <x:c r="CI53" s="179"/>
      <x:c r="CJ53" s="174"/>
      <x:c r="CK53" s="174"/>
      <x:c r="CL53" s="174"/>
      <x:c r="CM53" s="174"/>
      <x:c r="CN53" s="174"/>
      <x:c r="CO53" s="177"/>
      <x:c r="CP53" s="174"/>
      <x:c r="CQ53" s="174"/>
      <x:c r="CR53" s="174"/>
      <x:c r="CS53" s="174"/>
      <x:c r="CT53" s="174"/>
      <x:c r="CU53" s="176"/>
      <x:c r="CV53" s="176"/>
      <x:c r="CW53" s="176"/>
      <x:c r="CX53" s="176"/>
      <x:c r="CY53" s="176"/>
      <x:c r="CZ53" s="176"/>
      <x:c r="DA53" s="176"/>
      <x:c r="DB53" s="175" t="str">
        <x:f>IF(L53="","",IF(COUNT(CU53:DA53)&lt;7,"",SUM(CU53:DA53)))</x:f>
      </x:c>
      <x:c r="DC53" s="180" t="str">
        <x:f>IF(DB53="","",ROUND(DB53/14*10,1))</x:f>
      </x:c>
      <x:c r="DD53" s="174"/>
      <x:c r="DE53" s="175" t="str">
        <x:f>IF(L53="","",IF(DC53="","Pending",IF(DD53="Yes","CONDITIONAL — safety override",IF(DC53&gt;=8,"HIGH",IF(DC53&gt;=5,"CONDITIONAL","LOW")))))</x:f>
      </x:c>
      <x:c r="DF53" s="174"/>
      <x:c r="DG53" s="174"/>
      <x:c r="DH53" s="174"/>
      <x:c r="DI53" s="174"/>
      <x:c r="DJ53" s="174"/>
      <x:c r="DK53" s="174"/>
      <x:c r="DL53" s="174"/>
      <x:c r="DM53" s="174"/>
      <x:c r="DN53" s="174"/>
      <x:c r="DO53" s="174"/>
      <x:c r="DP53" s="174"/>
      <x:c r="DQ53" s="174"/>
      <x:c r="DR53" s="174"/>
      <x:c r="DS53" s="174"/>
      <x:c r="DT53" s="174"/>
      <x:c r="DU53" s="174"/>
      <x:c r="DV53" s="174"/>
      <x:c r="DW53" s="174"/>
      <x:c r="DX53" s="174"/>
      <x:c r="DY53" s="174"/>
      <x:c r="DZ53" s="174"/>
      <x:c r="EA53" s="174"/>
      <x:c r="EB53" s="175" t="str">
        <x:f>IF(L53="","",IF(AND(F53="Claim-ready",CJ53="Yes",CL53="Yes",DZ53&lt;&gt;""),"Yes","No / Pending"))</x:f>
      </x:c>
      <x:c r="EC53" s="174"/>
      <x:c r="ED53" s="174"/>
      <x:c r="EE53" s="174"/>
      <x:c r="EF53" s="174"/>
      <x:c r="EG53" s="174"/>
      <x:c r="EH53" s="177"/>
      <x:c r="EI53" s="174"/>
      <x:c r="EJ53" s="174"/>
      <x:c r="EK53" s="174"/>
      <x:c r="EL53" s="177"/>
      <x:c r="EM53" s="174"/>
      <x:c r="EN53" s="181" t="str">
        <x:f>IF(L53="","",(IF(N53&lt;&gt;"",1,0)+IF(O53&lt;&gt;"",1,0)+IF(AJ53&lt;&gt;"",1,0)+IF(AU53&lt;&gt;"",1,0)+IF(BE53&lt;&gt;"",1,0)+IF(CF53&lt;&gt;"",1,0)+IF(CJ53="Yes",1,0)+IF(CL53="Yes",1,0)+IF(DE53&lt;&gt;"Pending",1,0)+IF(F53&lt;&gt;"",1,0)+IF(DZ53&lt;&gt;"",1,0)+IF(EI53&lt;&gt;"",1,0))/12)</x:f>
      </x:c>
    </x:row>
    <x:row r="54">
      <x:c r="A54" s="175" t="str">
        <x:f>IF(L54="","","EV-"&amp;TEXT(ROW()-3,"0000"))</x:f>
      </x:c>
      <x:c r="B54" s="174"/>
      <x:c r="C54" s="175" t="str">
        <x:f>IF(L54="","",IF(OR(CM54="Retracted",CN54="Retracted",F54="Not used"),"🔴 Do not use for conclusion",IF(OR(R54="Official / Institutional",I54="Official / contextual"),"🔵 Official / contextual",IF(OR(I54="Definition",I54="Framework",I54="Paradigm shift"),"🟣 Conceptual key source",IF(AND(CJ54="Yes",CL54="Yes",OR(CG54="High",CG54="Moderate"),CH54&lt;&gt;"High",CH54&lt;&gt;"Critical",F54="Claim-ready"),"🟢 Claim-ready","🟡 Caution / context")))))</x:f>
      </x:c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6"/>
      <x:c r="P54" s="174"/>
      <x:c r="Q54" s="174"/>
      <x:c r="R54" s="174"/>
      <x:c r="S54" s="174"/>
      <x:c r="T54" s="174"/>
      <x:c r="U54" s="174"/>
      <x:c r="V54" s="174"/>
      <x:c r="W54" s="175" t="str">
        <x:f>IF(V54="","",LOWER(SUBSTITUTE(SUBSTITUTE(SUBSTITUTE(SUBSTITUTE(TRIM(V54),"https://doi.org/",""),"http://doi.org/",""),"https://dx.doi.org/",""),"doi:","")))</x:f>
      </x:c>
      <x:c r="X54" s="174"/>
      <x:c r="Y54" s="174"/>
      <x:c r="Z54" s="174"/>
      <x:c r="AA54" s="174"/>
      <x:c r="AB54" s="174"/>
      <x:c r="AC54" s="174"/>
      <x:c r="AD54" s="177"/>
      <x:c r="AE54" s="177"/>
      <x:c r="AF54" s="174"/>
      <x:c r="AG54" s="174"/>
      <x:c r="AH54" s="174"/>
      <x:c r="AI54" s="174"/>
      <x:c r="AJ54" s="174"/>
      <x:c r="AK54" s="175" t="str">
        <x:f>IF(AJ54="","",IF(OR(LOWER(AJ54)="brazil",LOWER(AJ54)="brasil"),"Yes","No"))</x:f>
      </x:c>
      <x:c r="AL54" s="174"/>
      <x:c r="AM54" s="174"/>
      <x:c r="AN54" s="174"/>
      <x:c r="AO54" s="178"/>
      <x:c r="AP54" s="174"/>
      <x:c r="AQ54" s="174"/>
      <x:c r="AR54" s="174"/>
      <x:c r="AS54" s="174"/>
      <x:c r="AT54" s="174"/>
      <x:c r="AU54" s="174"/>
      <x:c r="AV54" s="174"/>
      <x:c r="AW54" s="174"/>
      <x:c r="AX54" s="174"/>
      <x:c r="AY54" s="174"/>
      <x:c r="AZ54" s="174"/>
      <x:c r="BA54" s="174"/>
      <x:c r="BB54" s="174"/>
      <x:c r="BC54" s="174"/>
      <x:c r="BD54" s="174"/>
      <x:c r="BE54" s="174"/>
      <x:c r="BF54" s="174"/>
      <x:c r="BG54" s="174"/>
      <x:c r="BH54" s="174"/>
      <x:c r="BI54" s="174"/>
      <x:c r="BJ54" s="174"/>
      <x:c r="BK54" s="174"/>
      <x:c r="BL54" s="174"/>
      <x:c r="BM54" s="174"/>
      <x:c r="BN54" s="174"/>
      <x:c r="BO54" s="174"/>
      <x:c r="BP54" s="174"/>
      <x:c r="BQ54" s="174"/>
      <x:c r="BR54" s="174"/>
      <x:c r="BS54" s="174"/>
      <x:c r="BT54" s="174"/>
      <x:c r="BU54" s="174"/>
      <x:c r="BV54" s="174"/>
      <x:c r="BW54" s="174"/>
      <x:c r="BX54" s="174"/>
      <x:c r="BY54" s="174"/>
      <x:c r="BZ54" s="174"/>
      <x:c r="CA54" s="174"/>
      <x:c r="CB54" s="174"/>
      <x:c r="CC54" s="174"/>
      <x:c r="CD54" s="174"/>
      <x:c r="CE54" s="174"/>
      <x:c r="CF54" s="174"/>
      <x:c r="CG54" s="174"/>
      <x:c r="CH54" s="174"/>
      <x:c r="CI54" s="179"/>
      <x:c r="CJ54" s="174"/>
      <x:c r="CK54" s="174"/>
      <x:c r="CL54" s="174"/>
      <x:c r="CM54" s="174"/>
      <x:c r="CN54" s="174"/>
      <x:c r="CO54" s="177"/>
      <x:c r="CP54" s="174"/>
      <x:c r="CQ54" s="174"/>
      <x:c r="CR54" s="174"/>
      <x:c r="CS54" s="174"/>
      <x:c r="CT54" s="174"/>
      <x:c r="CU54" s="176"/>
      <x:c r="CV54" s="176"/>
      <x:c r="CW54" s="176"/>
      <x:c r="CX54" s="176"/>
      <x:c r="CY54" s="176"/>
      <x:c r="CZ54" s="176"/>
      <x:c r="DA54" s="176"/>
      <x:c r="DB54" s="175" t="str">
        <x:f>IF(L54="","",IF(COUNT(CU54:DA54)&lt;7,"",SUM(CU54:DA54)))</x:f>
      </x:c>
      <x:c r="DC54" s="180" t="str">
        <x:f>IF(DB54="","",ROUND(DB54/14*10,1))</x:f>
      </x:c>
      <x:c r="DD54" s="174"/>
      <x:c r="DE54" s="175" t="str">
        <x:f>IF(L54="","",IF(DC54="","Pending",IF(DD54="Yes","CONDITIONAL — safety override",IF(DC54&gt;=8,"HIGH",IF(DC54&gt;=5,"CONDITIONAL","LOW")))))</x:f>
      </x:c>
      <x:c r="DF54" s="174"/>
      <x:c r="DG54" s="174"/>
      <x:c r="DH54" s="174"/>
      <x:c r="DI54" s="174"/>
      <x:c r="DJ54" s="174"/>
      <x:c r="DK54" s="174"/>
      <x:c r="DL54" s="174"/>
      <x:c r="DM54" s="174"/>
      <x:c r="DN54" s="174"/>
      <x:c r="DO54" s="174"/>
      <x:c r="DP54" s="174"/>
      <x:c r="DQ54" s="174"/>
      <x:c r="DR54" s="174"/>
      <x:c r="DS54" s="174"/>
      <x:c r="DT54" s="174"/>
      <x:c r="DU54" s="174"/>
      <x:c r="DV54" s="174"/>
      <x:c r="DW54" s="174"/>
      <x:c r="DX54" s="174"/>
      <x:c r="DY54" s="174"/>
      <x:c r="DZ54" s="174"/>
      <x:c r="EA54" s="174"/>
      <x:c r="EB54" s="175" t="str">
        <x:f>IF(L54="","",IF(AND(F54="Claim-ready",CJ54="Yes",CL54="Yes",DZ54&lt;&gt;""),"Yes","No / Pending"))</x:f>
      </x:c>
      <x:c r="EC54" s="174"/>
      <x:c r="ED54" s="174"/>
      <x:c r="EE54" s="174"/>
      <x:c r="EF54" s="174"/>
      <x:c r="EG54" s="174"/>
      <x:c r="EH54" s="177"/>
      <x:c r="EI54" s="174"/>
      <x:c r="EJ54" s="174"/>
      <x:c r="EK54" s="174"/>
      <x:c r="EL54" s="177"/>
      <x:c r="EM54" s="174"/>
      <x:c r="EN54" s="181" t="str">
        <x:f>IF(L54="","",(IF(N54&lt;&gt;"",1,0)+IF(O54&lt;&gt;"",1,0)+IF(AJ54&lt;&gt;"",1,0)+IF(AU54&lt;&gt;"",1,0)+IF(BE54&lt;&gt;"",1,0)+IF(CF54&lt;&gt;"",1,0)+IF(CJ54="Yes",1,0)+IF(CL54="Yes",1,0)+IF(DE54&lt;&gt;"Pending",1,0)+IF(F54&lt;&gt;"",1,0)+IF(DZ54&lt;&gt;"",1,0)+IF(EI54&lt;&gt;"",1,0))/12)</x:f>
      </x:c>
    </x:row>
    <x:row r="55">
      <x:c r="A55" s="175" t="str">
        <x:f>IF(L55="","","EV-"&amp;TEXT(ROW()-3,"0000"))</x:f>
      </x:c>
      <x:c r="B55" s="174"/>
      <x:c r="C55" s="175" t="str">
        <x:f>IF(L55="","",IF(OR(CM55="Retracted",CN55="Retracted",F55="Not used"),"🔴 Do not use for conclusion",IF(OR(R55="Official / Institutional",I55="Official / contextual"),"🔵 Official / contextual",IF(OR(I55="Definition",I55="Framework",I55="Paradigm shift"),"🟣 Conceptual key source",IF(AND(CJ55="Yes",CL55="Yes",OR(CG55="High",CG55="Moderate"),CH55&lt;&gt;"High",CH55&lt;&gt;"Critical",F55="Claim-ready"),"🟢 Claim-ready","🟡 Caution / context")))))</x:f>
      </x:c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6"/>
      <x:c r="P55" s="174"/>
      <x:c r="Q55" s="174"/>
      <x:c r="R55" s="174"/>
      <x:c r="S55" s="174"/>
      <x:c r="T55" s="174"/>
      <x:c r="U55" s="174"/>
      <x:c r="V55" s="174"/>
      <x:c r="W55" s="175" t="str">
        <x:f>IF(V55="","",LOWER(SUBSTITUTE(SUBSTITUTE(SUBSTITUTE(SUBSTITUTE(TRIM(V55),"https://doi.org/",""),"http://doi.org/",""),"https://dx.doi.org/",""),"doi:","")))</x:f>
      </x:c>
      <x:c r="X55" s="174"/>
      <x:c r="Y55" s="174"/>
      <x:c r="Z55" s="174"/>
      <x:c r="AA55" s="174"/>
      <x:c r="AB55" s="174"/>
      <x:c r="AC55" s="174"/>
      <x:c r="AD55" s="177"/>
      <x:c r="AE55" s="177"/>
      <x:c r="AF55" s="174"/>
      <x:c r="AG55" s="174"/>
      <x:c r="AH55" s="174"/>
      <x:c r="AI55" s="174"/>
      <x:c r="AJ55" s="174"/>
      <x:c r="AK55" s="175" t="str">
        <x:f>IF(AJ55="","",IF(OR(LOWER(AJ55)="brazil",LOWER(AJ55)="brasil"),"Yes","No"))</x:f>
      </x:c>
      <x:c r="AL55" s="174"/>
      <x:c r="AM55" s="174"/>
      <x:c r="AN55" s="174"/>
      <x:c r="AO55" s="178"/>
      <x:c r="AP55" s="174"/>
      <x:c r="AQ55" s="174"/>
      <x:c r="AR55" s="174"/>
      <x:c r="AS55" s="174"/>
      <x:c r="AT55" s="174"/>
      <x:c r="AU55" s="174"/>
      <x:c r="AV55" s="174"/>
      <x:c r="AW55" s="174"/>
      <x:c r="AX55" s="174"/>
      <x:c r="AY55" s="174"/>
      <x:c r="AZ55" s="174"/>
      <x:c r="BA55" s="174"/>
      <x:c r="BB55" s="174"/>
      <x:c r="BC55" s="174"/>
      <x:c r="BD55" s="174"/>
      <x:c r="BE55" s="174"/>
      <x:c r="BF55" s="174"/>
      <x:c r="BG55" s="174"/>
      <x:c r="BH55" s="174"/>
      <x:c r="BI55" s="174"/>
      <x:c r="BJ55" s="174"/>
      <x:c r="BK55" s="174"/>
      <x:c r="BL55" s="174"/>
      <x:c r="BM55" s="174"/>
      <x:c r="BN55" s="174"/>
      <x:c r="BO55" s="174"/>
      <x:c r="BP55" s="174"/>
      <x:c r="BQ55" s="174"/>
      <x:c r="BR55" s="174"/>
      <x:c r="BS55" s="174"/>
      <x:c r="BT55" s="174"/>
      <x:c r="BU55" s="174"/>
      <x:c r="BV55" s="174"/>
      <x:c r="BW55" s="174"/>
      <x:c r="BX55" s="174"/>
      <x:c r="BY55" s="174"/>
      <x:c r="BZ55" s="174"/>
      <x:c r="CA55" s="174"/>
      <x:c r="CB55" s="174"/>
      <x:c r="CC55" s="174"/>
      <x:c r="CD55" s="174"/>
      <x:c r="CE55" s="174"/>
      <x:c r="CF55" s="174"/>
      <x:c r="CG55" s="174"/>
      <x:c r="CH55" s="174"/>
      <x:c r="CI55" s="179"/>
      <x:c r="CJ55" s="174"/>
      <x:c r="CK55" s="174"/>
      <x:c r="CL55" s="174"/>
      <x:c r="CM55" s="174"/>
      <x:c r="CN55" s="174"/>
      <x:c r="CO55" s="177"/>
      <x:c r="CP55" s="174"/>
      <x:c r="CQ55" s="174"/>
      <x:c r="CR55" s="174"/>
      <x:c r="CS55" s="174"/>
      <x:c r="CT55" s="174"/>
      <x:c r="CU55" s="176"/>
      <x:c r="CV55" s="176"/>
      <x:c r="CW55" s="176"/>
      <x:c r="CX55" s="176"/>
      <x:c r="CY55" s="176"/>
      <x:c r="CZ55" s="176"/>
      <x:c r="DA55" s="176"/>
      <x:c r="DB55" s="175" t="str">
        <x:f>IF(L55="","",IF(COUNT(CU55:DA55)&lt;7,"",SUM(CU55:DA55)))</x:f>
      </x:c>
      <x:c r="DC55" s="180" t="str">
        <x:f>IF(DB55="","",ROUND(DB55/14*10,1))</x:f>
      </x:c>
      <x:c r="DD55" s="174"/>
      <x:c r="DE55" s="175" t="str">
        <x:f>IF(L55="","",IF(DC55="","Pending",IF(DD55="Yes","CONDITIONAL — safety override",IF(DC55&gt;=8,"HIGH",IF(DC55&gt;=5,"CONDITIONAL","LOW")))))</x:f>
      </x:c>
      <x:c r="DF55" s="174"/>
      <x:c r="DG55" s="174"/>
      <x:c r="DH55" s="174"/>
      <x:c r="DI55" s="174"/>
      <x:c r="DJ55" s="174"/>
      <x:c r="DK55" s="174"/>
      <x:c r="DL55" s="174"/>
      <x:c r="DM55" s="174"/>
      <x:c r="DN55" s="174"/>
      <x:c r="DO55" s="174"/>
      <x:c r="DP55" s="174"/>
      <x:c r="DQ55" s="174"/>
      <x:c r="DR55" s="174"/>
      <x:c r="DS55" s="174"/>
      <x:c r="DT55" s="174"/>
      <x:c r="DU55" s="174"/>
      <x:c r="DV55" s="174"/>
      <x:c r="DW55" s="174"/>
      <x:c r="DX55" s="174"/>
      <x:c r="DY55" s="174"/>
      <x:c r="DZ55" s="174"/>
      <x:c r="EA55" s="174"/>
      <x:c r="EB55" s="175" t="str">
        <x:f>IF(L55="","",IF(AND(F55="Claim-ready",CJ55="Yes",CL55="Yes",DZ55&lt;&gt;""),"Yes","No / Pending"))</x:f>
      </x:c>
      <x:c r="EC55" s="174"/>
      <x:c r="ED55" s="174"/>
      <x:c r="EE55" s="174"/>
      <x:c r="EF55" s="174"/>
      <x:c r="EG55" s="174"/>
      <x:c r="EH55" s="177"/>
      <x:c r="EI55" s="174"/>
      <x:c r="EJ55" s="174"/>
      <x:c r="EK55" s="174"/>
      <x:c r="EL55" s="177"/>
      <x:c r="EM55" s="174"/>
      <x:c r="EN55" s="181" t="str">
        <x:f>IF(L55="","",(IF(N55&lt;&gt;"",1,0)+IF(O55&lt;&gt;"",1,0)+IF(AJ55&lt;&gt;"",1,0)+IF(AU55&lt;&gt;"",1,0)+IF(BE55&lt;&gt;"",1,0)+IF(CF55&lt;&gt;"",1,0)+IF(CJ55="Yes",1,0)+IF(CL55="Yes",1,0)+IF(DE55&lt;&gt;"Pending",1,0)+IF(F55&lt;&gt;"",1,0)+IF(DZ55&lt;&gt;"",1,0)+IF(EI55&lt;&gt;"",1,0))/12)</x:f>
      </x:c>
    </x:row>
    <x:row r="56">
      <x:c r="A56" s="175" t="str">
        <x:f>IF(L56="","","EV-"&amp;TEXT(ROW()-3,"0000"))</x:f>
      </x:c>
      <x:c r="B56" s="174"/>
      <x:c r="C56" s="175" t="str">
        <x:f>IF(L56="","",IF(OR(CM56="Retracted",CN56="Retracted",F56="Not used"),"🔴 Do not use for conclusion",IF(OR(R56="Official / Institutional",I56="Official / contextual"),"🔵 Official / contextual",IF(OR(I56="Definition",I56="Framework",I56="Paradigm shift"),"🟣 Conceptual key source",IF(AND(CJ56="Yes",CL56="Yes",OR(CG56="High",CG56="Moderate"),CH56&lt;&gt;"High",CH56&lt;&gt;"Critical",F56="Claim-ready"),"🟢 Claim-ready","🟡 Caution / context")))))</x:f>
      </x:c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6"/>
      <x:c r="P56" s="174"/>
      <x:c r="Q56" s="174"/>
      <x:c r="R56" s="174"/>
      <x:c r="S56" s="174"/>
      <x:c r="T56" s="174"/>
      <x:c r="U56" s="174"/>
      <x:c r="V56" s="174"/>
      <x:c r="W56" s="175" t="str">
        <x:f>IF(V56="","",LOWER(SUBSTITUTE(SUBSTITUTE(SUBSTITUTE(SUBSTITUTE(TRIM(V56),"https://doi.org/",""),"http://doi.org/",""),"https://dx.doi.org/",""),"doi:","")))</x:f>
      </x:c>
      <x:c r="X56" s="174"/>
      <x:c r="Y56" s="174"/>
      <x:c r="Z56" s="174"/>
      <x:c r="AA56" s="174"/>
      <x:c r="AB56" s="174"/>
      <x:c r="AC56" s="174"/>
      <x:c r="AD56" s="177"/>
      <x:c r="AE56" s="177"/>
      <x:c r="AF56" s="174"/>
      <x:c r="AG56" s="174"/>
      <x:c r="AH56" s="174"/>
      <x:c r="AI56" s="174"/>
      <x:c r="AJ56" s="174"/>
      <x:c r="AK56" s="175" t="str">
        <x:f>IF(AJ56="","",IF(OR(LOWER(AJ56)="brazil",LOWER(AJ56)="brasil"),"Yes","No"))</x:f>
      </x:c>
      <x:c r="AL56" s="174"/>
      <x:c r="AM56" s="174"/>
      <x:c r="AN56" s="174"/>
      <x:c r="AO56" s="178"/>
      <x:c r="AP56" s="174"/>
      <x:c r="AQ56" s="174"/>
      <x:c r="AR56" s="174"/>
      <x:c r="AS56" s="174"/>
      <x:c r="AT56" s="174"/>
      <x:c r="AU56" s="174"/>
      <x:c r="AV56" s="174"/>
      <x:c r="AW56" s="174"/>
      <x:c r="AX56" s="174"/>
      <x:c r="AY56" s="174"/>
      <x:c r="AZ56" s="174"/>
      <x:c r="BA56" s="174"/>
      <x:c r="BB56" s="174"/>
      <x:c r="BC56" s="174"/>
      <x:c r="BD56" s="174"/>
      <x:c r="BE56" s="174"/>
      <x:c r="BF56" s="174"/>
      <x:c r="BG56" s="174"/>
      <x:c r="BH56" s="174"/>
      <x:c r="BI56" s="174"/>
      <x:c r="BJ56" s="174"/>
      <x:c r="BK56" s="174"/>
      <x:c r="BL56" s="174"/>
      <x:c r="BM56" s="174"/>
      <x:c r="BN56" s="174"/>
      <x:c r="BO56" s="174"/>
      <x:c r="BP56" s="174"/>
      <x:c r="BQ56" s="174"/>
      <x:c r="BR56" s="174"/>
      <x:c r="BS56" s="174"/>
      <x:c r="BT56" s="174"/>
      <x:c r="BU56" s="174"/>
      <x:c r="BV56" s="174"/>
      <x:c r="BW56" s="174"/>
      <x:c r="BX56" s="174"/>
      <x:c r="BY56" s="174"/>
      <x:c r="BZ56" s="174"/>
      <x:c r="CA56" s="174"/>
      <x:c r="CB56" s="174"/>
      <x:c r="CC56" s="174"/>
      <x:c r="CD56" s="174"/>
      <x:c r="CE56" s="174"/>
      <x:c r="CF56" s="174"/>
      <x:c r="CG56" s="174"/>
      <x:c r="CH56" s="174"/>
      <x:c r="CI56" s="179"/>
      <x:c r="CJ56" s="174"/>
      <x:c r="CK56" s="174"/>
      <x:c r="CL56" s="174"/>
      <x:c r="CM56" s="174"/>
      <x:c r="CN56" s="174"/>
      <x:c r="CO56" s="177"/>
      <x:c r="CP56" s="174"/>
      <x:c r="CQ56" s="174"/>
      <x:c r="CR56" s="174"/>
      <x:c r="CS56" s="174"/>
      <x:c r="CT56" s="174"/>
      <x:c r="CU56" s="176"/>
      <x:c r="CV56" s="176"/>
      <x:c r="CW56" s="176"/>
      <x:c r="CX56" s="176"/>
      <x:c r="CY56" s="176"/>
      <x:c r="CZ56" s="176"/>
      <x:c r="DA56" s="176"/>
      <x:c r="DB56" s="175" t="str">
        <x:f>IF(L56="","",IF(COUNT(CU56:DA56)&lt;7,"",SUM(CU56:DA56)))</x:f>
      </x:c>
      <x:c r="DC56" s="180" t="str">
        <x:f>IF(DB56="","",ROUND(DB56/14*10,1))</x:f>
      </x:c>
      <x:c r="DD56" s="174"/>
      <x:c r="DE56" s="175" t="str">
        <x:f>IF(L56="","",IF(DC56="","Pending",IF(DD56="Yes","CONDITIONAL — safety override",IF(DC56&gt;=8,"HIGH",IF(DC56&gt;=5,"CONDITIONAL","LOW")))))</x:f>
      </x:c>
      <x:c r="DF56" s="174"/>
      <x:c r="DG56" s="174"/>
      <x:c r="DH56" s="174"/>
      <x:c r="DI56" s="174"/>
      <x:c r="DJ56" s="174"/>
      <x:c r="DK56" s="174"/>
      <x:c r="DL56" s="174"/>
      <x:c r="DM56" s="174"/>
      <x:c r="DN56" s="174"/>
      <x:c r="DO56" s="174"/>
      <x:c r="DP56" s="174"/>
      <x:c r="DQ56" s="174"/>
      <x:c r="DR56" s="174"/>
      <x:c r="DS56" s="174"/>
      <x:c r="DT56" s="174"/>
      <x:c r="DU56" s="174"/>
      <x:c r="DV56" s="174"/>
      <x:c r="DW56" s="174"/>
      <x:c r="DX56" s="174"/>
      <x:c r="DY56" s="174"/>
      <x:c r="DZ56" s="174"/>
      <x:c r="EA56" s="174"/>
      <x:c r="EB56" s="175" t="str">
        <x:f>IF(L56="","",IF(AND(F56="Claim-ready",CJ56="Yes",CL56="Yes",DZ56&lt;&gt;""),"Yes","No / Pending"))</x:f>
      </x:c>
      <x:c r="EC56" s="174"/>
      <x:c r="ED56" s="174"/>
      <x:c r="EE56" s="174"/>
      <x:c r="EF56" s="174"/>
      <x:c r="EG56" s="174"/>
      <x:c r="EH56" s="177"/>
      <x:c r="EI56" s="174"/>
      <x:c r="EJ56" s="174"/>
      <x:c r="EK56" s="174"/>
      <x:c r="EL56" s="177"/>
      <x:c r="EM56" s="174"/>
      <x:c r="EN56" s="181" t="str">
        <x:f>IF(L56="","",(IF(N56&lt;&gt;"",1,0)+IF(O56&lt;&gt;"",1,0)+IF(AJ56&lt;&gt;"",1,0)+IF(AU56&lt;&gt;"",1,0)+IF(BE56&lt;&gt;"",1,0)+IF(CF56&lt;&gt;"",1,0)+IF(CJ56="Yes",1,0)+IF(CL56="Yes",1,0)+IF(DE56&lt;&gt;"Pending",1,0)+IF(F56&lt;&gt;"",1,0)+IF(DZ56&lt;&gt;"",1,0)+IF(EI56&lt;&gt;"",1,0))/12)</x:f>
      </x:c>
    </x:row>
    <x:row r="57">
      <x:c r="A57" s="175" t="str">
        <x:f>IF(L57="","","EV-"&amp;TEXT(ROW()-3,"0000"))</x:f>
      </x:c>
      <x:c r="B57" s="174"/>
      <x:c r="C57" s="175" t="str">
        <x:f>IF(L57="","",IF(OR(CM57="Retracted",CN57="Retracted",F57="Not used"),"🔴 Do not use for conclusion",IF(OR(R57="Official / Institutional",I57="Official / contextual"),"🔵 Official / contextual",IF(OR(I57="Definition",I57="Framework",I57="Paradigm shift"),"🟣 Conceptual key source",IF(AND(CJ57="Yes",CL57="Yes",OR(CG57="High",CG57="Moderate"),CH57&lt;&gt;"High",CH57&lt;&gt;"Critical",F57="Claim-ready"),"🟢 Claim-ready","🟡 Caution / context")))))</x:f>
      </x:c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6"/>
      <x:c r="P57" s="174"/>
      <x:c r="Q57" s="174"/>
      <x:c r="R57" s="174"/>
      <x:c r="S57" s="174"/>
      <x:c r="T57" s="174"/>
      <x:c r="U57" s="174"/>
      <x:c r="V57" s="174"/>
      <x:c r="W57" s="175" t="str">
        <x:f>IF(V57="","",LOWER(SUBSTITUTE(SUBSTITUTE(SUBSTITUTE(SUBSTITUTE(TRIM(V57),"https://doi.org/",""),"http://doi.org/",""),"https://dx.doi.org/",""),"doi:","")))</x:f>
      </x:c>
      <x:c r="X57" s="174"/>
      <x:c r="Y57" s="174"/>
      <x:c r="Z57" s="174"/>
      <x:c r="AA57" s="174"/>
      <x:c r="AB57" s="174"/>
      <x:c r="AC57" s="174"/>
      <x:c r="AD57" s="177"/>
      <x:c r="AE57" s="177"/>
      <x:c r="AF57" s="174"/>
      <x:c r="AG57" s="174"/>
      <x:c r="AH57" s="174"/>
      <x:c r="AI57" s="174"/>
      <x:c r="AJ57" s="174"/>
      <x:c r="AK57" s="175" t="str">
        <x:f>IF(AJ57="","",IF(OR(LOWER(AJ57)="brazil",LOWER(AJ57)="brasil"),"Yes","No"))</x:f>
      </x:c>
      <x:c r="AL57" s="174"/>
      <x:c r="AM57" s="174"/>
      <x:c r="AN57" s="174"/>
      <x:c r="AO57" s="178"/>
      <x:c r="AP57" s="174"/>
      <x:c r="AQ57" s="174"/>
      <x:c r="AR57" s="174"/>
      <x:c r="AS57" s="174"/>
      <x:c r="AT57" s="174"/>
      <x:c r="AU57" s="174"/>
      <x:c r="AV57" s="174"/>
      <x:c r="AW57" s="174"/>
      <x:c r="AX57" s="174"/>
      <x:c r="AY57" s="174"/>
      <x:c r="AZ57" s="174"/>
      <x:c r="BA57" s="174"/>
      <x:c r="BB57" s="174"/>
      <x:c r="BC57" s="174"/>
      <x:c r="BD57" s="174"/>
      <x:c r="BE57" s="174"/>
      <x:c r="BF57" s="174"/>
      <x:c r="BG57" s="174"/>
      <x:c r="BH57" s="174"/>
      <x:c r="BI57" s="174"/>
      <x:c r="BJ57" s="174"/>
      <x:c r="BK57" s="174"/>
      <x:c r="BL57" s="174"/>
      <x:c r="BM57" s="174"/>
      <x:c r="BN57" s="174"/>
      <x:c r="BO57" s="174"/>
      <x:c r="BP57" s="174"/>
      <x:c r="BQ57" s="174"/>
      <x:c r="BR57" s="174"/>
      <x:c r="BS57" s="174"/>
      <x:c r="BT57" s="174"/>
      <x:c r="BU57" s="174"/>
      <x:c r="BV57" s="174"/>
      <x:c r="BW57" s="174"/>
      <x:c r="BX57" s="174"/>
      <x:c r="BY57" s="174"/>
      <x:c r="BZ57" s="174"/>
      <x:c r="CA57" s="174"/>
      <x:c r="CB57" s="174"/>
      <x:c r="CC57" s="174"/>
      <x:c r="CD57" s="174"/>
      <x:c r="CE57" s="174"/>
      <x:c r="CF57" s="174"/>
      <x:c r="CG57" s="174"/>
      <x:c r="CH57" s="174"/>
      <x:c r="CI57" s="179"/>
      <x:c r="CJ57" s="174"/>
      <x:c r="CK57" s="174"/>
      <x:c r="CL57" s="174"/>
      <x:c r="CM57" s="174"/>
      <x:c r="CN57" s="174"/>
      <x:c r="CO57" s="177"/>
      <x:c r="CP57" s="174"/>
      <x:c r="CQ57" s="174"/>
      <x:c r="CR57" s="174"/>
      <x:c r="CS57" s="174"/>
      <x:c r="CT57" s="174"/>
      <x:c r="CU57" s="176"/>
      <x:c r="CV57" s="176"/>
      <x:c r="CW57" s="176"/>
      <x:c r="CX57" s="176"/>
      <x:c r="CY57" s="176"/>
      <x:c r="CZ57" s="176"/>
      <x:c r="DA57" s="176"/>
      <x:c r="DB57" s="175" t="str">
        <x:f>IF(L57="","",IF(COUNT(CU57:DA57)&lt;7,"",SUM(CU57:DA57)))</x:f>
      </x:c>
      <x:c r="DC57" s="180" t="str">
        <x:f>IF(DB57="","",ROUND(DB57/14*10,1))</x:f>
      </x:c>
      <x:c r="DD57" s="174"/>
      <x:c r="DE57" s="175" t="str">
        <x:f>IF(L57="","",IF(DC57="","Pending",IF(DD57="Yes","CONDITIONAL — safety override",IF(DC57&gt;=8,"HIGH",IF(DC57&gt;=5,"CONDITIONAL","LOW")))))</x:f>
      </x:c>
      <x:c r="DF57" s="174"/>
      <x:c r="DG57" s="174"/>
      <x:c r="DH57" s="174"/>
      <x:c r="DI57" s="174"/>
      <x:c r="DJ57" s="174"/>
      <x:c r="DK57" s="174"/>
      <x:c r="DL57" s="174"/>
      <x:c r="DM57" s="174"/>
      <x:c r="DN57" s="174"/>
      <x:c r="DO57" s="174"/>
      <x:c r="DP57" s="174"/>
      <x:c r="DQ57" s="174"/>
      <x:c r="DR57" s="174"/>
      <x:c r="DS57" s="174"/>
      <x:c r="DT57" s="174"/>
      <x:c r="DU57" s="174"/>
      <x:c r="DV57" s="174"/>
      <x:c r="DW57" s="174"/>
      <x:c r="DX57" s="174"/>
      <x:c r="DY57" s="174"/>
      <x:c r="DZ57" s="174"/>
      <x:c r="EA57" s="174"/>
      <x:c r="EB57" s="175" t="str">
        <x:f>IF(L57="","",IF(AND(F57="Claim-ready",CJ57="Yes",CL57="Yes",DZ57&lt;&gt;""),"Yes","No / Pending"))</x:f>
      </x:c>
      <x:c r="EC57" s="174"/>
      <x:c r="ED57" s="174"/>
      <x:c r="EE57" s="174"/>
      <x:c r="EF57" s="174"/>
      <x:c r="EG57" s="174"/>
      <x:c r="EH57" s="177"/>
      <x:c r="EI57" s="174"/>
      <x:c r="EJ57" s="174"/>
      <x:c r="EK57" s="174"/>
      <x:c r="EL57" s="177"/>
      <x:c r="EM57" s="174"/>
      <x:c r="EN57" s="181" t="str">
        <x:f>IF(L57="","",(IF(N57&lt;&gt;"",1,0)+IF(O57&lt;&gt;"",1,0)+IF(AJ57&lt;&gt;"",1,0)+IF(AU57&lt;&gt;"",1,0)+IF(BE57&lt;&gt;"",1,0)+IF(CF57&lt;&gt;"",1,0)+IF(CJ57="Yes",1,0)+IF(CL57="Yes",1,0)+IF(DE57&lt;&gt;"Pending",1,0)+IF(F57&lt;&gt;"",1,0)+IF(DZ57&lt;&gt;"",1,0)+IF(EI57&lt;&gt;"",1,0))/12)</x:f>
      </x:c>
    </x:row>
    <x:row r="58">
      <x:c r="A58" s="175" t="str">
        <x:f>IF(L58="","","EV-"&amp;TEXT(ROW()-3,"0000"))</x:f>
      </x:c>
      <x:c r="B58" s="174"/>
      <x:c r="C58" s="175" t="str">
        <x:f>IF(L58="","",IF(OR(CM58="Retracted",CN58="Retracted",F58="Not used"),"🔴 Do not use for conclusion",IF(OR(R58="Official / Institutional",I58="Official / contextual"),"🔵 Official / contextual",IF(OR(I58="Definition",I58="Framework",I58="Paradigm shift"),"🟣 Conceptual key source",IF(AND(CJ58="Yes",CL58="Yes",OR(CG58="High",CG58="Moderate"),CH58&lt;&gt;"High",CH58&lt;&gt;"Critical",F58="Claim-ready"),"🟢 Claim-ready","🟡 Caution / context")))))</x:f>
      </x:c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6"/>
      <x:c r="P58" s="174"/>
      <x:c r="Q58" s="174"/>
      <x:c r="R58" s="174"/>
      <x:c r="S58" s="174"/>
      <x:c r="T58" s="174"/>
      <x:c r="U58" s="174"/>
      <x:c r="V58" s="174"/>
      <x:c r="W58" s="175" t="str">
        <x:f>IF(V58="","",LOWER(SUBSTITUTE(SUBSTITUTE(SUBSTITUTE(SUBSTITUTE(TRIM(V58),"https://doi.org/",""),"http://doi.org/",""),"https://dx.doi.org/",""),"doi:","")))</x:f>
      </x:c>
      <x:c r="X58" s="174"/>
      <x:c r="Y58" s="174"/>
      <x:c r="Z58" s="174"/>
      <x:c r="AA58" s="174"/>
      <x:c r="AB58" s="174"/>
      <x:c r="AC58" s="174"/>
      <x:c r="AD58" s="177"/>
      <x:c r="AE58" s="177"/>
      <x:c r="AF58" s="174"/>
      <x:c r="AG58" s="174"/>
      <x:c r="AH58" s="174"/>
      <x:c r="AI58" s="174"/>
      <x:c r="AJ58" s="174"/>
      <x:c r="AK58" s="175" t="str">
        <x:f>IF(AJ58="","",IF(OR(LOWER(AJ58)="brazil",LOWER(AJ58)="brasil"),"Yes","No"))</x:f>
      </x:c>
      <x:c r="AL58" s="174"/>
      <x:c r="AM58" s="174"/>
      <x:c r="AN58" s="174"/>
      <x:c r="AO58" s="178"/>
      <x:c r="AP58" s="174"/>
      <x:c r="AQ58" s="174"/>
      <x:c r="AR58" s="174"/>
      <x:c r="AS58" s="174"/>
      <x:c r="AT58" s="174"/>
      <x:c r="AU58" s="174"/>
      <x:c r="AV58" s="174"/>
      <x:c r="AW58" s="174"/>
      <x:c r="AX58" s="174"/>
      <x:c r="AY58" s="174"/>
      <x:c r="AZ58" s="174"/>
      <x:c r="BA58" s="174"/>
      <x:c r="BB58" s="174"/>
      <x:c r="BC58" s="174"/>
      <x:c r="BD58" s="174"/>
      <x:c r="BE58" s="174"/>
      <x:c r="BF58" s="174"/>
      <x:c r="BG58" s="174"/>
      <x:c r="BH58" s="174"/>
      <x:c r="BI58" s="174"/>
      <x:c r="BJ58" s="174"/>
      <x:c r="BK58" s="174"/>
      <x:c r="BL58" s="174"/>
      <x:c r="BM58" s="174"/>
      <x:c r="BN58" s="174"/>
      <x:c r="BO58" s="174"/>
      <x:c r="BP58" s="174"/>
      <x:c r="BQ58" s="174"/>
      <x:c r="BR58" s="174"/>
      <x:c r="BS58" s="174"/>
      <x:c r="BT58" s="174"/>
      <x:c r="BU58" s="174"/>
      <x:c r="BV58" s="174"/>
      <x:c r="BW58" s="174"/>
      <x:c r="BX58" s="174"/>
      <x:c r="BY58" s="174"/>
      <x:c r="BZ58" s="174"/>
      <x:c r="CA58" s="174"/>
      <x:c r="CB58" s="174"/>
      <x:c r="CC58" s="174"/>
      <x:c r="CD58" s="174"/>
      <x:c r="CE58" s="174"/>
      <x:c r="CF58" s="174"/>
      <x:c r="CG58" s="174"/>
      <x:c r="CH58" s="174"/>
      <x:c r="CI58" s="179"/>
      <x:c r="CJ58" s="174"/>
      <x:c r="CK58" s="174"/>
      <x:c r="CL58" s="174"/>
      <x:c r="CM58" s="174"/>
      <x:c r="CN58" s="174"/>
      <x:c r="CO58" s="177"/>
      <x:c r="CP58" s="174"/>
      <x:c r="CQ58" s="174"/>
      <x:c r="CR58" s="174"/>
      <x:c r="CS58" s="174"/>
      <x:c r="CT58" s="174"/>
      <x:c r="CU58" s="176"/>
      <x:c r="CV58" s="176"/>
      <x:c r="CW58" s="176"/>
      <x:c r="CX58" s="176"/>
      <x:c r="CY58" s="176"/>
      <x:c r="CZ58" s="176"/>
      <x:c r="DA58" s="176"/>
      <x:c r="DB58" s="175" t="str">
        <x:f>IF(L58="","",IF(COUNT(CU58:DA58)&lt;7,"",SUM(CU58:DA58)))</x:f>
      </x:c>
      <x:c r="DC58" s="180" t="str">
        <x:f>IF(DB58="","",ROUND(DB58/14*10,1))</x:f>
      </x:c>
      <x:c r="DD58" s="174"/>
      <x:c r="DE58" s="175" t="str">
        <x:f>IF(L58="","",IF(DC58="","Pending",IF(DD58="Yes","CONDITIONAL — safety override",IF(DC58&gt;=8,"HIGH",IF(DC58&gt;=5,"CONDITIONAL","LOW")))))</x:f>
      </x:c>
      <x:c r="DF58" s="174"/>
      <x:c r="DG58" s="174"/>
      <x:c r="DH58" s="174"/>
      <x:c r="DI58" s="174"/>
      <x:c r="DJ58" s="174"/>
      <x:c r="DK58" s="174"/>
      <x:c r="DL58" s="174"/>
      <x:c r="DM58" s="174"/>
      <x:c r="DN58" s="174"/>
      <x:c r="DO58" s="174"/>
      <x:c r="DP58" s="174"/>
      <x:c r="DQ58" s="174"/>
      <x:c r="DR58" s="174"/>
      <x:c r="DS58" s="174"/>
      <x:c r="DT58" s="174"/>
      <x:c r="DU58" s="174"/>
      <x:c r="DV58" s="174"/>
      <x:c r="DW58" s="174"/>
      <x:c r="DX58" s="174"/>
      <x:c r="DY58" s="174"/>
      <x:c r="DZ58" s="174"/>
      <x:c r="EA58" s="174"/>
      <x:c r="EB58" s="175" t="str">
        <x:f>IF(L58="","",IF(AND(F58="Claim-ready",CJ58="Yes",CL58="Yes",DZ58&lt;&gt;""),"Yes","No / Pending"))</x:f>
      </x:c>
      <x:c r="EC58" s="174"/>
      <x:c r="ED58" s="174"/>
      <x:c r="EE58" s="174"/>
      <x:c r="EF58" s="174"/>
      <x:c r="EG58" s="174"/>
      <x:c r="EH58" s="177"/>
      <x:c r="EI58" s="174"/>
      <x:c r="EJ58" s="174"/>
      <x:c r="EK58" s="174"/>
      <x:c r="EL58" s="177"/>
      <x:c r="EM58" s="174"/>
      <x:c r="EN58" s="181" t="str">
        <x:f>IF(L58="","",(IF(N58&lt;&gt;"",1,0)+IF(O58&lt;&gt;"",1,0)+IF(AJ58&lt;&gt;"",1,0)+IF(AU58&lt;&gt;"",1,0)+IF(BE58&lt;&gt;"",1,0)+IF(CF58&lt;&gt;"",1,0)+IF(CJ58="Yes",1,0)+IF(CL58="Yes",1,0)+IF(DE58&lt;&gt;"Pending",1,0)+IF(F58&lt;&gt;"",1,0)+IF(DZ58&lt;&gt;"",1,0)+IF(EI58&lt;&gt;"",1,0))/12)</x:f>
      </x:c>
    </x:row>
    <x:row r="59">
      <x:c r="A59" s="175" t="str">
        <x:f>IF(L59="","","EV-"&amp;TEXT(ROW()-3,"0000"))</x:f>
      </x:c>
      <x:c r="B59" s="174"/>
      <x:c r="C59" s="175" t="str">
        <x:f>IF(L59="","",IF(OR(CM59="Retracted",CN59="Retracted",F59="Not used"),"🔴 Do not use for conclusion",IF(OR(R59="Official / Institutional",I59="Official / contextual"),"🔵 Official / contextual",IF(OR(I59="Definition",I59="Framework",I59="Paradigm shift"),"🟣 Conceptual key source",IF(AND(CJ59="Yes",CL59="Yes",OR(CG59="High",CG59="Moderate"),CH59&lt;&gt;"High",CH59&lt;&gt;"Critical",F59="Claim-ready"),"🟢 Claim-ready","🟡 Caution / context")))))</x:f>
      </x:c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6"/>
      <x:c r="P59" s="174"/>
      <x:c r="Q59" s="174"/>
      <x:c r="R59" s="174"/>
      <x:c r="S59" s="174"/>
      <x:c r="T59" s="174"/>
      <x:c r="U59" s="174"/>
      <x:c r="V59" s="174"/>
      <x:c r="W59" s="175" t="str">
        <x:f>IF(V59="","",LOWER(SUBSTITUTE(SUBSTITUTE(SUBSTITUTE(SUBSTITUTE(TRIM(V59),"https://doi.org/",""),"http://doi.org/",""),"https://dx.doi.org/",""),"doi:","")))</x:f>
      </x:c>
      <x:c r="X59" s="174"/>
      <x:c r="Y59" s="174"/>
      <x:c r="Z59" s="174"/>
      <x:c r="AA59" s="174"/>
      <x:c r="AB59" s="174"/>
      <x:c r="AC59" s="174"/>
      <x:c r="AD59" s="177"/>
      <x:c r="AE59" s="177"/>
      <x:c r="AF59" s="174"/>
      <x:c r="AG59" s="174"/>
      <x:c r="AH59" s="174"/>
      <x:c r="AI59" s="174"/>
      <x:c r="AJ59" s="174"/>
      <x:c r="AK59" s="175" t="str">
        <x:f>IF(AJ59="","",IF(OR(LOWER(AJ59)="brazil",LOWER(AJ59)="brasil"),"Yes","No"))</x:f>
      </x:c>
      <x:c r="AL59" s="174"/>
      <x:c r="AM59" s="174"/>
      <x:c r="AN59" s="174"/>
      <x:c r="AO59" s="178"/>
      <x:c r="AP59" s="174"/>
      <x:c r="AQ59" s="174"/>
      <x:c r="AR59" s="174"/>
      <x:c r="AS59" s="174"/>
      <x:c r="AT59" s="174"/>
      <x:c r="AU59" s="174"/>
      <x:c r="AV59" s="174"/>
      <x:c r="AW59" s="174"/>
      <x:c r="AX59" s="174"/>
      <x:c r="AY59" s="174"/>
      <x:c r="AZ59" s="174"/>
      <x:c r="BA59" s="174"/>
      <x:c r="BB59" s="174"/>
      <x:c r="BC59" s="174"/>
      <x:c r="BD59" s="174"/>
      <x:c r="BE59" s="174"/>
      <x:c r="BF59" s="174"/>
      <x:c r="BG59" s="174"/>
      <x:c r="BH59" s="174"/>
      <x:c r="BI59" s="174"/>
      <x:c r="BJ59" s="174"/>
      <x:c r="BK59" s="174"/>
      <x:c r="BL59" s="174"/>
      <x:c r="BM59" s="174"/>
      <x:c r="BN59" s="174"/>
      <x:c r="BO59" s="174"/>
      <x:c r="BP59" s="174"/>
      <x:c r="BQ59" s="174"/>
      <x:c r="BR59" s="174"/>
      <x:c r="BS59" s="174"/>
      <x:c r="BT59" s="174"/>
      <x:c r="BU59" s="174"/>
      <x:c r="BV59" s="174"/>
      <x:c r="BW59" s="174"/>
      <x:c r="BX59" s="174"/>
      <x:c r="BY59" s="174"/>
      <x:c r="BZ59" s="174"/>
      <x:c r="CA59" s="174"/>
      <x:c r="CB59" s="174"/>
      <x:c r="CC59" s="174"/>
      <x:c r="CD59" s="174"/>
      <x:c r="CE59" s="174"/>
      <x:c r="CF59" s="174"/>
      <x:c r="CG59" s="174"/>
      <x:c r="CH59" s="174"/>
      <x:c r="CI59" s="179"/>
      <x:c r="CJ59" s="174"/>
      <x:c r="CK59" s="174"/>
      <x:c r="CL59" s="174"/>
      <x:c r="CM59" s="174"/>
      <x:c r="CN59" s="174"/>
      <x:c r="CO59" s="177"/>
      <x:c r="CP59" s="174"/>
      <x:c r="CQ59" s="174"/>
      <x:c r="CR59" s="174"/>
      <x:c r="CS59" s="174"/>
      <x:c r="CT59" s="174"/>
      <x:c r="CU59" s="176"/>
      <x:c r="CV59" s="176"/>
      <x:c r="CW59" s="176"/>
      <x:c r="CX59" s="176"/>
      <x:c r="CY59" s="176"/>
      <x:c r="CZ59" s="176"/>
      <x:c r="DA59" s="176"/>
      <x:c r="DB59" s="175" t="str">
        <x:f>IF(L59="","",IF(COUNT(CU59:DA59)&lt;7,"",SUM(CU59:DA59)))</x:f>
      </x:c>
      <x:c r="DC59" s="180" t="str">
        <x:f>IF(DB59="","",ROUND(DB59/14*10,1))</x:f>
      </x:c>
      <x:c r="DD59" s="174"/>
      <x:c r="DE59" s="175" t="str">
        <x:f>IF(L59="","",IF(DC59="","Pending",IF(DD59="Yes","CONDITIONAL — safety override",IF(DC59&gt;=8,"HIGH",IF(DC59&gt;=5,"CONDITIONAL","LOW")))))</x:f>
      </x:c>
      <x:c r="DF59" s="174"/>
      <x:c r="DG59" s="174"/>
      <x:c r="DH59" s="174"/>
      <x:c r="DI59" s="174"/>
      <x:c r="DJ59" s="174"/>
      <x:c r="DK59" s="174"/>
      <x:c r="DL59" s="174"/>
      <x:c r="DM59" s="174"/>
      <x:c r="DN59" s="174"/>
      <x:c r="DO59" s="174"/>
      <x:c r="DP59" s="174"/>
      <x:c r="DQ59" s="174"/>
      <x:c r="DR59" s="174"/>
      <x:c r="DS59" s="174"/>
      <x:c r="DT59" s="174"/>
      <x:c r="DU59" s="174"/>
      <x:c r="DV59" s="174"/>
      <x:c r="DW59" s="174"/>
      <x:c r="DX59" s="174"/>
      <x:c r="DY59" s="174"/>
      <x:c r="DZ59" s="174"/>
      <x:c r="EA59" s="174"/>
      <x:c r="EB59" s="175" t="str">
        <x:f>IF(L59="","",IF(AND(F59="Claim-ready",CJ59="Yes",CL59="Yes",DZ59&lt;&gt;""),"Yes","No / Pending"))</x:f>
      </x:c>
      <x:c r="EC59" s="174"/>
      <x:c r="ED59" s="174"/>
      <x:c r="EE59" s="174"/>
      <x:c r="EF59" s="174"/>
      <x:c r="EG59" s="174"/>
      <x:c r="EH59" s="177"/>
      <x:c r="EI59" s="174"/>
      <x:c r="EJ59" s="174"/>
      <x:c r="EK59" s="174"/>
      <x:c r="EL59" s="177"/>
      <x:c r="EM59" s="174"/>
      <x:c r="EN59" s="181" t="str">
        <x:f>IF(L59="","",(IF(N59&lt;&gt;"",1,0)+IF(O59&lt;&gt;"",1,0)+IF(AJ59&lt;&gt;"",1,0)+IF(AU59&lt;&gt;"",1,0)+IF(BE59&lt;&gt;"",1,0)+IF(CF59&lt;&gt;"",1,0)+IF(CJ59="Yes",1,0)+IF(CL59="Yes",1,0)+IF(DE59&lt;&gt;"Pending",1,0)+IF(F59&lt;&gt;"",1,0)+IF(DZ59&lt;&gt;"",1,0)+IF(EI59&lt;&gt;"",1,0))/12)</x:f>
      </x:c>
    </x:row>
    <x:row r="60">
      <x:c r="A60" s="175" t="str">
        <x:f>IF(L60="","","EV-"&amp;TEXT(ROW()-3,"0000"))</x:f>
      </x:c>
      <x:c r="B60" s="174"/>
      <x:c r="C60" s="175" t="str">
        <x:f>IF(L60="","",IF(OR(CM60="Retracted",CN60="Retracted",F60="Not used"),"🔴 Do not use for conclusion",IF(OR(R60="Official / Institutional",I60="Official / contextual"),"🔵 Official / contextual",IF(OR(I60="Definition",I60="Framework",I60="Paradigm shift"),"🟣 Conceptual key source",IF(AND(CJ60="Yes",CL60="Yes",OR(CG60="High",CG60="Moderate"),CH60&lt;&gt;"High",CH60&lt;&gt;"Critical",F60="Claim-ready"),"🟢 Claim-ready","🟡 Caution / context")))))</x:f>
      </x:c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6"/>
      <x:c r="P60" s="174"/>
      <x:c r="Q60" s="174"/>
      <x:c r="R60" s="174"/>
      <x:c r="S60" s="174"/>
      <x:c r="T60" s="174"/>
      <x:c r="U60" s="174"/>
      <x:c r="V60" s="174"/>
      <x:c r="W60" s="175" t="str">
        <x:f>IF(V60="","",LOWER(SUBSTITUTE(SUBSTITUTE(SUBSTITUTE(SUBSTITUTE(TRIM(V60),"https://doi.org/",""),"http://doi.org/",""),"https://dx.doi.org/",""),"doi:","")))</x:f>
      </x:c>
      <x:c r="X60" s="174"/>
      <x:c r="Y60" s="174"/>
      <x:c r="Z60" s="174"/>
      <x:c r="AA60" s="174"/>
      <x:c r="AB60" s="174"/>
      <x:c r="AC60" s="174"/>
      <x:c r="AD60" s="177"/>
      <x:c r="AE60" s="177"/>
      <x:c r="AF60" s="174"/>
      <x:c r="AG60" s="174"/>
      <x:c r="AH60" s="174"/>
      <x:c r="AI60" s="174"/>
      <x:c r="AJ60" s="174"/>
      <x:c r="AK60" s="175" t="str">
        <x:f>IF(AJ60="","",IF(OR(LOWER(AJ60)="brazil",LOWER(AJ60)="brasil"),"Yes","No"))</x:f>
      </x:c>
      <x:c r="AL60" s="174"/>
      <x:c r="AM60" s="174"/>
      <x:c r="AN60" s="174"/>
      <x:c r="AO60" s="178"/>
      <x:c r="AP60" s="174"/>
      <x:c r="AQ60" s="174"/>
      <x:c r="AR60" s="174"/>
      <x:c r="AS60" s="174"/>
      <x:c r="AT60" s="174"/>
      <x:c r="AU60" s="174"/>
      <x:c r="AV60" s="174"/>
      <x:c r="AW60" s="174"/>
      <x:c r="AX60" s="174"/>
      <x:c r="AY60" s="174"/>
      <x:c r="AZ60" s="174"/>
      <x:c r="BA60" s="174"/>
      <x:c r="BB60" s="174"/>
      <x:c r="BC60" s="174"/>
      <x:c r="BD60" s="174"/>
      <x:c r="BE60" s="174"/>
      <x:c r="BF60" s="174"/>
      <x:c r="BG60" s="174"/>
      <x:c r="BH60" s="174"/>
      <x:c r="BI60" s="174"/>
      <x:c r="BJ60" s="174"/>
      <x:c r="BK60" s="174"/>
      <x:c r="BL60" s="174"/>
      <x:c r="BM60" s="174"/>
      <x:c r="BN60" s="174"/>
      <x:c r="BO60" s="174"/>
      <x:c r="BP60" s="174"/>
      <x:c r="BQ60" s="174"/>
      <x:c r="BR60" s="174"/>
      <x:c r="BS60" s="174"/>
      <x:c r="BT60" s="174"/>
      <x:c r="BU60" s="174"/>
      <x:c r="BV60" s="174"/>
      <x:c r="BW60" s="174"/>
      <x:c r="BX60" s="174"/>
      <x:c r="BY60" s="174"/>
      <x:c r="BZ60" s="174"/>
      <x:c r="CA60" s="174"/>
      <x:c r="CB60" s="174"/>
      <x:c r="CC60" s="174"/>
      <x:c r="CD60" s="174"/>
      <x:c r="CE60" s="174"/>
      <x:c r="CF60" s="174"/>
      <x:c r="CG60" s="174"/>
      <x:c r="CH60" s="174"/>
      <x:c r="CI60" s="179"/>
      <x:c r="CJ60" s="174"/>
      <x:c r="CK60" s="174"/>
      <x:c r="CL60" s="174"/>
      <x:c r="CM60" s="174"/>
      <x:c r="CN60" s="174"/>
      <x:c r="CO60" s="177"/>
      <x:c r="CP60" s="174"/>
      <x:c r="CQ60" s="174"/>
      <x:c r="CR60" s="174"/>
      <x:c r="CS60" s="174"/>
      <x:c r="CT60" s="174"/>
      <x:c r="CU60" s="176"/>
      <x:c r="CV60" s="176"/>
      <x:c r="CW60" s="176"/>
      <x:c r="CX60" s="176"/>
      <x:c r="CY60" s="176"/>
      <x:c r="CZ60" s="176"/>
      <x:c r="DA60" s="176"/>
      <x:c r="DB60" s="175" t="str">
        <x:f>IF(L60="","",IF(COUNT(CU60:DA60)&lt;7,"",SUM(CU60:DA60)))</x:f>
      </x:c>
      <x:c r="DC60" s="180" t="str">
        <x:f>IF(DB60="","",ROUND(DB60/14*10,1))</x:f>
      </x:c>
      <x:c r="DD60" s="174"/>
      <x:c r="DE60" s="175" t="str">
        <x:f>IF(L60="","",IF(DC60="","Pending",IF(DD60="Yes","CONDITIONAL — safety override",IF(DC60&gt;=8,"HIGH",IF(DC60&gt;=5,"CONDITIONAL","LOW")))))</x:f>
      </x:c>
      <x:c r="DF60" s="174"/>
      <x:c r="DG60" s="174"/>
      <x:c r="DH60" s="174"/>
      <x:c r="DI60" s="174"/>
      <x:c r="DJ60" s="174"/>
      <x:c r="DK60" s="174"/>
      <x:c r="DL60" s="174"/>
      <x:c r="DM60" s="174"/>
      <x:c r="DN60" s="174"/>
      <x:c r="DO60" s="174"/>
      <x:c r="DP60" s="174"/>
      <x:c r="DQ60" s="174"/>
      <x:c r="DR60" s="174"/>
      <x:c r="DS60" s="174"/>
      <x:c r="DT60" s="174"/>
      <x:c r="DU60" s="174"/>
      <x:c r="DV60" s="174"/>
      <x:c r="DW60" s="174"/>
      <x:c r="DX60" s="174"/>
      <x:c r="DY60" s="174"/>
      <x:c r="DZ60" s="174"/>
      <x:c r="EA60" s="174"/>
      <x:c r="EB60" s="175" t="str">
        <x:f>IF(L60="","",IF(AND(F60="Claim-ready",CJ60="Yes",CL60="Yes",DZ60&lt;&gt;""),"Yes","No / Pending"))</x:f>
      </x:c>
      <x:c r="EC60" s="174"/>
      <x:c r="ED60" s="174"/>
      <x:c r="EE60" s="174"/>
      <x:c r="EF60" s="174"/>
      <x:c r="EG60" s="174"/>
      <x:c r="EH60" s="177"/>
      <x:c r="EI60" s="174"/>
      <x:c r="EJ60" s="174"/>
      <x:c r="EK60" s="174"/>
      <x:c r="EL60" s="177"/>
      <x:c r="EM60" s="174"/>
      <x:c r="EN60" s="181" t="str">
        <x:f>IF(L60="","",(IF(N60&lt;&gt;"",1,0)+IF(O60&lt;&gt;"",1,0)+IF(AJ60&lt;&gt;"",1,0)+IF(AU60&lt;&gt;"",1,0)+IF(BE60&lt;&gt;"",1,0)+IF(CF60&lt;&gt;"",1,0)+IF(CJ60="Yes",1,0)+IF(CL60="Yes",1,0)+IF(DE60&lt;&gt;"Pending",1,0)+IF(F60&lt;&gt;"",1,0)+IF(DZ60&lt;&gt;"",1,0)+IF(EI60&lt;&gt;"",1,0))/12)</x:f>
      </x:c>
    </x:row>
    <x:row r="61">
      <x:c r="A61" s="175" t="str">
        <x:f>IF(L61="","","EV-"&amp;TEXT(ROW()-3,"0000"))</x:f>
      </x:c>
      <x:c r="B61" s="174"/>
      <x:c r="C61" s="175" t="str">
        <x:f>IF(L61="","",IF(OR(CM61="Retracted",CN61="Retracted",F61="Not used"),"🔴 Do not use for conclusion",IF(OR(R61="Official / Institutional",I61="Official / contextual"),"🔵 Official / contextual",IF(OR(I61="Definition",I61="Framework",I61="Paradigm shift"),"🟣 Conceptual key source",IF(AND(CJ61="Yes",CL61="Yes",OR(CG61="High",CG61="Moderate"),CH61&lt;&gt;"High",CH61&lt;&gt;"Critical",F61="Claim-ready"),"🟢 Claim-ready","🟡 Caution / context")))))</x:f>
      </x:c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6"/>
      <x:c r="P61" s="174"/>
      <x:c r="Q61" s="174"/>
      <x:c r="R61" s="174"/>
      <x:c r="S61" s="174"/>
      <x:c r="T61" s="174"/>
      <x:c r="U61" s="174"/>
      <x:c r="V61" s="174"/>
      <x:c r="W61" s="175" t="str">
        <x:f>IF(V61="","",LOWER(SUBSTITUTE(SUBSTITUTE(SUBSTITUTE(SUBSTITUTE(TRIM(V61),"https://doi.org/",""),"http://doi.org/",""),"https://dx.doi.org/",""),"doi:","")))</x:f>
      </x:c>
      <x:c r="X61" s="174"/>
      <x:c r="Y61" s="174"/>
      <x:c r="Z61" s="174"/>
      <x:c r="AA61" s="174"/>
      <x:c r="AB61" s="174"/>
      <x:c r="AC61" s="174"/>
      <x:c r="AD61" s="177"/>
      <x:c r="AE61" s="177"/>
      <x:c r="AF61" s="174"/>
      <x:c r="AG61" s="174"/>
      <x:c r="AH61" s="174"/>
      <x:c r="AI61" s="174"/>
      <x:c r="AJ61" s="174"/>
      <x:c r="AK61" s="175" t="str">
        <x:f>IF(AJ61="","",IF(OR(LOWER(AJ61)="brazil",LOWER(AJ61)="brasil"),"Yes","No"))</x:f>
      </x:c>
      <x:c r="AL61" s="174"/>
      <x:c r="AM61" s="174"/>
      <x:c r="AN61" s="174"/>
      <x:c r="AO61" s="178"/>
      <x:c r="AP61" s="174"/>
      <x:c r="AQ61" s="174"/>
      <x:c r="AR61" s="174"/>
      <x:c r="AS61" s="174"/>
      <x:c r="AT61" s="174"/>
      <x:c r="AU61" s="174"/>
      <x:c r="AV61" s="174"/>
      <x:c r="AW61" s="174"/>
      <x:c r="AX61" s="174"/>
      <x:c r="AY61" s="174"/>
      <x:c r="AZ61" s="174"/>
      <x:c r="BA61" s="174"/>
      <x:c r="BB61" s="174"/>
      <x:c r="BC61" s="174"/>
      <x:c r="BD61" s="174"/>
      <x:c r="BE61" s="174"/>
      <x:c r="BF61" s="174"/>
      <x:c r="BG61" s="174"/>
      <x:c r="BH61" s="174"/>
      <x:c r="BI61" s="174"/>
      <x:c r="BJ61" s="174"/>
      <x:c r="BK61" s="174"/>
      <x:c r="BL61" s="174"/>
      <x:c r="BM61" s="174"/>
      <x:c r="BN61" s="174"/>
      <x:c r="BO61" s="174"/>
      <x:c r="BP61" s="174"/>
      <x:c r="BQ61" s="174"/>
      <x:c r="BR61" s="174"/>
      <x:c r="BS61" s="174"/>
      <x:c r="BT61" s="174"/>
      <x:c r="BU61" s="174"/>
      <x:c r="BV61" s="174"/>
      <x:c r="BW61" s="174"/>
      <x:c r="BX61" s="174"/>
      <x:c r="BY61" s="174"/>
      <x:c r="BZ61" s="174"/>
      <x:c r="CA61" s="174"/>
      <x:c r="CB61" s="174"/>
      <x:c r="CC61" s="174"/>
      <x:c r="CD61" s="174"/>
      <x:c r="CE61" s="174"/>
      <x:c r="CF61" s="174"/>
      <x:c r="CG61" s="174"/>
      <x:c r="CH61" s="174"/>
      <x:c r="CI61" s="179"/>
      <x:c r="CJ61" s="174"/>
      <x:c r="CK61" s="174"/>
      <x:c r="CL61" s="174"/>
      <x:c r="CM61" s="174"/>
      <x:c r="CN61" s="174"/>
      <x:c r="CO61" s="177"/>
      <x:c r="CP61" s="174"/>
      <x:c r="CQ61" s="174"/>
      <x:c r="CR61" s="174"/>
      <x:c r="CS61" s="174"/>
      <x:c r="CT61" s="174"/>
      <x:c r="CU61" s="176"/>
      <x:c r="CV61" s="176"/>
      <x:c r="CW61" s="176"/>
      <x:c r="CX61" s="176"/>
      <x:c r="CY61" s="176"/>
      <x:c r="CZ61" s="176"/>
      <x:c r="DA61" s="176"/>
      <x:c r="DB61" s="175" t="str">
        <x:f>IF(L61="","",IF(COUNT(CU61:DA61)&lt;7,"",SUM(CU61:DA61)))</x:f>
      </x:c>
      <x:c r="DC61" s="180" t="str">
        <x:f>IF(DB61="","",ROUND(DB61/14*10,1))</x:f>
      </x:c>
      <x:c r="DD61" s="174"/>
      <x:c r="DE61" s="175" t="str">
        <x:f>IF(L61="","",IF(DC61="","Pending",IF(DD61="Yes","CONDITIONAL — safety override",IF(DC61&gt;=8,"HIGH",IF(DC61&gt;=5,"CONDITIONAL","LOW")))))</x:f>
      </x:c>
      <x:c r="DF61" s="174"/>
      <x:c r="DG61" s="174"/>
      <x:c r="DH61" s="174"/>
      <x:c r="DI61" s="174"/>
      <x:c r="DJ61" s="174"/>
      <x:c r="DK61" s="174"/>
      <x:c r="DL61" s="174"/>
      <x:c r="DM61" s="174"/>
      <x:c r="DN61" s="174"/>
      <x:c r="DO61" s="174"/>
      <x:c r="DP61" s="174"/>
      <x:c r="DQ61" s="174"/>
      <x:c r="DR61" s="174"/>
      <x:c r="DS61" s="174"/>
      <x:c r="DT61" s="174"/>
      <x:c r="DU61" s="174"/>
      <x:c r="DV61" s="174"/>
      <x:c r="DW61" s="174"/>
      <x:c r="DX61" s="174"/>
      <x:c r="DY61" s="174"/>
      <x:c r="DZ61" s="174"/>
      <x:c r="EA61" s="174"/>
      <x:c r="EB61" s="175" t="str">
        <x:f>IF(L61="","",IF(AND(F61="Claim-ready",CJ61="Yes",CL61="Yes",DZ61&lt;&gt;""),"Yes","No / Pending"))</x:f>
      </x:c>
      <x:c r="EC61" s="174"/>
      <x:c r="ED61" s="174"/>
      <x:c r="EE61" s="174"/>
      <x:c r="EF61" s="174"/>
      <x:c r="EG61" s="174"/>
      <x:c r="EH61" s="177"/>
      <x:c r="EI61" s="174"/>
      <x:c r="EJ61" s="174"/>
      <x:c r="EK61" s="174"/>
      <x:c r="EL61" s="177"/>
      <x:c r="EM61" s="174"/>
      <x:c r="EN61" s="181" t="str">
        <x:f>IF(L61="","",(IF(N61&lt;&gt;"",1,0)+IF(O61&lt;&gt;"",1,0)+IF(AJ61&lt;&gt;"",1,0)+IF(AU61&lt;&gt;"",1,0)+IF(BE61&lt;&gt;"",1,0)+IF(CF61&lt;&gt;"",1,0)+IF(CJ61="Yes",1,0)+IF(CL61="Yes",1,0)+IF(DE61&lt;&gt;"Pending",1,0)+IF(F61&lt;&gt;"",1,0)+IF(DZ61&lt;&gt;"",1,0)+IF(EI61&lt;&gt;"",1,0))/12)</x:f>
      </x:c>
    </x:row>
    <x:row r="62">
      <x:c r="A62" s="175" t="str">
        <x:f>IF(L62="","","EV-"&amp;TEXT(ROW()-3,"0000"))</x:f>
      </x:c>
      <x:c r="B62" s="174"/>
      <x:c r="C62" s="175" t="str">
        <x:f>IF(L62="","",IF(OR(CM62="Retracted",CN62="Retracted",F62="Not used"),"🔴 Do not use for conclusion",IF(OR(R62="Official / Institutional",I62="Official / contextual"),"🔵 Official / contextual",IF(OR(I62="Definition",I62="Framework",I62="Paradigm shift"),"🟣 Conceptual key source",IF(AND(CJ62="Yes",CL62="Yes",OR(CG62="High",CG62="Moderate"),CH62&lt;&gt;"High",CH62&lt;&gt;"Critical",F62="Claim-ready"),"🟢 Claim-ready","🟡 Caution / context")))))</x:f>
      </x:c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6"/>
      <x:c r="P62" s="174"/>
      <x:c r="Q62" s="174"/>
      <x:c r="R62" s="174"/>
      <x:c r="S62" s="174"/>
      <x:c r="T62" s="174"/>
      <x:c r="U62" s="174"/>
      <x:c r="V62" s="174"/>
      <x:c r="W62" s="175" t="str">
        <x:f>IF(V62="","",LOWER(SUBSTITUTE(SUBSTITUTE(SUBSTITUTE(SUBSTITUTE(TRIM(V62),"https://doi.org/",""),"http://doi.org/",""),"https://dx.doi.org/",""),"doi:","")))</x:f>
      </x:c>
      <x:c r="X62" s="174"/>
      <x:c r="Y62" s="174"/>
      <x:c r="Z62" s="174"/>
      <x:c r="AA62" s="174"/>
      <x:c r="AB62" s="174"/>
      <x:c r="AC62" s="174"/>
      <x:c r="AD62" s="177"/>
      <x:c r="AE62" s="177"/>
      <x:c r="AF62" s="174"/>
      <x:c r="AG62" s="174"/>
      <x:c r="AH62" s="174"/>
      <x:c r="AI62" s="174"/>
      <x:c r="AJ62" s="174"/>
      <x:c r="AK62" s="175" t="str">
        <x:f>IF(AJ62="","",IF(OR(LOWER(AJ62)="brazil",LOWER(AJ62)="brasil"),"Yes","No"))</x:f>
      </x:c>
      <x:c r="AL62" s="174"/>
      <x:c r="AM62" s="174"/>
      <x:c r="AN62" s="174"/>
      <x:c r="AO62" s="178"/>
      <x:c r="AP62" s="174"/>
      <x:c r="AQ62" s="174"/>
      <x:c r="AR62" s="174"/>
      <x:c r="AS62" s="174"/>
      <x:c r="AT62" s="174"/>
      <x:c r="AU62" s="174"/>
      <x:c r="AV62" s="174"/>
      <x:c r="AW62" s="174"/>
      <x:c r="AX62" s="174"/>
      <x:c r="AY62" s="174"/>
      <x:c r="AZ62" s="174"/>
      <x:c r="BA62" s="174"/>
      <x:c r="BB62" s="174"/>
      <x:c r="BC62" s="174"/>
      <x:c r="BD62" s="174"/>
      <x:c r="BE62" s="174"/>
      <x:c r="BF62" s="174"/>
      <x:c r="BG62" s="174"/>
      <x:c r="BH62" s="174"/>
      <x:c r="BI62" s="174"/>
      <x:c r="BJ62" s="174"/>
      <x:c r="BK62" s="174"/>
      <x:c r="BL62" s="174"/>
      <x:c r="BM62" s="174"/>
      <x:c r="BN62" s="174"/>
      <x:c r="BO62" s="174"/>
      <x:c r="BP62" s="174"/>
      <x:c r="BQ62" s="174"/>
      <x:c r="BR62" s="174"/>
      <x:c r="BS62" s="174"/>
      <x:c r="BT62" s="174"/>
      <x:c r="BU62" s="174"/>
      <x:c r="BV62" s="174"/>
      <x:c r="BW62" s="174"/>
      <x:c r="BX62" s="174"/>
      <x:c r="BY62" s="174"/>
      <x:c r="BZ62" s="174"/>
      <x:c r="CA62" s="174"/>
      <x:c r="CB62" s="174"/>
      <x:c r="CC62" s="174"/>
      <x:c r="CD62" s="174"/>
      <x:c r="CE62" s="174"/>
      <x:c r="CF62" s="174"/>
      <x:c r="CG62" s="174"/>
      <x:c r="CH62" s="174"/>
      <x:c r="CI62" s="179"/>
      <x:c r="CJ62" s="174"/>
      <x:c r="CK62" s="174"/>
      <x:c r="CL62" s="174"/>
      <x:c r="CM62" s="174"/>
      <x:c r="CN62" s="174"/>
      <x:c r="CO62" s="177"/>
      <x:c r="CP62" s="174"/>
      <x:c r="CQ62" s="174"/>
      <x:c r="CR62" s="174"/>
      <x:c r="CS62" s="174"/>
      <x:c r="CT62" s="174"/>
      <x:c r="CU62" s="176"/>
      <x:c r="CV62" s="176"/>
      <x:c r="CW62" s="176"/>
      <x:c r="CX62" s="176"/>
      <x:c r="CY62" s="176"/>
      <x:c r="CZ62" s="176"/>
      <x:c r="DA62" s="176"/>
      <x:c r="DB62" s="175" t="str">
        <x:f>IF(L62="","",IF(COUNT(CU62:DA62)&lt;7,"",SUM(CU62:DA62)))</x:f>
      </x:c>
      <x:c r="DC62" s="180" t="str">
        <x:f>IF(DB62="","",ROUND(DB62/14*10,1))</x:f>
      </x:c>
      <x:c r="DD62" s="174"/>
      <x:c r="DE62" s="175" t="str">
        <x:f>IF(L62="","",IF(DC62="","Pending",IF(DD62="Yes","CONDITIONAL — safety override",IF(DC62&gt;=8,"HIGH",IF(DC62&gt;=5,"CONDITIONAL","LOW")))))</x:f>
      </x:c>
      <x:c r="DF62" s="174"/>
      <x:c r="DG62" s="174"/>
      <x:c r="DH62" s="174"/>
      <x:c r="DI62" s="174"/>
      <x:c r="DJ62" s="174"/>
      <x:c r="DK62" s="174"/>
      <x:c r="DL62" s="174"/>
      <x:c r="DM62" s="174"/>
      <x:c r="DN62" s="174"/>
      <x:c r="DO62" s="174"/>
      <x:c r="DP62" s="174"/>
      <x:c r="DQ62" s="174"/>
      <x:c r="DR62" s="174"/>
      <x:c r="DS62" s="174"/>
      <x:c r="DT62" s="174"/>
      <x:c r="DU62" s="174"/>
      <x:c r="DV62" s="174"/>
      <x:c r="DW62" s="174"/>
      <x:c r="DX62" s="174"/>
      <x:c r="DY62" s="174"/>
      <x:c r="DZ62" s="174"/>
      <x:c r="EA62" s="174"/>
      <x:c r="EB62" s="175" t="str">
        <x:f>IF(L62="","",IF(AND(F62="Claim-ready",CJ62="Yes",CL62="Yes",DZ62&lt;&gt;""),"Yes","No / Pending"))</x:f>
      </x:c>
      <x:c r="EC62" s="174"/>
      <x:c r="ED62" s="174"/>
      <x:c r="EE62" s="174"/>
      <x:c r="EF62" s="174"/>
      <x:c r="EG62" s="174"/>
      <x:c r="EH62" s="177"/>
      <x:c r="EI62" s="174"/>
      <x:c r="EJ62" s="174"/>
      <x:c r="EK62" s="174"/>
      <x:c r="EL62" s="177"/>
      <x:c r="EM62" s="174"/>
      <x:c r="EN62" s="181" t="str">
        <x:f>IF(L62="","",(IF(N62&lt;&gt;"",1,0)+IF(O62&lt;&gt;"",1,0)+IF(AJ62&lt;&gt;"",1,0)+IF(AU62&lt;&gt;"",1,0)+IF(BE62&lt;&gt;"",1,0)+IF(CF62&lt;&gt;"",1,0)+IF(CJ62="Yes",1,0)+IF(CL62="Yes",1,0)+IF(DE62&lt;&gt;"Pending",1,0)+IF(F62&lt;&gt;"",1,0)+IF(DZ62&lt;&gt;"",1,0)+IF(EI62&lt;&gt;"",1,0))/12)</x:f>
      </x:c>
    </x:row>
    <x:row r="63">
      <x:c r="A63" s="175" t="str">
        <x:f>IF(L63="","","EV-"&amp;TEXT(ROW()-3,"0000"))</x:f>
      </x:c>
      <x:c r="B63" s="174"/>
      <x:c r="C63" s="175" t="str">
        <x:f>IF(L63="","",IF(OR(CM63="Retracted",CN63="Retracted",F63="Not used"),"🔴 Do not use for conclusion",IF(OR(R63="Official / Institutional",I63="Official / contextual"),"🔵 Official / contextual",IF(OR(I63="Definition",I63="Framework",I63="Paradigm shift"),"🟣 Conceptual key source",IF(AND(CJ63="Yes",CL63="Yes",OR(CG63="High",CG63="Moderate"),CH63&lt;&gt;"High",CH63&lt;&gt;"Critical",F63="Claim-ready"),"🟢 Claim-ready","🟡 Caution / context")))))</x:f>
      </x:c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6"/>
      <x:c r="P63" s="174"/>
      <x:c r="Q63" s="174"/>
      <x:c r="R63" s="174"/>
      <x:c r="S63" s="174"/>
      <x:c r="T63" s="174"/>
      <x:c r="U63" s="174"/>
      <x:c r="V63" s="174"/>
      <x:c r="W63" s="175" t="str">
        <x:f>IF(V63="","",LOWER(SUBSTITUTE(SUBSTITUTE(SUBSTITUTE(SUBSTITUTE(TRIM(V63),"https://doi.org/",""),"http://doi.org/",""),"https://dx.doi.org/",""),"doi:","")))</x:f>
      </x:c>
      <x:c r="X63" s="174"/>
      <x:c r="Y63" s="174"/>
      <x:c r="Z63" s="174"/>
      <x:c r="AA63" s="174"/>
      <x:c r="AB63" s="174"/>
      <x:c r="AC63" s="174"/>
      <x:c r="AD63" s="177"/>
      <x:c r="AE63" s="177"/>
      <x:c r="AF63" s="174"/>
      <x:c r="AG63" s="174"/>
      <x:c r="AH63" s="174"/>
      <x:c r="AI63" s="174"/>
      <x:c r="AJ63" s="174"/>
      <x:c r="AK63" s="175" t="str">
        <x:f>IF(AJ63="","",IF(OR(LOWER(AJ63)="brazil",LOWER(AJ63)="brasil"),"Yes","No"))</x:f>
      </x:c>
      <x:c r="AL63" s="174"/>
      <x:c r="AM63" s="174"/>
      <x:c r="AN63" s="174"/>
      <x:c r="AO63" s="178"/>
      <x:c r="AP63" s="174"/>
      <x:c r="AQ63" s="174"/>
      <x:c r="AR63" s="174"/>
      <x:c r="AS63" s="174"/>
      <x:c r="AT63" s="174"/>
      <x:c r="AU63" s="174"/>
      <x:c r="AV63" s="174"/>
      <x:c r="AW63" s="174"/>
      <x:c r="AX63" s="174"/>
      <x:c r="AY63" s="174"/>
      <x:c r="AZ63" s="174"/>
      <x:c r="BA63" s="174"/>
      <x:c r="BB63" s="174"/>
      <x:c r="BC63" s="174"/>
      <x:c r="BD63" s="174"/>
      <x:c r="BE63" s="174"/>
      <x:c r="BF63" s="174"/>
      <x:c r="BG63" s="174"/>
      <x:c r="BH63" s="174"/>
      <x:c r="BI63" s="174"/>
      <x:c r="BJ63" s="174"/>
      <x:c r="BK63" s="174"/>
      <x:c r="BL63" s="174"/>
      <x:c r="BM63" s="174"/>
      <x:c r="BN63" s="174"/>
      <x:c r="BO63" s="174"/>
      <x:c r="BP63" s="174"/>
      <x:c r="BQ63" s="174"/>
      <x:c r="BR63" s="174"/>
      <x:c r="BS63" s="174"/>
      <x:c r="BT63" s="174"/>
      <x:c r="BU63" s="174"/>
      <x:c r="BV63" s="174"/>
      <x:c r="BW63" s="174"/>
      <x:c r="BX63" s="174"/>
      <x:c r="BY63" s="174"/>
      <x:c r="BZ63" s="174"/>
      <x:c r="CA63" s="174"/>
      <x:c r="CB63" s="174"/>
      <x:c r="CC63" s="174"/>
      <x:c r="CD63" s="174"/>
      <x:c r="CE63" s="174"/>
      <x:c r="CF63" s="174"/>
      <x:c r="CG63" s="174"/>
      <x:c r="CH63" s="174"/>
      <x:c r="CI63" s="179"/>
      <x:c r="CJ63" s="174"/>
      <x:c r="CK63" s="174"/>
      <x:c r="CL63" s="174"/>
      <x:c r="CM63" s="174"/>
      <x:c r="CN63" s="174"/>
      <x:c r="CO63" s="177"/>
      <x:c r="CP63" s="174"/>
      <x:c r="CQ63" s="174"/>
      <x:c r="CR63" s="174"/>
      <x:c r="CS63" s="174"/>
      <x:c r="CT63" s="174"/>
      <x:c r="CU63" s="176"/>
      <x:c r="CV63" s="176"/>
      <x:c r="CW63" s="176"/>
      <x:c r="CX63" s="176"/>
      <x:c r="CY63" s="176"/>
      <x:c r="CZ63" s="176"/>
      <x:c r="DA63" s="176"/>
      <x:c r="DB63" s="175" t="str">
        <x:f>IF(L63="","",IF(COUNT(CU63:DA63)&lt;7,"",SUM(CU63:DA63)))</x:f>
      </x:c>
      <x:c r="DC63" s="180" t="str">
        <x:f>IF(DB63="","",ROUND(DB63/14*10,1))</x:f>
      </x:c>
      <x:c r="DD63" s="174"/>
      <x:c r="DE63" s="175" t="str">
        <x:f>IF(L63="","",IF(DC63="","Pending",IF(DD63="Yes","CONDITIONAL — safety override",IF(DC63&gt;=8,"HIGH",IF(DC63&gt;=5,"CONDITIONAL","LOW")))))</x:f>
      </x:c>
      <x:c r="DF63" s="174"/>
      <x:c r="DG63" s="174"/>
      <x:c r="DH63" s="174"/>
      <x:c r="DI63" s="174"/>
      <x:c r="DJ63" s="174"/>
      <x:c r="DK63" s="174"/>
      <x:c r="DL63" s="174"/>
      <x:c r="DM63" s="174"/>
      <x:c r="DN63" s="174"/>
      <x:c r="DO63" s="174"/>
      <x:c r="DP63" s="174"/>
      <x:c r="DQ63" s="174"/>
      <x:c r="DR63" s="174"/>
      <x:c r="DS63" s="174"/>
      <x:c r="DT63" s="174"/>
      <x:c r="DU63" s="174"/>
      <x:c r="DV63" s="174"/>
      <x:c r="DW63" s="174"/>
      <x:c r="DX63" s="174"/>
      <x:c r="DY63" s="174"/>
      <x:c r="DZ63" s="174"/>
      <x:c r="EA63" s="174"/>
      <x:c r="EB63" s="175" t="str">
        <x:f>IF(L63="","",IF(AND(F63="Claim-ready",CJ63="Yes",CL63="Yes",DZ63&lt;&gt;""),"Yes","No / Pending"))</x:f>
      </x:c>
      <x:c r="EC63" s="174"/>
      <x:c r="ED63" s="174"/>
      <x:c r="EE63" s="174"/>
      <x:c r="EF63" s="174"/>
      <x:c r="EG63" s="174"/>
      <x:c r="EH63" s="177"/>
      <x:c r="EI63" s="174"/>
      <x:c r="EJ63" s="174"/>
      <x:c r="EK63" s="174"/>
      <x:c r="EL63" s="177"/>
      <x:c r="EM63" s="174"/>
      <x:c r="EN63" s="181" t="str">
        <x:f>IF(L63="","",(IF(N63&lt;&gt;"",1,0)+IF(O63&lt;&gt;"",1,0)+IF(AJ63&lt;&gt;"",1,0)+IF(AU63&lt;&gt;"",1,0)+IF(BE63&lt;&gt;"",1,0)+IF(CF63&lt;&gt;"",1,0)+IF(CJ63="Yes",1,0)+IF(CL63="Yes",1,0)+IF(DE63&lt;&gt;"Pending",1,0)+IF(F63&lt;&gt;"",1,0)+IF(DZ63&lt;&gt;"",1,0)+IF(EI63&lt;&gt;"",1,0))/12)</x:f>
      </x:c>
    </x:row>
    <x:row r="64">
      <x:c r="A64" s="175" t="str">
        <x:f>IF(L64="","","EV-"&amp;TEXT(ROW()-3,"0000"))</x:f>
      </x:c>
      <x:c r="B64" s="174"/>
      <x:c r="C64" s="175" t="str">
        <x:f>IF(L64="","",IF(OR(CM64="Retracted",CN64="Retracted",F64="Not used"),"🔴 Do not use for conclusion",IF(OR(R64="Official / Institutional",I64="Official / contextual"),"🔵 Official / contextual",IF(OR(I64="Definition",I64="Framework",I64="Paradigm shift"),"🟣 Conceptual key source",IF(AND(CJ64="Yes",CL64="Yes",OR(CG64="High",CG64="Moderate"),CH64&lt;&gt;"High",CH64&lt;&gt;"Critical",F64="Claim-ready"),"🟢 Claim-ready","🟡 Caution / context")))))</x:f>
      </x:c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6"/>
      <x:c r="P64" s="174"/>
      <x:c r="Q64" s="174"/>
      <x:c r="R64" s="174"/>
      <x:c r="S64" s="174"/>
      <x:c r="T64" s="174"/>
      <x:c r="U64" s="174"/>
      <x:c r="V64" s="174"/>
      <x:c r="W64" s="175" t="str">
        <x:f>IF(V64="","",LOWER(SUBSTITUTE(SUBSTITUTE(SUBSTITUTE(SUBSTITUTE(TRIM(V64),"https://doi.org/",""),"http://doi.org/",""),"https://dx.doi.org/",""),"doi:","")))</x:f>
      </x:c>
      <x:c r="X64" s="174"/>
      <x:c r="Y64" s="174"/>
      <x:c r="Z64" s="174"/>
      <x:c r="AA64" s="174"/>
      <x:c r="AB64" s="174"/>
      <x:c r="AC64" s="174"/>
      <x:c r="AD64" s="177"/>
      <x:c r="AE64" s="177"/>
      <x:c r="AF64" s="174"/>
      <x:c r="AG64" s="174"/>
      <x:c r="AH64" s="174"/>
      <x:c r="AI64" s="174"/>
      <x:c r="AJ64" s="174"/>
      <x:c r="AK64" s="175" t="str">
        <x:f>IF(AJ64="","",IF(OR(LOWER(AJ64)="brazil",LOWER(AJ64)="brasil"),"Yes","No"))</x:f>
      </x:c>
      <x:c r="AL64" s="174"/>
      <x:c r="AM64" s="174"/>
      <x:c r="AN64" s="174"/>
      <x:c r="AO64" s="178"/>
      <x:c r="AP64" s="174"/>
      <x:c r="AQ64" s="174"/>
      <x:c r="AR64" s="174"/>
      <x:c r="AS64" s="174"/>
      <x:c r="AT64" s="174"/>
      <x:c r="AU64" s="174"/>
      <x:c r="AV64" s="174"/>
      <x:c r="AW64" s="174"/>
      <x:c r="AX64" s="174"/>
      <x:c r="AY64" s="174"/>
      <x:c r="AZ64" s="174"/>
      <x:c r="BA64" s="174"/>
      <x:c r="BB64" s="174"/>
      <x:c r="BC64" s="174"/>
      <x:c r="BD64" s="174"/>
      <x:c r="BE64" s="174"/>
      <x:c r="BF64" s="174"/>
      <x:c r="BG64" s="174"/>
      <x:c r="BH64" s="174"/>
      <x:c r="BI64" s="174"/>
      <x:c r="BJ64" s="174"/>
      <x:c r="BK64" s="174"/>
      <x:c r="BL64" s="174"/>
      <x:c r="BM64" s="174"/>
      <x:c r="BN64" s="174"/>
      <x:c r="BO64" s="174"/>
      <x:c r="BP64" s="174"/>
      <x:c r="BQ64" s="174"/>
      <x:c r="BR64" s="174"/>
      <x:c r="BS64" s="174"/>
      <x:c r="BT64" s="174"/>
      <x:c r="BU64" s="174"/>
      <x:c r="BV64" s="174"/>
      <x:c r="BW64" s="174"/>
      <x:c r="BX64" s="174"/>
      <x:c r="BY64" s="174"/>
      <x:c r="BZ64" s="174"/>
      <x:c r="CA64" s="174"/>
      <x:c r="CB64" s="174"/>
      <x:c r="CC64" s="174"/>
      <x:c r="CD64" s="174"/>
      <x:c r="CE64" s="174"/>
      <x:c r="CF64" s="174"/>
      <x:c r="CG64" s="174"/>
      <x:c r="CH64" s="174"/>
      <x:c r="CI64" s="179"/>
      <x:c r="CJ64" s="174"/>
      <x:c r="CK64" s="174"/>
      <x:c r="CL64" s="174"/>
      <x:c r="CM64" s="174"/>
      <x:c r="CN64" s="174"/>
      <x:c r="CO64" s="177"/>
      <x:c r="CP64" s="174"/>
      <x:c r="CQ64" s="174"/>
      <x:c r="CR64" s="174"/>
      <x:c r="CS64" s="174"/>
      <x:c r="CT64" s="174"/>
      <x:c r="CU64" s="176"/>
      <x:c r="CV64" s="176"/>
      <x:c r="CW64" s="176"/>
      <x:c r="CX64" s="176"/>
      <x:c r="CY64" s="176"/>
      <x:c r="CZ64" s="176"/>
      <x:c r="DA64" s="176"/>
      <x:c r="DB64" s="175" t="str">
        <x:f>IF(L64="","",IF(COUNT(CU64:DA64)&lt;7,"",SUM(CU64:DA64)))</x:f>
      </x:c>
      <x:c r="DC64" s="180" t="str">
        <x:f>IF(DB64="","",ROUND(DB64/14*10,1))</x:f>
      </x:c>
      <x:c r="DD64" s="174"/>
      <x:c r="DE64" s="175" t="str">
        <x:f>IF(L64="","",IF(DC64="","Pending",IF(DD64="Yes","CONDITIONAL — safety override",IF(DC64&gt;=8,"HIGH",IF(DC64&gt;=5,"CONDITIONAL","LOW")))))</x:f>
      </x:c>
      <x:c r="DF64" s="174"/>
      <x:c r="DG64" s="174"/>
      <x:c r="DH64" s="174"/>
      <x:c r="DI64" s="174"/>
      <x:c r="DJ64" s="174"/>
      <x:c r="DK64" s="174"/>
      <x:c r="DL64" s="174"/>
      <x:c r="DM64" s="174"/>
      <x:c r="DN64" s="174"/>
      <x:c r="DO64" s="174"/>
      <x:c r="DP64" s="174"/>
      <x:c r="DQ64" s="174"/>
      <x:c r="DR64" s="174"/>
      <x:c r="DS64" s="174"/>
      <x:c r="DT64" s="174"/>
      <x:c r="DU64" s="174"/>
      <x:c r="DV64" s="174"/>
      <x:c r="DW64" s="174"/>
      <x:c r="DX64" s="174"/>
      <x:c r="DY64" s="174"/>
      <x:c r="DZ64" s="174"/>
      <x:c r="EA64" s="174"/>
      <x:c r="EB64" s="175" t="str">
        <x:f>IF(L64="","",IF(AND(F64="Claim-ready",CJ64="Yes",CL64="Yes",DZ64&lt;&gt;""),"Yes","No / Pending"))</x:f>
      </x:c>
      <x:c r="EC64" s="174"/>
      <x:c r="ED64" s="174"/>
      <x:c r="EE64" s="174"/>
      <x:c r="EF64" s="174"/>
      <x:c r="EG64" s="174"/>
      <x:c r="EH64" s="177"/>
      <x:c r="EI64" s="174"/>
      <x:c r="EJ64" s="174"/>
      <x:c r="EK64" s="174"/>
      <x:c r="EL64" s="177"/>
      <x:c r="EM64" s="174"/>
      <x:c r="EN64" s="181" t="str">
        <x:f>IF(L64="","",(IF(N64&lt;&gt;"",1,0)+IF(O64&lt;&gt;"",1,0)+IF(AJ64&lt;&gt;"",1,0)+IF(AU64&lt;&gt;"",1,0)+IF(BE64&lt;&gt;"",1,0)+IF(CF64&lt;&gt;"",1,0)+IF(CJ64="Yes",1,0)+IF(CL64="Yes",1,0)+IF(DE64&lt;&gt;"Pending",1,0)+IF(F64&lt;&gt;"",1,0)+IF(DZ64&lt;&gt;"",1,0)+IF(EI64&lt;&gt;"",1,0))/12)</x:f>
      </x:c>
    </x:row>
    <x:row r="65">
      <x:c r="A65" s="175" t="str">
        <x:f>IF(L65="","","EV-"&amp;TEXT(ROW()-3,"0000"))</x:f>
      </x:c>
      <x:c r="B65" s="174"/>
      <x:c r="C65" s="175" t="str">
        <x:f>IF(L65="","",IF(OR(CM65="Retracted",CN65="Retracted",F65="Not used"),"🔴 Do not use for conclusion",IF(OR(R65="Official / Institutional",I65="Official / contextual"),"🔵 Official / contextual",IF(OR(I65="Definition",I65="Framework",I65="Paradigm shift"),"🟣 Conceptual key source",IF(AND(CJ65="Yes",CL65="Yes",OR(CG65="High",CG65="Moderate"),CH65&lt;&gt;"High",CH65&lt;&gt;"Critical",F65="Claim-ready"),"🟢 Claim-ready","🟡 Caution / context")))))</x:f>
      </x:c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6"/>
      <x:c r="P65" s="174"/>
      <x:c r="Q65" s="174"/>
      <x:c r="R65" s="174"/>
      <x:c r="S65" s="174"/>
      <x:c r="T65" s="174"/>
      <x:c r="U65" s="174"/>
      <x:c r="V65" s="174"/>
      <x:c r="W65" s="175" t="str">
        <x:f>IF(V65="","",LOWER(SUBSTITUTE(SUBSTITUTE(SUBSTITUTE(SUBSTITUTE(TRIM(V65),"https://doi.org/",""),"http://doi.org/",""),"https://dx.doi.org/",""),"doi:","")))</x:f>
      </x:c>
      <x:c r="X65" s="174"/>
      <x:c r="Y65" s="174"/>
      <x:c r="Z65" s="174"/>
      <x:c r="AA65" s="174"/>
      <x:c r="AB65" s="174"/>
      <x:c r="AC65" s="174"/>
      <x:c r="AD65" s="177"/>
      <x:c r="AE65" s="177"/>
      <x:c r="AF65" s="174"/>
      <x:c r="AG65" s="174"/>
      <x:c r="AH65" s="174"/>
      <x:c r="AI65" s="174"/>
      <x:c r="AJ65" s="174"/>
      <x:c r="AK65" s="175" t="str">
        <x:f>IF(AJ65="","",IF(OR(LOWER(AJ65)="brazil",LOWER(AJ65)="brasil"),"Yes","No"))</x:f>
      </x:c>
      <x:c r="AL65" s="174"/>
      <x:c r="AM65" s="174"/>
      <x:c r="AN65" s="174"/>
      <x:c r="AO65" s="178"/>
      <x:c r="AP65" s="174"/>
      <x:c r="AQ65" s="174"/>
      <x:c r="AR65" s="174"/>
      <x:c r="AS65" s="174"/>
      <x:c r="AT65" s="174"/>
      <x:c r="AU65" s="174"/>
      <x:c r="AV65" s="174"/>
      <x:c r="AW65" s="174"/>
      <x:c r="AX65" s="174"/>
      <x:c r="AY65" s="174"/>
      <x:c r="AZ65" s="174"/>
      <x:c r="BA65" s="174"/>
      <x:c r="BB65" s="174"/>
      <x:c r="BC65" s="174"/>
      <x:c r="BD65" s="174"/>
      <x:c r="BE65" s="174"/>
      <x:c r="BF65" s="174"/>
      <x:c r="BG65" s="174"/>
      <x:c r="BH65" s="174"/>
      <x:c r="BI65" s="174"/>
      <x:c r="BJ65" s="174"/>
      <x:c r="BK65" s="174"/>
      <x:c r="BL65" s="174"/>
      <x:c r="BM65" s="174"/>
      <x:c r="BN65" s="174"/>
      <x:c r="BO65" s="174"/>
      <x:c r="BP65" s="174"/>
      <x:c r="BQ65" s="174"/>
      <x:c r="BR65" s="174"/>
      <x:c r="BS65" s="174"/>
      <x:c r="BT65" s="174"/>
      <x:c r="BU65" s="174"/>
      <x:c r="BV65" s="174"/>
      <x:c r="BW65" s="174"/>
      <x:c r="BX65" s="174"/>
      <x:c r="BY65" s="174"/>
      <x:c r="BZ65" s="174"/>
      <x:c r="CA65" s="174"/>
      <x:c r="CB65" s="174"/>
      <x:c r="CC65" s="174"/>
      <x:c r="CD65" s="174"/>
      <x:c r="CE65" s="174"/>
      <x:c r="CF65" s="174"/>
      <x:c r="CG65" s="174"/>
      <x:c r="CH65" s="174"/>
      <x:c r="CI65" s="179"/>
      <x:c r="CJ65" s="174"/>
      <x:c r="CK65" s="174"/>
      <x:c r="CL65" s="174"/>
      <x:c r="CM65" s="174"/>
      <x:c r="CN65" s="174"/>
      <x:c r="CO65" s="177"/>
      <x:c r="CP65" s="174"/>
      <x:c r="CQ65" s="174"/>
      <x:c r="CR65" s="174"/>
      <x:c r="CS65" s="174"/>
      <x:c r="CT65" s="174"/>
      <x:c r="CU65" s="176"/>
      <x:c r="CV65" s="176"/>
      <x:c r="CW65" s="176"/>
      <x:c r="CX65" s="176"/>
      <x:c r="CY65" s="176"/>
      <x:c r="CZ65" s="176"/>
      <x:c r="DA65" s="176"/>
      <x:c r="DB65" s="175" t="str">
        <x:f>IF(L65="","",IF(COUNT(CU65:DA65)&lt;7,"",SUM(CU65:DA65)))</x:f>
      </x:c>
      <x:c r="DC65" s="180" t="str">
        <x:f>IF(DB65="","",ROUND(DB65/14*10,1))</x:f>
      </x:c>
      <x:c r="DD65" s="174"/>
      <x:c r="DE65" s="175" t="str">
        <x:f>IF(L65="","",IF(DC65="","Pending",IF(DD65="Yes","CONDITIONAL — safety override",IF(DC65&gt;=8,"HIGH",IF(DC65&gt;=5,"CONDITIONAL","LOW")))))</x:f>
      </x:c>
      <x:c r="DF65" s="174"/>
      <x:c r="DG65" s="174"/>
      <x:c r="DH65" s="174"/>
      <x:c r="DI65" s="174"/>
      <x:c r="DJ65" s="174"/>
      <x:c r="DK65" s="174"/>
      <x:c r="DL65" s="174"/>
      <x:c r="DM65" s="174"/>
      <x:c r="DN65" s="174"/>
      <x:c r="DO65" s="174"/>
      <x:c r="DP65" s="174"/>
      <x:c r="DQ65" s="174"/>
      <x:c r="DR65" s="174"/>
      <x:c r="DS65" s="174"/>
      <x:c r="DT65" s="174"/>
      <x:c r="DU65" s="174"/>
      <x:c r="DV65" s="174"/>
      <x:c r="DW65" s="174"/>
      <x:c r="DX65" s="174"/>
      <x:c r="DY65" s="174"/>
      <x:c r="DZ65" s="174"/>
      <x:c r="EA65" s="174"/>
      <x:c r="EB65" s="175" t="str">
        <x:f>IF(L65="","",IF(AND(F65="Claim-ready",CJ65="Yes",CL65="Yes",DZ65&lt;&gt;""),"Yes","No / Pending"))</x:f>
      </x:c>
      <x:c r="EC65" s="174"/>
      <x:c r="ED65" s="174"/>
      <x:c r="EE65" s="174"/>
      <x:c r="EF65" s="174"/>
      <x:c r="EG65" s="174"/>
      <x:c r="EH65" s="177"/>
      <x:c r="EI65" s="174"/>
      <x:c r="EJ65" s="174"/>
      <x:c r="EK65" s="174"/>
      <x:c r="EL65" s="177"/>
      <x:c r="EM65" s="174"/>
      <x:c r="EN65" s="181" t="str">
        <x:f>IF(L65="","",(IF(N65&lt;&gt;"",1,0)+IF(O65&lt;&gt;"",1,0)+IF(AJ65&lt;&gt;"",1,0)+IF(AU65&lt;&gt;"",1,0)+IF(BE65&lt;&gt;"",1,0)+IF(CF65&lt;&gt;"",1,0)+IF(CJ65="Yes",1,0)+IF(CL65="Yes",1,0)+IF(DE65&lt;&gt;"Pending",1,0)+IF(F65&lt;&gt;"",1,0)+IF(DZ65&lt;&gt;"",1,0)+IF(EI65&lt;&gt;"",1,0))/12)</x:f>
      </x:c>
    </x:row>
    <x:row r="66">
      <x:c r="A66" s="175" t="str">
        <x:f>IF(L66="","","EV-"&amp;TEXT(ROW()-3,"0000"))</x:f>
      </x:c>
      <x:c r="B66" s="174"/>
      <x:c r="C66" s="175" t="str">
        <x:f>IF(L66="","",IF(OR(CM66="Retracted",CN66="Retracted",F66="Not used"),"🔴 Do not use for conclusion",IF(OR(R66="Official / Institutional",I66="Official / contextual"),"🔵 Official / contextual",IF(OR(I66="Definition",I66="Framework",I66="Paradigm shift"),"🟣 Conceptual key source",IF(AND(CJ66="Yes",CL66="Yes",OR(CG66="High",CG66="Moderate"),CH66&lt;&gt;"High",CH66&lt;&gt;"Critical",F66="Claim-ready"),"🟢 Claim-ready","🟡 Caution / context")))))</x:f>
      </x:c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6"/>
      <x:c r="P66" s="174"/>
      <x:c r="Q66" s="174"/>
      <x:c r="R66" s="174"/>
      <x:c r="S66" s="174"/>
      <x:c r="T66" s="174"/>
      <x:c r="U66" s="174"/>
      <x:c r="V66" s="174"/>
      <x:c r="W66" s="175" t="str">
        <x:f>IF(V66="","",LOWER(SUBSTITUTE(SUBSTITUTE(SUBSTITUTE(SUBSTITUTE(TRIM(V66),"https://doi.org/",""),"http://doi.org/",""),"https://dx.doi.org/",""),"doi:","")))</x:f>
      </x:c>
      <x:c r="X66" s="174"/>
      <x:c r="Y66" s="174"/>
      <x:c r="Z66" s="174"/>
      <x:c r="AA66" s="174"/>
      <x:c r="AB66" s="174"/>
      <x:c r="AC66" s="174"/>
      <x:c r="AD66" s="177"/>
      <x:c r="AE66" s="177"/>
      <x:c r="AF66" s="174"/>
      <x:c r="AG66" s="174"/>
      <x:c r="AH66" s="174"/>
      <x:c r="AI66" s="174"/>
      <x:c r="AJ66" s="174"/>
      <x:c r="AK66" s="175" t="str">
        <x:f>IF(AJ66="","",IF(OR(LOWER(AJ66)="brazil",LOWER(AJ66)="brasil"),"Yes","No"))</x:f>
      </x:c>
      <x:c r="AL66" s="174"/>
      <x:c r="AM66" s="174"/>
      <x:c r="AN66" s="174"/>
      <x:c r="AO66" s="178"/>
      <x:c r="AP66" s="174"/>
      <x:c r="AQ66" s="174"/>
      <x:c r="AR66" s="174"/>
      <x:c r="AS66" s="174"/>
      <x:c r="AT66" s="174"/>
      <x:c r="AU66" s="174"/>
      <x:c r="AV66" s="174"/>
      <x:c r="AW66" s="174"/>
      <x:c r="AX66" s="174"/>
      <x:c r="AY66" s="174"/>
      <x:c r="AZ66" s="174"/>
      <x:c r="BA66" s="174"/>
      <x:c r="BB66" s="174"/>
      <x:c r="BC66" s="174"/>
      <x:c r="BD66" s="174"/>
      <x:c r="BE66" s="174"/>
      <x:c r="BF66" s="174"/>
      <x:c r="BG66" s="174"/>
      <x:c r="BH66" s="174"/>
      <x:c r="BI66" s="174"/>
      <x:c r="BJ66" s="174"/>
      <x:c r="BK66" s="174"/>
      <x:c r="BL66" s="174"/>
      <x:c r="BM66" s="174"/>
      <x:c r="BN66" s="174"/>
      <x:c r="BO66" s="174"/>
      <x:c r="BP66" s="174"/>
      <x:c r="BQ66" s="174"/>
      <x:c r="BR66" s="174"/>
      <x:c r="BS66" s="174"/>
      <x:c r="BT66" s="174"/>
      <x:c r="BU66" s="174"/>
      <x:c r="BV66" s="174"/>
      <x:c r="BW66" s="174"/>
      <x:c r="BX66" s="174"/>
      <x:c r="BY66" s="174"/>
      <x:c r="BZ66" s="174"/>
      <x:c r="CA66" s="174"/>
      <x:c r="CB66" s="174"/>
      <x:c r="CC66" s="174"/>
      <x:c r="CD66" s="174"/>
      <x:c r="CE66" s="174"/>
      <x:c r="CF66" s="174"/>
      <x:c r="CG66" s="174"/>
      <x:c r="CH66" s="174"/>
      <x:c r="CI66" s="179"/>
      <x:c r="CJ66" s="174"/>
      <x:c r="CK66" s="174"/>
      <x:c r="CL66" s="174"/>
      <x:c r="CM66" s="174"/>
      <x:c r="CN66" s="174"/>
      <x:c r="CO66" s="177"/>
      <x:c r="CP66" s="174"/>
      <x:c r="CQ66" s="174"/>
      <x:c r="CR66" s="174"/>
      <x:c r="CS66" s="174"/>
      <x:c r="CT66" s="174"/>
      <x:c r="CU66" s="176"/>
      <x:c r="CV66" s="176"/>
      <x:c r="CW66" s="176"/>
      <x:c r="CX66" s="176"/>
      <x:c r="CY66" s="176"/>
      <x:c r="CZ66" s="176"/>
      <x:c r="DA66" s="176"/>
      <x:c r="DB66" s="175" t="str">
        <x:f>IF(L66="","",IF(COUNT(CU66:DA66)&lt;7,"",SUM(CU66:DA66)))</x:f>
      </x:c>
      <x:c r="DC66" s="180" t="str">
        <x:f>IF(DB66="","",ROUND(DB66/14*10,1))</x:f>
      </x:c>
      <x:c r="DD66" s="174"/>
      <x:c r="DE66" s="175" t="str">
        <x:f>IF(L66="","",IF(DC66="","Pending",IF(DD66="Yes","CONDITIONAL — safety override",IF(DC66&gt;=8,"HIGH",IF(DC66&gt;=5,"CONDITIONAL","LOW")))))</x:f>
      </x:c>
      <x:c r="DF66" s="174"/>
      <x:c r="DG66" s="174"/>
      <x:c r="DH66" s="174"/>
      <x:c r="DI66" s="174"/>
      <x:c r="DJ66" s="174"/>
      <x:c r="DK66" s="174"/>
      <x:c r="DL66" s="174"/>
      <x:c r="DM66" s="174"/>
      <x:c r="DN66" s="174"/>
      <x:c r="DO66" s="174"/>
      <x:c r="DP66" s="174"/>
      <x:c r="DQ66" s="174"/>
      <x:c r="DR66" s="174"/>
      <x:c r="DS66" s="174"/>
      <x:c r="DT66" s="174"/>
      <x:c r="DU66" s="174"/>
      <x:c r="DV66" s="174"/>
      <x:c r="DW66" s="174"/>
      <x:c r="DX66" s="174"/>
      <x:c r="DY66" s="174"/>
      <x:c r="DZ66" s="174"/>
      <x:c r="EA66" s="174"/>
      <x:c r="EB66" s="175" t="str">
        <x:f>IF(L66="","",IF(AND(F66="Claim-ready",CJ66="Yes",CL66="Yes",DZ66&lt;&gt;""),"Yes","No / Pending"))</x:f>
      </x:c>
      <x:c r="EC66" s="174"/>
      <x:c r="ED66" s="174"/>
      <x:c r="EE66" s="174"/>
      <x:c r="EF66" s="174"/>
      <x:c r="EG66" s="174"/>
      <x:c r="EH66" s="177"/>
      <x:c r="EI66" s="174"/>
      <x:c r="EJ66" s="174"/>
      <x:c r="EK66" s="174"/>
      <x:c r="EL66" s="177"/>
      <x:c r="EM66" s="174"/>
      <x:c r="EN66" s="181" t="str">
        <x:f>IF(L66="","",(IF(N66&lt;&gt;"",1,0)+IF(O66&lt;&gt;"",1,0)+IF(AJ66&lt;&gt;"",1,0)+IF(AU66&lt;&gt;"",1,0)+IF(BE66&lt;&gt;"",1,0)+IF(CF66&lt;&gt;"",1,0)+IF(CJ66="Yes",1,0)+IF(CL66="Yes",1,0)+IF(DE66&lt;&gt;"Pending",1,0)+IF(F66&lt;&gt;"",1,0)+IF(DZ66&lt;&gt;"",1,0)+IF(EI66&lt;&gt;"",1,0))/12)</x:f>
      </x:c>
    </x:row>
    <x:row r="67">
      <x:c r="A67" s="175" t="str">
        <x:f>IF(L67="","","EV-"&amp;TEXT(ROW()-3,"0000"))</x:f>
      </x:c>
      <x:c r="B67" s="174"/>
      <x:c r="C67" s="175" t="str">
        <x:f>IF(L67="","",IF(OR(CM67="Retracted",CN67="Retracted",F67="Not used"),"🔴 Do not use for conclusion",IF(OR(R67="Official / Institutional",I67="Official / contextual"),"🔵 Official / contextual",IF(OR(I67="Definition",I67="Framework",I67="Paradigm shift"),"🟣 Conceptual key source",IF(AND(CJ67="Yes",CL67="Yes",OR(CG67="High",CG67="Moderate"),CH67&lt;&gt;"High",CH67&lt;&gt;"Critical",F67="Claim-ready"),"🟢 Claim-ready","🟡 Caution / context")))))</x:f>
      </x:c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6"/>
      <x:c r="P67" s="174"/>
      <x:c r="Q67" s="174"/>
      <x:c r="R67" s="174"/>
      <x:c r="S67" s="174"/>
      <x:c r="T67" s="174"/>
      <x:c r="U67" s="174"/>
      <x:c r="V67" s="174"/>
      <x:c r="W67" s="175" t="str">
        <x:f>IF(V67="","",LOWER(SUBSTITUTE(SUBSTITUTE(SUBSTITUTE(SUBSTITUTE(TRIM(V67),"https://doi.org/",""),"http://doi.org/",""),"https://dx.doi.org/",""),"doi:","")))</x:f>
      </x:c>
      <x:c r="X67" s="174"/>
      <x:c r="Y67" s="174"/>
      <x:c r="Z67" s="174"/>
      <x:c r="AA67" s="174"/>
      <x:c r="AB67" s="174"/>
      <x:c r="AC67" s="174"/>
      <x:c r="AD67" s="177"/>
      <x:c r="AE67" s="177"/>
      <x:c r="AF67" s="174"/>
      <x:c r="AG67" s="174"/>
      <x:c r="AH67" s="174"/>
      <x:c r="AI67" s="174"/>
      <x:c r="AJ67" s="174"/>
      <x:c r="AK67" s="175" t="str">
        <x:f>IF(AJ67="","",IF(OR(LOWER(AJ67)="brazil",LOWER(AJ67)="brasil"),"Yes","No"))</x:f>
      </x:c>
      <x:c r="AL67" s="174"/>
      <x:c r="AM67" s="174"/>
      <x:c r="AN67" s="174"/>
      <x:c r="AO67" s="178"/>
      <x:c r="AP67" s="174"/>
      <x:c r="AQ67" s="174"/>
      <x:c r="AR67" s="174"/>
      <x:c r="AS67" s="174"/>
      <x:c r="AT67" s="174"/>
      <x:c r="AU67" s="174"/>
      <x:c r="AV67" s="174"/>
      <x:c r="AW67" s="174"/>
      <x:c r="AX67" s="174"/>
      <x:c r="AY67" s="174"/>
      <x:c r="AZ67" s="174"/>
      <x:c r="BA67" s="174"/>
      <x:c r="BB67" s="174"/>
      <x:c r="BC67" s="174"/>
      <x:c r="BD67" s="174"/>
      <x:c r="BE67" s="174"/>
      <x:c r="BF67" s="174"/>
      <x:c r="BG67" s="174"/>
      <x:c r="BH67" s="174"/>
      <x:c r="BI67" s="174"/>
      <x:c r="BJ67" s="174"/>
      <x:c r="BK67" s="174"/>
      <x:c r="BL67" s="174"/>
      <x:c r="BM67" s="174"/>
      <x:c r="BN67" s="174"/>
      <x:c r="BO67" s="174"/>
      <x:c r="BP67" s="174"/>
      <x:c r="BQ67" s="174"/>
      <x:c r="BR67" s="174"/>
      <x:c r="BS67" s="174"/>
      <x:c r="BT67" s="174"/>
      <x:c r="BU67" s="174"/>
      <x:c r="BV67" s="174"/>
      <x:c r="BW67" s="174"/>
      <x:c r="BX67" s="174"/>
      <x:c r="BY67" s="174"/>
      <x:c r="BZ67" s="174"/>
      <x:c r="CA67" s="174"/>
      <x:c r="CB67" s="174"/>
      <x:c r="CC67" s="174"/>
      <x:c r="CD67" s="174"/>
      <x:c r="CE67" s="174"/>
      <x:c r="CF67" s="174"/>
      <x:c r="CG67" s="174"/>
      <x:c r="CH67" s="174"/>
      <x:c r="CI67" s="179"/>
      <x:c r="CJ67" s="174"/>
      <x:c r="CK67" s="174"/>
      <x:c r="CL67" s="174"/>
      <x:c r="CM67" s="174"/>
      <x:c r="CN67" s="174"/>
      <x:c r="CO67" s="177"/>
      <x:c r="CP67" s="174"/>
      <x:c r="CQ67" s="174"/>
      <x:c r="CR67" s="174"/>
      <x:c r="CS67" s="174"/>
      <x:c r="CT67" s="174"/>
      <x:c r="CU67" s="176"/>
      <x:c r="CV67" s="176"/>
      <x:c r="CW67" s="176"/>
      <x:c r="CX67" s="176"/>
      <x:c r="CY67" s="176"/>
      <x:c r="CZ67" s="176"/>
      <x:c r="DA67" s="176"/>
      <x:c r="DB67" s="175" t="str">
        <x:f>IF(L67="","",IF(COUNT(CU67:DA67)&lt;7,"",SUM(CU67:DA67)))</x:f>
      </x:c>
      <x:c r="DC67" s="180" t="str">
        <x:f>IF(DB67="","",ROUND(DB67/14*10,1))</x:f>
      </x:c>
      <x:c r="DD67" s="174"/>
      <x:c r="DE67" s="175" t="str">
        <x:f>IF(L67="","",IF(DC67="","Pending",IF(DD67="Yes","CONDITIONAL — safety override",IF(DC67&gt;=8,"HIGH",IF(DC67&gt;=5,"CONDITIONAL","LOW")))))</x:f>
      </x:c>
      <x:c r="DF67" s="174"/>
      <x:c r="DG67" s="174"/>
      <x:c r="DH67" s="174"/>
      <x:c r="DI67" s="174"/>
      <x:c r="DJ67" s="174"/>
      <x:c r="DK67" s="174"/>
      <x:c r="DL67" s="174"/>
      <x:c r="DM67" s="174"/>
      <x:c r="DN67" s="174"/>
      <x:c r="DO67" s="174"/>
      <x:c r="DP67" s="174"/>
      <x:c r="DQ67" s="174"/>
      <x:c r="DR67" s="174"/>
      <x:c r="DS67" s="174"/>
      <x:c r="DT67" s="174"/>
      <x:c r="DU67" s="174"/>
      <x:c r="DV67" s="174"/>
      <x:c r="DW67" s="174"/>
      <x:c r="DX67" s="174"/>
      <x:c r="DY67" s="174"/>
      <x:c r="DZ67" s="174"/>
      <x:c r="EA67" s="174"/>
      <x:c r="EB67" s="175" t="str">
        <x:f>IF(L67="","",IF(AND(F67="Claim-ready",CJ67="Yes",CL67="Yes",DZ67&lt;&gt;""),"Yes","No / Pending"))</x:f>
      </x:c>
      <x:c r="EC67" s="174"/>
      <x:c r="ED67" s="174"/>
      <x:c r="EE67" s="174"/>
      <x:c r="EF67" s="174"/>
      <x:c r="EG67" s="174"/>
      <x:c r="EH67" s="177"/>
      <x:c r="EI67" s="174"/>
      <x:c r="EJ67" s="174"/>
      <x:c r="EK67" s="174"/>
      <x:c r="EL67" s="177"/>
      <x:c r="EM67" s="174"/>
      <x:c r="EN67" s="181" t="str">
        <x:f>IF(L67="","",(IF(N67&lt;&gt;"",1,0)+IF(O67&lt;&gt;"",1,0)+IF(AJ67&lt;&gt;"",1,0)+IF(AU67&lt;&gt;"",1,0)+IF(BE67&lt;&gt;"",1,0)+IF(CF67&lt;&gt;"",1,0)+IF(CJ67="Yes",1,0)+IF(CL67="Yes",1,0)+IF(DE67&lt;&gt;"Pending",1,0)+IF(F67&lt;&gt;"",1,0)+IF(DZ67&lt;&gt;"",1,0)+IF(EI67&lt;&gt;"",1,0))/12)</x:f>
      </x:c>
    </x:row>
    <x:row r="68">
      <x:c r="A68" s="175" t="str">
        <x:f>IF(L68="","","EV-"&amp;TEXT(ROW()-3,"0000"))</x:f>
      </x:c>
      <x:c r="B68" s="174"/>
      <x:c r="C68" s="175" t="str">
        <x:f>IF(L68="","",IF(OR(CM68="Retracted",CN68="Retracted",F68="Not used"),"🔴 Do not use for conclusion",IF(OR(R68="Official / Institutional",I68="Official / contextual"),"🔵 Official / contextual",IF(OR(I68="Definition",I68="Framework",I68="Paradigm shift"),"🟣 Conceptual key source",IF(AND(CJ68="Yes",CL68="Yes",OR(CG68="High",CG68="Moderate"),CH68&lt;&gt;"High",CH68&lt;&gt;"Critical",F68="Claim-ready"),"🟢 Claim-ready","🟡 Caution / context")))))</x:f>
      </x:c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6"/>
      <x:c r="P68" s="174"/>
      <x:c r="Q68" s="174"/>
      <x:c r="R68" s="174"/>
      <x:c r="S68" s="174"/>
      <x:c r="T68" s="174"/>
      <x:c r="U68" s="174"/>
      <x:c r="V68" s="174"/>
      <x:c r="W68" s="175" t="str">
        <x:f>IF(V68="","",LOWER(SUBSTITUTE(SUBSTITUTE(SUBSTITUTE(SUBSTITUTE(TRIM(V68),"https://doi.org/",""),"http://doi.org/",""),"https://dx.doi.org/",""),"doi:","")))</x:f>
      </x:c>
      <x:c r="X68" s="174"/>
      <x:c r="Y68" s="174"/>
      <x:c r="Z68" s="174"/>
      <x:c r="AA68" s="174"/>
      <x:c r="AB68" s="174"/>
      <x:c r="AC68" s="174"/>
      <x:c r="AD68" s="177"/>
      <x:c r="AE68" s="177"/>
      <x:c r="AF68" s="174"/>
      <x:c r="AG68" s="174"/>
      <x:c r="AH68" s="174"/>
      <x:c r="AI68" s="174"/>
      <x:c r="AJ68" s="174"/>
      <x:c r="AK68" s="175" t="str">
        <x:f>IF(AJ68="","",IF(OR(LOWER(AJ68)="brazil",LOWER(AJ68)="brasil"),"Yes","No"))</x:f>
      </x:c>
      <x:c r="AL68" s="174"/>
      <x:c r="AM68" s="174"/>
      <x:c r="AN68" s="174"/>
      <x:c r="AO68" s="178"/>
      <x:c r="AP68" s="174"/>
      <x:c r="AQ68" s="174"/>
      <x:c r="AR68" s="174"/>
      <x:c r="AS68" s="174"/>
      <x:c r="AT68" s="174"/>
      <x:c r="AU68" s="174"/>
      <x:c r="AV68" s="174"/>
      <x:c r="AW68" s="174"/>
      <x:c r="AX68" s="174"/>
      <x:c r="AY68" s="174"/>
      <x:c r="AZ68" s="174"/>
      <x:c r="BA68" s="174"/>
      <x:c r="BB68" s="174"/>
      <x:c r="BC68" s="174"/>
      <x:c r="BD68" s="174"/>
      <x:c r="BE68" s="174"/>
      <x:c r="BF68" s="174"/>
      <x:c r="BG68" s="174"/>
      <x:c r="BH68" s="174"/>
      <x:c r="BI68" s="174"/>
      <x:c r="BJ68" s="174"/>
      <x:c r="BK68" s="174"/>
      <x:c r="BL68" s="174"/>
      <x:c r="BM68" s="174"/>
      <x:c r="BN68" s="174"/>
      <x:c r="BO68" s="174"/>
      <x:c r="BP68" s="174"/>
      <x:c r="BQ68" s="174"/>
      <x:c r="BR68" s="174"/>
      <x:c r="BS68" s="174"/>
      <x:c r="BT68" s="174"/>
      <x:c r="BU68" s="174"/>
      <x:c r="BV68" s="174"/>
      <x:c r="BW68" s="174"/>
      <x:c r="BX68" s="174"/>
      <x:c r="BY68" s="174"/>
      <x:c r="BZ68" s="174"/>
      <x:c r="CA68" s="174"/>
      <x:c r="CB68" s="174"/>
      <x:c r="CC68" s="174"/>
      <x:c r="CD68" s="174"/>
      <x:c r="CE68" s="174"/>
      <x:c r="CF68" s="174"/>
      <x:c r="CG68" s="174"/>
      <x:c r="CH68" s="174"/>
      <x:c r="CI68" s="179"/>
      <x:c r="CJ68" s="174"/>
      <x:c r="CK68" s="174"/>
      <x:c r="CL68" s="174"/>
      <x:c r="CM68" s="174"/>
      <x:c r="CN68" s="174"/>
      <x:c r="CO68" s="177"/>
      <x:c r="CP68" s="174"/>
      <x:c r="CQ68" s="174"/>
      <x:c r="CR68" s="174"/>
      <x:c r="CS68" s="174"/>
      <x:c r="CT68" s="174"/>
      <x:c r="CU68" s="176"/>
      <x:c r="CV68" s="176"/>
      <x:c r="CW68" s="176"/>
      <x:c r="CX68" s="176"/>
      <x:c r="CY68" s="176"/>
      <x:c r="CZ68" s="176"/>
      <x:c r="DA68" s="176"/>
      <x:c r="DB68" s="175" t="str">
        <x:f>IF(L68="","",IF(COUNT(CU68:DA68)&lt;7,"",SUM(CU68:DA68)))</x:f>
      </x:c>
      <x:c r="DC68" s="180" t="str">
        <x:f>IF(DB68="","",ROUND(DB68/14*10,1))</x:f>
      </x:c>
      <x:c r="DD68" s="174"/>
      <x:c r="DE68" s="175" t="str">
        <x:f>IF(L68="","",IF(DC68="","Pending",IF(DD68="Yes","CONDITIONAL — safety override",IF(DC68&gt;=8,"HIGH",IF(DC68&gt;=5,"CONDITIONAL","LOW")))))</x:f>
      </x:c>
      <x:c r="DF68" s="174"/>
      <x:c r="DG68" s="174"/>
      <x:c r="DH68" s="174"/>
      <x:c r="DI68" s="174"/>
      <x:c r="DJ68" s="174"/>
      <x:c r="DK68" s="174"/>
      <x:c r="DL68" s="174"/>
      <x:c r="DM68" s="174"/>
      <x:c r="DN68" s="174"/>
      <x:c r="DO68" s="174"/>
      <x:c r="DP68" s="174"/>
      <x:c r="DQ68" s="174"/>
      <x:c r="DR68" s="174"/>
      <x:c r="DS68" s="174"/>
      <x:c r="DT68" s="174"/>
      <x:c r="DU68" s="174"/>
      <x:c r="DV68" s="174"/>
      <x:c r="DW68" s="174"/>
      <x:c r="DX68" s="174"/>
      <x:c r="DY68" s="174"/>
      <x:c r="DZ68" s="174"/>
      <x:c r="EA68" s="174"/>
      <x:c r="EB68" s="175" t="str">
        <x:f>IF(L68="","",IF(AND(F68="Claim-ready",CJ68="Yes",CL68="Yes",DZ68&lt;&gt;""),"Yes","No / Pending"))</x:f>
      </x:c>
      <x:c r="EC68" s="174"/>
      <x:c r="ED68" s="174"/>
      <x:c r="EE68" s="174"/>
      <x:c r="EF68" s="174"/>
      <x:c r="EG68" s="174"/>
      <x:c r="EH68" s="177"/>
      <x:c r="EI68" s="174"/>
      <x:c r="EJ68" s="174"/>
      <x:c r="EK68" s="174"/>
      <x:c r="EL68" s="177"/>
      <x:c r="EM68" s="174"/>
      <x:c r="EN68" s="181" t="str">
        <x:f>IF(L68="","",(IF(N68&lt;&gt;"",1,0)+IF(O68&lt;&gt;"",1,0)+IF(AJ68&lt;&gt;"",1,0)+IF(AU68&lt;&gt;"",1,0)+IF(BE68&lt;&gt;"",1,0)+IF(CF68&lt;&gt;"",1,0)+IF(CJ68="Yes",1,0)+IF(CL68="Yes",1,0)+IF(DE68&lt;&gt;"Pending",1,0)+IF(F68&lt;&gt;"",1,0)+IF(DZ68&lt;&gt;"",1,0)+IF(EI68&lt;&gt;"",1,0))/12)</x:f>
      </x:c>
    </x:row>
    <x:row r="69">
      <x:c r="A69" s="175" t="str">
        <x:f>IF(L69="","","EV-"&amp;TEXT(ROW()-3,"0000"))</x:f>
      </x:c>
      <x:c r="B69" s="174"/>
      <x:c r="C69" s="175" t="str">
        <x:f>IF(L69="","",IF(OR(CM69="Retracted",CN69="Retracted",F69="Not used"),"🔴 Do not use for conclusion",IF(OR(R69="Official / Institutional",I69="Official / contextual"),"🔵 Official / contextual",IF(OR(I69="Definition",I69="Framework",I69="Paradigm shift"),"🟣 Conceptual key source",IF(AND(CJ69="Yes",CL69="Yes",OR(CG69="High",CG69="Moderate"),CH69&lt;&gt;"High",CH69&lt;&gt;"Critical",F69="Claim-ready"),"🟢 Claim-ready","🟡 Caution / context")))))</x:f>
      </x:c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6"/>
      <x:c r="P69" s="174"/>
      <x:c r="Q69" s="174"/>
      <x:c r="R69" s="174"/>
      <x:c r="S69" s="174"/>
      <x:c r="T69" s="174"/>
      <x:c r="U69" s="174"/>
      <x:c r="V69" s="174"/>
      <x:c r="W69" s="175" t="str">
        <x:f>IF(V69="","",LOWER(SUBSTITUTE(SUBSTITUTE(SUBSTITUTE(SUBSTITUTE(TRIM(V69),"https://doi.org/",""),"http://doi.org/",""),"https://dx.doi.org/",""),"doi:","")))</x:f>
      </x:c>
      <x:c r="X69" s="174"/>
      <x:c r="Y69" s="174"/>
      <x:c r="Z69" s="174"/>
      <x:c r="AA69" s="174"/>
      <x:c r="AB69" s="174"/>
      <x:c r="AC69" s="174"/>
      <x:c r="AD69" s="177"/>
      <x:c r="AE69" s="177"/>
      <x:c r="AF69" s="174"/>
      <x:c r="AG69" s="174"/>
      <x:c r="AH69" s="174"/>
      <x:c r="AI69" s="174"/>
      <x:c r="AJ69" s="174"/>
      <x:c r="AK69" s="175" t="str">
        <x:f>IF(AJ69="","",IF(OR(LOWER(AJ69)="brazil",LOWER(AJ69)="brasil"),"Yes","No"))</x:f>
      </x:c>
      <x:c r="AL69" s="174"/>
      <x:c r="AM69" s="174"/>
      <x:c r="AN69" s="174"/>
      <x:c r="AO69" s="178"/>
      <x:c r="AP69" s="174"/>
      <x:c r="AQ69" s="174"/>
      <x:c r="AR69" s="174"/>
      <x:c r="AS69" s="174"/>
      <x:c r="AT69" s="174"/>
      <x:c r="AU69" s="174"/>
      <x:c r="AV69" s="174"/>
      <x:c r="AW69" s="174"/>
      <x:c r="AX69" s="174"/>
      <x:c r="AY69" s="174"/>
      <x:c r="AZ69" s="174"/>
      <x:c r="BA69" s="174"/>
      <x:c r="BB69" s="174"/>
      <x:c r="BC69" s="174"/>
      <x:c r="BD69" s="174"/>
      <x:c r="BE69" s="174"/>
      <x:c r="BF69" s="174"/>
      <x:c r="BG69" s="174"/>
      <x:c r="BH69" s="174"/>
      <x:c r="BI69" s="174"/>
      <x:c r="BJ69" s="174"/>
      <x:c r="BK69" s="174"/>
      <x:c r="BL69" s="174"/>
      <x:c r="BM69" s="174"/>
      <x:c r="BN69" s="174"/>
      <x:c r="BO69" s="174"/>
      <x:c r="BP69" s="174"/>
      <x:c r="BQ69" s="174"/>
      <x:c r="BR69" s="174"/>
      <x:c r="BS69" s="174"/>
      <x:c r="BT69" s="174"/>
      <x:c r="BU69" s="174"/>
      <x:c r="BV69" s="174"/>
      <x:c r="BW69" s="174"/>
      <x:c r="BX69" s="174"/>
      <x:c r="BY69" s="174"/>
      <x:c r="BZ69" s="174"/>
      <x:c r="CA69" s="174"/>
      <x:c r="CB69" s="174"/>
      <x:c r="CC69" s="174"/>
      <x:c r="CD69" s="174"/>
      <x:c r="CE69" s="174"/>
      <x:c r="CF69" s="174"/>
      <x:c r="CG69" s="174"/>
      <x:c r="CH69" s="174"/>
      <x:c r="CI69" s="179"/>
      <x:c r="CJ69" s="174"/>
      <x:c r="CK69" s="174"/>
      <x:c r="CL69" s="174"/>
      <x:c r="CM69" s="174"/>
      <x:c r="CN69" s="174"/>
      <x:c r="CO69" s="177"/>
      <x:c r="CP69" s="174"/>
      <x:c r="CQ69" s="174"/>
      <x:c r="CR69" s="174"/>
      <x:c r="CS69" s="174"/>
      <x:c r="CT69" s="174"/>
      <x:c r="CU69" s="176"/>
      <x:c r="CV69" s="176"/>
      <x:c r="CW69" s="176"/>
      <x:c r="CX69" s="176"/>
      <x:c r="CY69" s="176"/>
      <x:c r="CZ69" s="176"/>
      <x:c r="DA69" s="176"/>
      <x:c r="DB69" s="175" t="str">
        <x:f>IF(L69="","",IF(COUNT(CU69:DA69)&lt;7,"",SUM(CU69:DA69)))</x:f>
      </x:c>
      <x:c r="DC69" s="180" t="str">
        <x:f>IF(DB69="","",ROUND(DB69/14*10,1))</x:f>
      </x:c>
      <x:c r="DD69" s="174"/>
      <x:c r="DE69" s="175" t="str">
        <x:f>IF(L69="","",IF(DC69="","Pending",IF(DD69="Yes","CONDITIONAL — safety override",IF(DC69&gt;=8,"HIGH",IF(DC69&gt;=5,"CONDITIONAL","LOW")))))</x:f>
      </x:c>
      <x:c r="DF69" s="174"/>
      <x:c r="DG69" s="174"/>
      <x:c r="DH69" s="174"/>
      <x:c r="DI69" s="174"/>
      <x:c r="DJ69" s="174"/>
      <x:c r="DK69" s="174"/>
      <x:c r="DL69" s="174"/>
      <x:c r="DM69" s="174"/>
      <x:c r="DN69" s="174"/>
      <x:c r="DO69" s="174"/>
      <x:c r="DP69" s="174"/>
      <x:c r="DQ69" s="174"/>
      <x:c r="DR69" s="174"/>
      <x:c r="DS69" s="174"/>
      <x:c r="DT69" s="174"/>
      <x:c r="DU69" s="174"/>
      <x:c r="DV69" s="174"/>
      <x:c r="DW69" s="174"/>
      <x:c r="DX69" s="174"/>
      <x:c r="DY69" s="174"/>
      <x:c r="DZ69" s="174"/>
      <x:c r="EA69" s="174"/>
      <x:c r="EB69" s="175" t="str">
        <x:f>IF(L69="","",IF(AND(F69="Claim-ready",CJ69="Yes",CL69="Yes",DZ69&lt;&gt;""),"Yes","No / Pending"))</x:f>
      </x:c>
      <x:c r="EC69" s="174"/>
      <x:c r="ED69" s="174"/>
      <x:c r="EE69" s="174"/>
      <x:c r="EF69" s="174"/>
      <x:c r="EG69" s="174"/>
      <x:c r="EH69" s="177"/>
      <x:c r="EI69" s="174"/>
      <x:c r="EJ69" s="174"/>
      <x:c r="EK69" s="174"/>
      <x:c r="EL69" s="177"/>
      <x:c r="EM69" s="174"/>
      <x:c r="EN69" s="181" t="str">
        <x:f>IF(L69="","",(IF(N69&lt;&gt;"",1,0)+IF(O69&lt;&gt;"",1,0)+IF(AJ69&lt;&gt;"",1,0)+IF(AU69&lt;&gt;"",1,0)+IF(BE69&lt;&gt;"",1,0)+IF(CF69&lt;&gt;"",1,0)+IF(CJ69="Yes",1,0)+IF(CL69="Yes",1,0)+IF(DE69&lt;&gt;"Pending",1,0)+IF(F69&lt;&gt;"",1,0)+IF(DZ69&lt;&gt;"",1,0)+IF(EI69&lt;&gt;"",1,0))/12)</x:f>
      </x:c>
    </x:row>
    <x:row r="70">
      <x:c r="A70" s="175" t="str">
        <x:f>IF(L70="","","EV-"&amp;TEXT(ROW()-3,"0000"))</x:f>
      </x:c>
      <x:c r="B70" s="174"/>
      <x:c r="C70" s="175" t="str">
        <x:f>IF(L70="","",IF(OR(CM70="Retracted",CN70="Retracted",F70="Not used"),"🔴 Do not use for conclusion",IF(OR(R70="Official / Institutional",I70="Official / contextual"),"🔵 Official / contextual",IF(OR(I70="Definition",I70="Framework",I70="Paradigm shift"),"🟣 Conceptual key source",IF(AND(CJ70="Yes",CL70="Yes",OR(CG70="High",CG70="Moderate"),CH70&lt;&gt;"High",CH70&lt;&gt;"Critical",F70="Claim-ready"),"🟢 Claim-ready","🟡 Caution / context")))))</x:f>
      </x:c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6"/>
      <x:c r="P70" s="174"/>
      <x:c r="Q70" s="174"/>
      <x:c r="R70" s="174"/>
      <x:c r="S70" s="174"/>
      <x:c r="T70" s="174"/>
      <x:c r="U70" s="174"/>
      <x:c r="V70" s="174"/>
      <x:c r="W70" s="175" t="str">
        <x:f>IF(V70="","",LOWER(SUBSTITUTE(SUBSTITUTE(SUBSTITUTE(SUBSTITUTE(TRIM(V70),"https://doi.org/",""),"http://doi.org/",""),"https://dx.doi.org/",""),"doi:","")))</x:f>
      </x:c>
      <x:c r="X70" s="174"/>
      <x:c r="Y70" s="174"/>
      <x:c r="Z70" s="174"/>
      <x:c r="AA70" s="174"/>
      <x:c r="AB70" s="174"/>
      <x:c r="AC70" s="174"/>
      <x:c r="AD70" s="177"/>
      <x:c r="AE70" s="177"/>
      <x:c r="AF70" s="174"/>
      <x:c r="AG70" s="174"/>
      <x:c r="AH70" s="174"/>
      <x:c r="AI70" s="174"/>
      <x:c r="AJ70" s="174"/>
      <x:c r="AK70" s="175" t="str">
        <x:f>IF(AJ70="","",IF(OR(LOWER(AJ70)="brazil",LOWER(AJ70)="brasil"),"Yes","No"))</x:f>
      </x:c>
      <x:c r="AL70" s="174"/>
      <x:c r="AM70" s="174"/>
      <x:c r="AN70" s="174"/>
      <x:c r="AO70" s="178"/>
      <x:c r="AP70" s="174"/>
      <x:c r="AQ70" s="174"/>
      <x:c r="AR70" s="174"/>
      <x:c r="AS70" s="174"/>
      <x:c r="AT70" s="174"/>
      <x:c r="AU70" s="174"/>
      <x:c r="AV70" s="174"/>
      <x:c r="AW70" s="174"/>
      <x:c r="AX70" s="174"/>
      <x:c r="AY70" s="174"/>
      <x:c r="AZ70" s="174"/>
      <x:c r="BA70" s="174"/>
      <x:c r="BB70" s="174"/>
      <x:c r="BC70" s="174"/>
      <x:c r="BD70" s="174"/>
      <x:c r="BE70" s="174"/>
      <x:c r="BF70" s="174"/>
      <x:c r="BG70" s="174"/>
      <x:c r="BH70" s="174"/>
      <x:c r="BI70" s="174"/>
      <x:c r="BJ70" s="174"/>
      <x:c r="BK70" s="174"/>
      <x:c r="BL70" s="174"/>
      <x:c r="BM70" s="174"/>
      <x:c r="BN70" s="174"/>
      <x:c r="BO70" s="174"/>
      <x:c r="BP70" s="174"/>
      <x:c r="BQ70" s="174"/>
      <x:c r="BR70" s="174"/>
      <x:c r="BS70" s="174"/>
      <x:c r="BT70" s="174"/>
      <x:c r="BU70" s="174"/>
      <x:c r="BV70" s="174"/>
      <x:c r="BW70" s="174"/>
      <x:c r="BX70" s="174"/>
      <x:c r="BY70" s="174"/>
      <x:c r="BZ70" s="174"/>
      <x:c r="CA70" s="174"/>
      <x:c r="CB70" s="174"/>
      <x:c r="CC70" s="174"/>
      <x:c r="CD70" s="174"/>
      <x:c r="CE70" s="174"/>
      <x:c r="CF70" s="174"/>
      <x:c r="CG70" s="174"/>
      <x:c r="CH70" s="174"/>
      <x:c r="CI70" s="179"/>
      <x:c r="CJ70" s="174"/>
      <x:c r="CK70" s="174"/>
      <x:c r="CL70" s="174"/>
      <x:c r="CM70" s="174"/>
      <x:c r="CN70" s="174"/>
      <x:c r="CO70" s="177"/>
      <x:c r="CP70" s="174"/>
      <x:c r="CQ70" s="174"/>
      <x:c r="CR70" s="174"/>
      <x:c r="CS70" s="174"/>
      <x:c r="CT70" s="174"/>
      <x:c r="CU70" s="176"/>
      <x:c r="CV70" s="176"/>
      <x:c r="CW70" s="176"/>
      <x:c r="CX70" s="176"/>
      <x:c r="CY70" s="176"/>
      <x:c r="CZ70" s="176"/>
      <x:c r="DA70" s="176"/>
      <x:c r="DB70" s="175" t="str">
        <x:f>IF(L70="","",IF(COUNT(CU70:DA70)&lt;7,"",SUM(CU70:DA70)))</x:f>
      </x:c>
      <x:c r="DC70" s="180" t="str">
        <x:f>IF(DB70="","",ROUND(DB70/14*10,1))</x:f>
      </x:c>
      <x:c r="DD70" s="174"/>
      <x:c r="DE70" s="175" t="str">
        <x:f>IF(L70="","",IF(DC70="","Pending",IF(DD70="Yes","CONDITIONAL — safety override",IF(DC70&gt;=8,"HIGH",IF(DC70&gt;=5,"CONDITIONAL","LOW")))))</x:f>
      </x:c>
      <x:c r="DF70" s="174"/>
      <x:c r="DG70" s="174"/>
      <x:c r="DH70" s="174"/>
      <x:c r="DI70" s="174"/>
      <x:c r="DJ70" s="174"/>
      <x:c r="DK70" s="174"/>
      <x:c r="DL70" s="174"/>
      <x:c r="DM70" s="174"/>
      <x:c r="DN70" s="174"/>
      <x:c r="DO70" s="174"/>
      <x:c r="DP70" s="174"/>
      <x:c r="DQ70" s="174"/>
      <x:c r="DR70" s="174"/>
      <x:c r="DS70" s="174"/>
      <x:c r="DT70" s="174"/>
      <x:c r="DU70" s="174"/>
      <x:c r="DV70" s="174"/>
      <x:c r="DW70" s="174"/>
      <x:c r="DX70" s="174"/>
      <x:c r="DY70" s="174"/>
      <x:c r="DZ70" s="174"/>
      <x:c r="EA70" s="174"/>
      <x:c r="EB70" s="175" t="str">
        <x:f>IF(L70="","",IF(AND(F70="Claim-ready",CJ70="Yes",CL70="Yes",DZ70&lt;&gt;""),"Yes","No / Pending"))</x:f>
      </x:c>
      <x:c r="EC70" s="174"/>
      <x:c r="ED70" s="174"/>
      <x:c r="EE70" s="174"/>
      <x:c r="EF70" s="174"/>
      <x:c r="EG70" s="174"/>
      <x:c r="EH70" s="177"/>
      <x:c r="EI70" s="174"/>
      <x:c r="EJ70" s="174"/>
      <x:c r="EK70" s="174"/>
      <x:c r="EL70" s="177"/>
      <x:c r="EM70" s="174"/>
      <x:c r="EN70" s="181" t="str">
        <x:f>IF(L70="","",(IF(N70&lt;&gt;"",1,0)+IF(O70&lt;&gt;"",1,0)+IF(AJ70&lt;&gt;"",1,0)+IF(AU70&lt;&gt;"",1,0)+IF(BE70&lt;&gt;"",1,0)+IF(CF70&lt;&gt;"",1,0)+IF(CJ70="Yes",1,0)+IF(CL70="Yes",1,0)+IF(DE70&lt;&gt;"Pending",1,0)+IF(F70&lt;&gt;"",1,0)+IF(DZ70&lt;&gt;"",1,0)+IF(EI70&lt;&gt;"",1,0))/12)</x:f>
      </x:c>
    </x:row>
    <x:row r="71">
      <x:c r="A71" s="175" t="str">
        <x:f>IF(L71="","","EV-"&amp;TEXT(ROW()-3,"0000"))</x:f>
      </x:c>
      <x:c r="B71" s="174"/>
      <x:c r="C71" s="175" t="str">
        <x:f>IF(L71="","",IF(OR(CM71="Retracted",CN71="Retracted",F71="Not used"),"🔴 Do not use for conclusion",IF(OR(R71="Official / Institutional",I71="Official / contextual"),"🔵 Official / contextual",IF(OR(I71="Definition",I71="Framework",I71="Paradigm shift"),"🟣 Conceptual key source",IF(AND(CJ71="Yes",CL71="Yes",OR(CG71="High",CG71="Moderate"),CH71&lt;&gt;"High",CH71&lt;&gt;"Critical",F71="Claim-ready"),"🟢 Claim-ready","🟡 Caution / context")))))</x:f>
      </x:c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6"/>
      <x:c r="P71" s="174"/>
      <x:c r="Q71" s="174"/>
      <x:c r="R71" s="174"/>
      <x:c r="S71" s="174"/>
      <x:c r="T71" s="174"/>
      <x:c r="U71" s="174"/>
      <x:c r="V71" s="174"/>
      <x:c r="W71" s="175" t="str">
        <x:f>IF(V71="","",LOWER(SUBSTITUTE(SUBSTITUTE(SUBSTITUTE(SUBSTITUTE(TRIM(V71),"https://doi.org/",""),"http://doi.org/",""),"https://dx.doi.org/",""),"doi:","")))</x:f>
      </x:c>
      <x:c r="X71" s="174"/>
      <x:c r="Y71" s="174"/>
      <x:c r="Z71" s="174"/>
      <x:c r="AA71" s="174"/>
      <x:c r="AB71" s="174"/>
      <x:c r="AC71" s="174"/>
      <x:c r="AD71" s="177"/>
      <x:c r="AE71" s="177"/>
      <x:c r="AF71" s="174"/>
      <x:c r="AG71" s="174"/>
      <x:c r="AH71" s="174"/>
      <x:c r="AI71" s="174"/>
      <x:c r="AJ71" s="174"/>
      <x:c r="AK71" s="175" t="str">
        <x:f>IF(AJ71="","",IF(OR(LOWER(AJ71)="brazil",LOWER(AJ71)="brasil"),"Yes","No"))</x:f>
      </x:c>
      <x:c r="AL71" s="174"/>
      <x:c r="AM71" s="174"/>
      <x:c r="AN71" s="174"/>
      <x:c r="AO71" s="178"/>
      <x:c r="AP71" s="174"/>
      <x:c r="AQ71" s="174"/>
      <x:c r="AR71" s="174"/>
      <x:c r="AS71" s="174"/>
      <x:c r="AT71" s="174"/>
      <x:c r="AU71" s="174"/>
      <x:c r="AV71" s="174"/>
      <x:c r="AW71" s="174"/>
      <x:c r="AX71" s="174"/>
      <x:c r="AY71" s="174"/>
      <x:c r="AZ71" s="174"/>
      <x:c r="BA71" s="174"/>
      <x:c r="BB71" s="174"/>
      <x:c r="BC71" s="174"/>
      <x:c r="BD71" s="174"/>
      <x:c r="BE71" s="174"/>
      <x:c r="BF71" s="174"/>
      <x:c r="BG71" s="174"/>
      <x:c r="BH71" s="174"/>
      <x:c r="BI71" s="174"/>
      <x:c r="BJ71" s="174"/>
      <x:c r="BK71" s="174"/>
      <x:c r="BL71" s="174"/>
      <x:c r="BM71" s="174"/>
      <x:c r="BN71" s="174"/>
      <x:c r="BO71" s="174"/>
      <x:c r="BP71" s="174"/>
      <x:c r="BQ71" s="174"/>
      <x:c r="BR71" s="174"/>
      <x:c r="BS71" s="174"/>
      <x:c r="BT71" s="174"/>
      <x:c r="BU71" s="174"/>
      <x:c r="BV71" s="174"/>
      <x:c r="BW71" s="174"/>
      <x:c r="BX71" s="174"/>
      <x:c r="BY71" s="174"/>
      <x:c r="BZ71" s="174"/>
      <x:c r="CA71" s="174"/>
      <x:c r="CB71" s="174"/>
      <x:c r="CC71" s="174"/>
      <x:c r="CD71" s="174"/>
      <x:c r="CE71" s="174"/>
      <x:c r="CF71" s="174"/>
      <x:c r="CG71" s="174"/>
      <x:c r="CH71" s="174"/>
      <x:c r="CI71" s="179"/>
      <x:c r="CJ71" s="174"/>
      <x:c r="CK71" s="174"/>
      <x:c r="CL71" s="174"/>
      <x:c r="CM71" s="174"/>
      <x:c r="CN71" s="174"/>
      <x:c r="CO71" s="177"/>
      <x:c r="CP71" s="174"/>
      <x:c r="CQ71" s="174"/>
      <x:c r="CR71" s="174"/>
      <x:c r="CS71" s="174"/>
      <x:c r="CT71" s="174"/>
      <x:c r="CU71" s="176"/>
      <x:c r="CV71" s="176"/>
      <x:c r="CW71" s="176"/>
      <x:c r="CX71" s="176"/>
      <x:c r="CY71" s="176"/>
      <x:c r="CZ71" s="176"/>
      <x:c r="DA71" s="176"/>
      <x:c r="DB71" s="175" t="str">
        <x:f>IF(L71="","",IF(COUNT(CU71:DA71)&lt;7,"",SUM(CU71:DA71)))</x:f>
      </x:c>
      <x:c r="DC71" s="180" t="str">
        <x:f>IF(DB71="","",ROUND(DB71/14*10,1))</x:f>
      </x:c>
      <x:c r="DD71" s="174"/>
      <x:c r="DE71" s="175" t="str">
        <x:f>IF(L71="","",IF(DC71="","Pending",IF(DD71="Yes","CONDITIONAL — safety override",IF(DC71&gt;=8,"HIGH",IF(DC71&gt;=5,"CONDITIONAL","LOW")))))</x:f>
      </x:c>
      <x:c r="DF71" s="174"/>
      <x:c r="DG71" s="174"/>
      <x:c r="DH71" s="174"/>
      <x:c r="DI71" s="174"/>
      <x:c r="DJ71" s="174"/>
      <x:c r="DK71" s="174"/>
      <x:c r="DL71" s="174"/>
      <x:c r="DM71" s="174"/>
      <x:c r="DN71" s="174"/>
      <x:c r="DO71" s="174"/>
      <x:c r="DP71" s="174"/>
      <x:c r="DQ71" s="174"/>
      <x:c r="DR71" s="174"/>
      <x:c r="DS71" s="174"/>
      <x:c r="DT71" s="174"/>
      <x:c r="DU71" s="174"/>
      <x:c r="DV71" s="174"/>
      <x:c r="DW71" s="174"/>
      <x:c r="DX71" s="174"/>
      <x:c r="DY71" s="174"/>
      <x:c r="DZ71" s="174"/>
      <x:c r="EA71" s="174"/>
      <x:c r="EB71" s="175" t="str">
        <x:f>IF(L71="","",IF(AND(F71="Claim-ready",CJ71="Yes",CL71="Yes",DZ71&lt;&gt;""),"Yes","No / Pending"))</x:f>
      </x:c>
      <x:c r="EC71" s="174"/>
      <x:c r="ED71" s="174"/>
      <x:c r="EE71" s="174"/>
      <x:c r="EF71" s="174"/>
      <x:c r="EG71" s="174"/>
      <x:c r="EH71" s="177"/>
      <x:c r="EI71" s="174"/>
      <x:c r="EJ71" s="174"/>
      <x:c r="EK71" s="174"/>
      <x:c r="EL71" s="177"/>
      <x:c r="EM71" s="174"/>
      <x:c r="EN71" s="181" t="str">
        <x:f>IF(L71="","",(IF(N71&lt;&gt;"",1,0)+IF(O71&lt;&gt;"",1,0)+IF(AJ71&lt;&gt;"",1,0)+IF(AU71&lt;&gt;"",1,0)+IF(BE71&lt;&gt;"",1,0)+IF(CF71&lt;&gt;"",1,0)+IF(CJ71="Yes",1,0)+IF(CL71="Yes",1,0)+IF(DE71&lt;&gt;"Pending",1,0)+IF(F71&lt;&gt;"",1,0)+IF(DZ71&lt;&gt;"",1,0)+IF(EI71&lt;&gt;"",1,0))/12)</x:f>
      </x:c>
    </x:row>
    <x:row r="72">
      <x:c r="A72" s="175" t="str">
        <x:f>IF(L72="","","EV-"&amp;TEXT(ROW()-3,"0000"))</x:f>
      </x:c>
      <x:c r="B72" s="174"/>
      <x:c r="C72" s="175" t="str">
        <x:f>IF(L72="","",IF(OR(CM72="Retracted",CN72="Retracted",F72="Not used"),"🔴 Do not use for conclusion",IF(OR(R72="Official / Institutional",I72="Official / contextual"),"🔵 Official / contextual",IF(OR(I72="Definition",I72="Framework",I72="Paradigm shift"),"🟣 Conceptual key source",IF(AND(CJ72="Yes",CL72="Yes",OR(CG72="High",CG72="Moderate"),CH72&lt;&gt;"High",CH72&lt;&gt;"Critical",F72="Claim-ready"),"🟢 Claim-ready","🟡 Caution / context")))))</x:f>
      </x:c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6"/>
      <x:c r="P72" s="174"/>
      <x:c r="Q72" s="174"/>
      <x:c r="R72" s="174"/>
      <x:c r="S72" s="174"/>
      <x:c r="T72" s="174"/>
      <x:c r="U72" s="174"/>
      <x:c r="V72" s="174"/>
      <x:c r="W72" s="175" t="str">
        <x:f>IF(V72="","",LOWER(SUBSTITUTE(SUBSTITUTE(SUBSTITUTE(SUBSTITUTE(TRIM(V72),"https://doi.org/",""),"http://doi.org/",""),"https://dx.doi.org/",""),"doi:","")))</x:f>
      </x:c>
      <x:c r="X72" s="174"/>
      <x:c r="Y72" s="174"/>
      <x:c r="Z72" s="174"/>
      <x:c r="AA72" s="174"/>
      <x:c r="AB72" s="174"/>
      <x:c r="AC72" s="174"/>
      <x:c r="AD72" s="177"/>
      <x:c r="AE72" s="177"/>
      <x:c r="AF72" s="174"/>
      <x:c r="AG72" s="174"/>
      <x:c r="AH72" s="174"/>
      <x:c r="AI72" s="174"/>
      <x:c r="AJ72" s="174"/>
      <x:c r="AK72" s="175" t="str">
        <x:f>IF(AJ72="","",IF(OR(LOWER(AJ72)="brazil",LOWER(AJ72)="brasil"),"Yes","No"))</x:f>
      </x:c>
      <x:c r="AL72" s="174"/>
      <x:c r="AM72" s="174"/>
      <x:c r="AN72" s="174"/>
      <x:c r="AO72" s="178"/>
      <x:c r="AP72" s="174"/>
      <x:c r="AQ72" s="174"/>
      <x:c r="AR72" s="174"/>
      <x:c r="AS72" s="174"/>
      <x:c r="AT72" s="174"/>
      <x:c r="AU72" s="174"/>
      <x:c r="AV72" s="174"/>
      <x:c r="AW72" s="174"/>
      <x:c r="AX72" s="174"/>
      <x:c r="AY72" s="174"/>
      <x:c r="AZ72" s="174"/>
      <x:c r="BA72" s="174"/>
      <x:c r="BB72" s="174"/>
      <x:c r="BC72" s="174"/>
      <x:c r="BD72" s="174"/>
      <x:c r="BE72" s="174"/>
      <x:c r="BF72" s="174"/>
      <x:c r="BG72" s="174"/>
      <x:c r="BH72" s="174"/>
      <x:c r="BI72" s="174"/>
      <x:c r="BJ72" s="174"/>
      <x:c r="BK72" s="174"/>
      <x:c r="BL72" s="174"/>
      <x:c r="BM72" s="174"/>
      <x:c r="BN72" s="174"/>
      <x:c r="BO72" s="174"/>
      <x:c r="BP72" s="174"/>
      <x:c r="BQ72" s="174"/>
      <x:c r="BR72" s="174"/>
      <x:c r="BS72" s="174"/>
      <x:c r="BT72" s="174"/>
      <x:c r="BU72" s="174"/>
      <x:c r="BV72" s="174"/>
      <x:c r="BW72" s="174"/>
      <x:c r="BX72" s="174"/>
      <x:c r="BY72" s="174"/>
      <x:c r="BZ72" s="174"/>
      <x:c r="CA72" s="174"/>
      <x:c r="CB72" s="174"/>
      <x:c r="CC72" s="174"/>
      <x:c r="CD72" s="174"/>
      <x:c r="CE72" s="174"/>
      <x:c r="CF72" s="174"/>
      <x:c r="CG72" s="174"/>
      <x:c r="CH72" s="174"/>
      <x:c r="CI72" s="179"/>
      <x:c r="CJ72" s="174"/>
      <x:c r="CK72" s="174"/>
      <x:c r="CL72" s="174"/>
      <x:c r="CM72" s="174"/>
      <x:c r="CN72" s="174"/>
      <x:c r="CO72" s="177"/>
      <x:c r="CP72" s="174"/>
      <x:c r="CQ72" s="174"/>
      <x:c r="CR72" s="174"/>
      <x:c r="CS72" s="174"/>
      <x:c r="CT72" s="174"/>
      <x:c r="CU72" s="176"/>
      <x:c r="CV72" s="176"/>
      <x:c r="CW72" s="176"/>
      <x:c r="CX72" s="176"/>
      <x:c r="CY72" s="176"/>
      <x:c r="CZ72" s="176"/>
      <x:c r="DA72" s="176"/>
      <x:c r="DB72" s="175" t="str">
        <x:f>IF(L72="","",IF(COUNT(CU72:DA72)&lt;7,"",SUM(CU72:DA72)))</x:f>
      </x:c>
      <x:c r="DC72" s="180" t="str">
        <x:f>IF(DB72="","",ROUND(DB72/14*10,1))</x:f>
      </x:c>
      <x:c r="DD72" s="174"/>
      <x:c r="DE72" s="175" t="str">
        <x:f>IF(L72="","",IF(DC72="","Pending",IF(DD72="Yes","CONDITIONAL — safety override",IF(DC72&gt;=8,"HIGH",IF(DC72&gt;=5,"CONDITIONAL","LOW")))))</x:f>
      </x:c>
      <x:c r="DF72" s="174"/>
      <x:c r="DG72" s="174"/>
      <x:c r="DH72" s="174"/>
      <x:c r="DI72" s="174"/>
      <x:c r="DJ72" s="174"/>
      <x:c r="DK72" s="174"/>
      <x:c r="DL72" s="174"/>
      <x:c r="DM72" s="174"/>
      <x:c r="DN72" s="174"/>
      <x:c r="DO72" s="174"/>
      <x:c r="DP72" s="174"/>
      <x:c r="DQ72" s="174"/>
      <x:c r="DR72" s="174"/>
      <x:c r="DS72" s="174"/>
      <x:c r="DT72" s="174"/>
      <x:c r="DU72" s="174"/>
      <x:c r="DV72" s="174"/>
      <x:c r="DW72" s="174"/>
      <x:c r="DX72" s="174"/>
      <x:c r="DY72" s="174"/>
      <x:c r="DZ72" s="174"/>
      <x:c r="EA72" s="174"/>
      <x:c r="EB72" s="175" t="str">
        <x:f>IF(L72="","",IF(AND(F72="Claim-ready",CJ72="Yes",CL72="Yes",DZ72&lt;&gt;""),"Yes","No / Pending"))</x:f>
      </x:c>
      <x:c r="EC72" s="174"/>
      <x:c r="ED72" s="174"/>
      <x:c r="EE72" s="174"/>
      <x:c r="EF72" s="174"/>
      <x:c r="EG72" s="174"/>
      <x:c r="EH72" s="177"/>
      <x:c r="EI72" s="174"/>
      <x:c r="EJ72" s="174"/>
      <x:c r="EK72" s="174"/>
      <x:c r="EL72" s="177"/>
      <x:c r="EM72" s="174"/>
      <x:c r="EN72" s="181" t="str">
        <x:f>IF(L72="","",(IF(N72&lt;&gt;"",1,0)+IF(O72&lt;&gt;"",1,0)+IF(AJ72&lt;&gt;"",1,0)+IF(AU72&lt;&gt;"",1,0)+IF(BE72&lt;&gt;"",1,0)+IF(CF72&lt;&gt;"",1,0)+IF(CJ72="Yes",1,0)+IF(CL72="Yes",1,0)+IF(DE72&lt;&gt;"Pending",1,0)+IF(F72&lt;&gt;"",1,0)+IF(DZ72&lt;&gt;"",1,0)+IF(EI72&lt;&gt;"",1,0))/12)</x:f>
      </x:c>
    </x:row>
    <x:row r="73">
      <x:c r="A73" s="175" t="str">
        <x:f>IF(L73="","","EV-"&amp;TEXT(ROW()-3,"0000"))</x:f>
      </x:c>
      <x:c r="B73" s="174"/>
      <x:c r="C73" s="175" t="str">
        <x:f>IF(L73="","",IF(OR(CM73="Retracted",CN73="Retracted",F73="Not used"),"🔴 Do not use for conclusion",IF(OR(R73="Official / Institutional",I73="Official / contextual"),"🔵 Official / contextual",IF(OR(I73="Definition",I73="Framework",I73="Paradigm shift"),"🟣 Conceptual key source",IF(AND(CJ73="Yes",CL73="Yes",OR(CG73="High",CG73="Moderate"),CH73&lt;&gt;"High",CH73&lt;&gt;"Critical",F73="Claim-ready"),"🟢 Claim-ready","🟡 Caution / context")))))</x:f>
      </x:c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6"/>
      <x:c r="P73" s="174"/>
      <x:c r="Q73" s="174"/>
      <x:c r="R73" s="174"/>
      <x:c r="S73" s="174"/>
      <x:c r="T73" s="174"/>
      <x:c r="U73" s="174"/>
      <x:c r="V73" s="174"/>
      <x:c r="W73" s="175" t="str">
        <x:f>IF(V73="","",LOWER(SUBSTITUTE(SUBSTITUTE(SUBSTITUTE(SUBSTITUTE(TRIM(V73),"https://doi.org/",""),"http://doi.org/",""),"https://dx.doi.org/",""),"doi:","")))</x:f>
      </x:c>
      <x:c r="X73" s="174"/>
      <x:c r="Y73" s="174"/>
      <x:c r="Z73" s="174"/>
      <x:c r="AA73" s="174"/>
      <x:c r="AB73" s="174"/>
      <x:c r="AC73" s="174"/>
      <x:c r="AD73" s="177"/>
      <x:c r="AE73" s="177"/>
      <x:c r="AF73" s="174"/>
      <x:c r="AG73" s="174"/>
      <x:c r="AH73" s="174"/>
      <x:c r="AI73" s="174"/>
      <x:c r="AJ73" s="174"/>
      <x:c r="AK73" s="175" t="str">
        <x:f>IF(AJ73="","",IF(OR(LOWER(AJ73)="brazil",LOWER(AJ73)="brasil"),"Yes","No"))</x:f>
      </x:c>
      <x:c r="AL73" s="174"/>
      <x:c r="AM73" s="174"/>
      <x:c r="AN73" s="174"/>
      <x:c r="AO73" s="178"/>
      <x:c r="AP73" s="174"/>
      <x:c r="AQ73" s="174"/>
      <x:c r="AR73" s="174"/>
      <x:c r="AS73" s="174"/>
      <x:c r="AT73" s="174"/>
      <x:c r="AU73" s="174"/>
      <x:c r="AV73" s="174"/>
      <x:c r="AW73" s="174"/>
      <x:c r="AX73" s="174"/>
      <x:c r="AY73" s="174"/>
      <x:c r="AZ73" s="174"/>
      <x:c r="BA73" s="174"/>
      <x:c r="BB73" s="174"/>
      <x:c r="BC73" s="174"/>
      <x:c r="BD73" s="174"/>
      <x:c r="BE73" s="174"/>
      <x:c r="BF73" s="174"/>
      <x:c r="BG73" s="174"/>
      <x:c r="BH73" s="174"/>
      <x:c r="BI73" s="174"/>
      <x:c r="BJ73" s="174"/>
      <x:c r="BK73" s="174"/>
      <x:c r="BL73" s="174"/>
      <x:c r="BM73" s="174"/>
      <x:c r="BN73" s="174"/>
      <x:c r="BO73" s="174"/>
      <x:c r="BP73" s="174"/>
      <x:c r="BQ73" s="174"/>
      <x:c r="BR73" s="174"/>
      <x:c r="BS73" s="174"/>
      <x:c r="BT73" s="174"/>
      <x:c r="BU73" s="174"/>
      <x:c r="BV73" s="174"/>
      <x:c r="BW73" s="174"/>
      <x:c r="BX73" s="174"/>
      <x:c r="BY73" s="174"/>
      <x:c r="BZ73" s="174"/>
      <x:c r="CA73" s="174"/>
      <x:c r="CB73" s="174"/>
      <x:c r="CC73" s="174"/>
      <x:c r="CD73" s="174"/>
      <x:c r="CE73" s="174"/>
      <x:c r="CF73" s="174"/>
      <x:c r="CG73" s="174"/>
      <x:c r="CH73" s="174"/>
      <x:c r="CI73" s="179"/>
      <x:c r="CJ73" s="174"/>
      <x:c r="CK73" s="174"/>
      <x:c r="CL73" s="174"/>
      <x:c r="CM73" s="174"/>
      <x:c r="CN73" s="174"/>
      <x:c r="CO73" s="177"/>
      <x:c r="CP73" s="174"/>
      <x:c r="CQ73" s="174"/>
      <x:c r="CR73" s="174"/>
      <x:c r="CS73" s="174"/>
      <x:c r="CT73" s="174"/>
      <x:c r="CU73" s="176"/>
      <x:c r="CV73" s="176"/>
      <x:c r="CW73" s="176"/>
      <x:c r="CX73" s="176"/>
      <x:c r="CY73" s="176"/>
      <x:c r="CZ73" s="176"/>
      <x:c r="DA73" s="176"/>
      <x:c r="DB73" s="175" t="str">
        <x:f>IF(L73="","",IF(COUNT(CU73:DA73)&lt;7,"",SUM(CU73:DA73)))</x:f>
      </x:c>
      <x:c r="DC73" s="180" t="str">
        <x:f>IF(DB73="","",ROUND(DB73/14*10,1))</x:f>
      </x:c>
      <x:c r="DD73" s="174"/>
      <x:c r="DE73" s="175" t="str">
        <x:f>IF(L73="","",IF(DC73="","Pending",IF(DD73="Yes","CONDITIONAL — safety override",IF(DC73&gt;=8,"HIGH",IF(DC73&gt;=5,"CONDITIONAL","LOW")))))</x:f>
      </x:c>
      <x:c r="DF73" s="174"/>
      <x:c r="DG73" s="174"/>
      <x:c r="DH73" s="174"/>
      <x:c r="DI73" s="174"/>
      <x:c r="DJ73" s="174"/>
      <x:c r="DK73" s="174"/>
      <x:c r="DL73" s="174"/>
      <x:c r="DM73" s="174"/>
      <x:c r="DN73" s="174"/>
      <x:c r="DO73" s="174"/>
      <x:c r="DP73" s="174"/>
      <x:c r="DQ73" s="174"/>
      <x:c r="DR73" s="174"/>
      <x:c r="DS73" s="174"/>
      <x:c r="DT73" s="174"/>
      <x:c r="DU73" s="174"/>
      <x:c r="DV73" s="174"/>
      <x:c r="DW73" s="174"/>
      <x:c r="DX73" s="174"/>
      <x:c r="DY73" s="174"/>
      <x:c r="DZ73" s="174"/>
      <x:c r="EA73" s="174"/>
      <x:c r="EB73" s="175" t="str">
        <x:f>IF(L73="","",IF(AND(F73="Claim-ready",CJ73="Yes",CL73="Yes",DZ73&lt;&gt;""),"Yes","No / Pending"))</x:f>
      </x:c>
      <x:c r="EC73" s="174"/>
      <x:c r="ED73" s="174"/>
      <x:c r="EE73" s="174"/>
      <x:c r="EF73" s="174"/>
      <x:c r="EG73" s="174"/>
      <x:c r="EH73" s="177"/>
      <x:c r="EI73" s="174"/>
      <x:c r="EJ73" s="174"/>
      <x:c r="EK73" s="174"/>
      <x:c r="EL73" s="177"/>
      <x:c r="EM73" s="174"/>
      <x:c r="EN73" s="181" t="str">
        <x:f>IF(L73="","",(IF(N73&lt;&gt;"",1,0)+IF(O73&lt;&gt;"",1,0)+IF(AJ73&lt;&gt;"",1,0)+IF(AU73&lt;&gt;"",1,0)+IF(BE73&lt;&gt;"",1,0)+IF(CF73&lt;&gt;"",1,0)+IF(CJ73="Yes",1,0)+IF(CL73="Yes",1,0)+IF(DE73&lt;&gt;"Pending",1,0)+IF(F73&lt;&gt;"",1,0)+IF(DZ73&lt;&gt;"",1,0)+IF(EI73&lt;&gt;"",1,0))/12)</x:f>
      </x:c>
    </x:row>
    <x:row r="74">
      <x:c r="A74" s="175" t="str">
        <x:f>IF(L74="","","EV-"&amp;TEXT(ROW()-3,"0000"))</x:f>
      </x:c>
      <x:c r="B74" s="174"/>
      <x:c r="C74" s="175" t="str">
        <x:f>IF(L74="","",IF(OR(CM74="Retracted",CN74="Retracted",F74="Not used"),"🔴 Do not use for conclusion",IF(OR(R74="Official / Institutional",I74="Official / contextual"),"🔵 Official / contextual",IF(OR(I74="Definition",I74="Framework",I74="Paradigm shift"),"🟣 Conceptual key source",IF(AND(CJ74="Yes",CL74="Yes",OR(CG74="High",CG74="Moderate"),CH74&lt;&gt;"High",CH74&lt;&gt;"Critical",F74="Claim-ready"),"🟢 Claim-ready","🟡 Caution / context")))))</x:f>
      </x:c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6"/>
      <x:c r="P74" s="174"/>
      <x:c r="Q74" s="174"/>
      <x:c r="R74" s="174"/>
      <x:c r="S74" s="174"/>
      <x:c r="T74" s="174"/>
      <x:c r="U74" s="174"/>
      <x:c r="V74" s="174"/>
      <x:c r="W74" s="175" t="str">
        <x:f>IF(V74="","",LOWER(SUBSTITUTE(SUBSTITUTE(SUBSTITUTE(SUBSTITUTE(TRIM(V74),"https://doi.org/",""),"http://doi.org/",""),"https://dx.doi.org/",""),"doi:","")))</x:f>
      </x:c>
      <x:c r="X74" s="174"/>
      <x:c r="Y74" s="174"/>
      <x:c r="Z74" s="174"/>
      <x:c r="AA74" s="174"/>
      <x:c r="AB74" s="174"/>
      <x:c r="AC74" s="174"/>
      <x:c r="AD74" s="177"/>
      <x:c r="AE74" s="177"/>
      <x:c r="AF74" s="174"/>
      <x:c r="AG74" s="174"/>
      <x:c r="AH74" s="174"/>
      <x:c r="AI74" s="174"/>
      <x:c r="AJ74" s="174"/>
      <x:c r="AK74" s="175" t="str">
        <x:f>IF(AJ74="","",IF(OR(LOWER(AJ74)="brazil",LOWER(AJ74)="brasil"),"Yes","No"))</x:f>
      </x:c>
      <x:c r="AL74" s="174"/>
      <x:c r="AM74" s="174"/>
      <x:c r="AN74" s="174"/>
      <x:c r="AO74" s="178"/>
      <x:c r="AP74" s="174"/>
      <x:c r="AQ74" s="174"/>
      <x:c r="AR74" s="174"/>
      <x:c r="AS74" s="174"/>
      <x:c r="AT74" s="174"/>
      <x:c r="AU74" s="174"/>
      <x:c r="AV74" s="174"/>
      <x:c r="AW74" s="174"/>
      <x:c r="AX74" s="174"/>
      <x:c r="AY74" s="174"/>
      <x:c r="AZ74" s="174"/>
      <x:c r="BA74" s="174"/>
      <x:c r="BB74" s="174"/>
      <x:c r="BC74" s="174"/>
      <x:c r="BD74" s="174"/>
      <x:c r="BE74" s="174"/>
      <x:c r="BF74" s="174"/>
      <x:c r="BG74" s="174"/>
      <x:c r="BH74" s="174"/>
      <x:c r="BI74" s="174"/>
      <x:c r="BJ74" s="174"/>
      <x:c r="BK74" s="174"/>
      <x:c r="BL74" s="174"/>
      <x:c r="BM74" s="174"/>
      <x:c r="BN74" s="174"/>
      <x:c r="BO74" s="174"/>
      <x:c r="BP74" s="174"/>
      <x:c r="BQ74" s="174"/>
      <x:c r="BR74" s="174"/>
      <x:c r="BS74" s="174"/>
      <x:c r="BT74" s="174"/>
      <x:c r="BU74" s="174"/>
      <x:c r="BV74" s="174"/>
      <x:c r="BW74" s="174"/>
      <x:c r="BX74" s="174"/>
      <x:c r="BY74" s="174"/>
      <x:c r="BZ74" s="174"/>
      <x:c r="CA74" s="174"/>
      <x:c r="CB74" s="174"/>
      <x:c r="CC74" s="174"/>
      <x:c r="CD74" s="174"/>
      <x:c r="CE74" s="174"/>
      <x:c r="CF74" s="174"/>
      <x:c r="CG74" s="174"/>
      <x:c r="CH74" s="174"/>
      <x:c r="CI74" s="179"/>
      <x:c r="CJ74" s="174"/>
      <x:c r="CK74" s="174"/>
      <x:c r="CL74" s="174"/>
      <x:c r="CM74" s="174"/>
      <x:c r="CN74" s="174"/>
      <x:c r="CO74" s="177"/>
      <x:c r="CP74" s="174"/>
      <x:c r="CQ74" s="174"/>
      <x:c r="CR74" s="174"/>
      <x:c r="CS74" s="174"/>
      <x:c r="CT74" s="174"/>
      <x:c r="CU74" s="176"/>
      <x:c r="CV74" s="176"/>
      <x:c r="CW74" s="176"/>
      <x:c r="CX74" s="176"/>
      <x:c r="CY74" s="176"/>
      <x:c r="CZ74" s="176"/>
      <x:c r="DA74" s="176"/>
      <x:c r="DB74" s="175" t="str">
        <x:f>IF(L74="","",IF(COUNT(CU74:DA74)&lt;7,"",SUM(CU74:DA74)))</x:f>
      </x:c>
      <x:c r="DC74" s="180" t="str">
        <x:f>IF(DB74="","",ROUND(DB74/14*10,1))</x:f>
      </x:c>
      <x:c r="DD74" s="174"/>
      <x:c r="DE74" s="175" t="str">
        <x:f>IF(L74="","",IF(DC74="","Pending",IF(DD74="Yes","CONDITIONAL — safety override",IF(DC74&gt;=8,"HIGH",IF(DC74&gt;=5,"CONDITIONAL","LOW")))))</x:f>
      </x:c>
      <x:c r="DF74" s="174"/>
      <x:c r="DG74" s="174"/>
      <x:c r="DH74" s="174"/>
      <x:c r="DI74" s="174"/>
      <x:c r="DJ74" s="174"/>
      <x:c r="DK74" s="174"/>
      <x:c r="DL74" s="174"/>
      <x:c r="DM74" s="174"/>
      <x:c r="DN74" s="174"/>
      <x:c r="DO74" s="174"/>
      <x:c r="DP74" s="174"/>
      <x:c r="DQ74" s="174"/>
      <x:c r="DR74" s="174"/>
      <x:c r="DS74" s="174"/>
      <x:c r="DT74" s="174"/>
      <x:c r="DU74" s="174"/>
      <x:c r="DV74" s="174"/>
      <x:c r="DW74" s="174"/>
      <x:c r="DX74" s="174"/>
      <x:c r="DY74" s="174"/>
      <x:c r="DZ74" s="174"/>
      <x:c r="EA74" s="174"/>
      <x:c r="EB74" s="175" t="str">
        <x:f>IF(L74="","",IF(AND(F74="Claim-ready",CJ74="Yes",CL74="Yes",DZ74&lt;&gt;""),"Yes","No / Pending"))</x:f>
      </x:c>
      <x:c r="EC74" s="174"/>
      <x:c r="ED74" s="174"/>
      <x:c r="EE74" s="174"/>
      <x:c r="EF74" s="174"/>
      <x:c r="EG74" s="174"/>
      <x:c r="EH74" s="177"/>
      <x:c r="EI74" s="174"/>
      <x:c r="EJ74" s="174"/>
      <x:c r="EK74" s="174"/>
      <x:c r="EL74" s="177"/>
      <x:c r="EM74" s="174"/>
      <x:c r="EN74" s="181" t="str">
        <x:f>IF(L74="","",(IF(N74&lt;&gt;"",1,0)+IF(O74&lt;&gt;"",1,0)+IF(AJ74&lt;&gt;"",1,0)+IF(AU74&lt;&gt;"",1,0)+IF(BE74&lt;&gt;"",1,0)+IF(CF74&lt;&gt;"",1,0)+IF(CJ74="Yes",1,0)+IF(CL74="Yes",1,0)+IF(DE74&lt;&gt;"Pending",1,0)+IF(F74&lt;&gt;"",1,0)+IF(DZ74&lt;&gt;"",1,0)+IF(EI74&lt;&gt;"",1,0))/12)</x:f>
      </x:c>
    </x:row>
    <x:row r="75">
      <x:c r="A75" s="175" t="str">
        <x:f>IF(L75="","","EV-"&amp;TEXT(ROW()-3,"0000"))</x:f>
      </x:c>
      <x:c r="B75" s="174"/>
      <x:c r="C75" s="175" t="str">
        <x:f>IF(L75="","",IF(OR(CM75="Retracted",CN75="Retracted",F75="Not used"),"🔴 Do not use for conclusion",IF(OR(R75="Official / Institutional",I75="Official / contextual"),"🔵 Official / contextual",IF(OR(I75="Definition",I75="Framework",I75="Paradigm shift"),"🟣 Conceptual key source",IF(AND(CJ75="Yes",CL75="Yes",OR(CG75="High",CG75="Moderate"),CH75&lt;&gt;"High",CH75&lt;&gt;"Critical",F75="Claim-ready"),"🟢 Claim-ready","🟡 Caution / context")))))</x:f>
      </x:c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6"/>
      <x:c r="P75" s="174"/>
      <x:c r="Q75" s="174"/>
      <x:c r="R75" s="174"/>
      <x:c r="S75" s="174"/>
      <x:c r="T75" s="174"/>
      <x:c r="U75" s="174"/>
      <x:c r="V75" s="174"/>
      <x:c r="W75" s="175" t="str">
        <x:f>IF(V75="","",LOWER(SUBSTITUTE(SUBSTITUTE(SUBSTITUTE(SUBSTITUTE(TRIM(V75),"https://doi.org/",""),"http://doi.org/",""),"https://dx.doi.org/",""),"doi:","")))</x:f>
      </x:c>
      <x:c r="X75" s="174"/>
      <x:c r="Y75" s="174"/>
      <x:c r="Z75" s="174"/>
      <x:c r="AA75" s="174"/>
      <x:c r="AB75" s="174"/>
      <x:c r="AC75" s="174"/>
      <x:c r="AD75" s="177"/>
      <x:c r="AE75" s="177"/>
      <x:c r="AF75" s="174"/>
      <x:c r="AG75" s="174"/>
      <x:c r="AH75" s="174"/>
      <x:c r="AI75" s="174"/>
      <x:c r="AJ75" s="174"/>
      <x:c r="AK75" s="175" t="str">
        <x:f>IF(AJ75="","",IF(OR(LOWER(AJ75)="brazil",LOWER(AJ75)="brasil"),"Yes","No"))</x:f>
      </x:c>
      <x:c r="AL75" s="174"/>
      <x:c r="AM75" s="174"/>
      <x:c r="AN75" s="174"/>
      <x:c r="AO75" s="178"/>
      <x:c r="AP75" s="174"/>
      <x:c r="AQ75" s="174"/>
      <x:c r="AR75" s="174"/>
      <x:c r="AS75" s="174"/>
      <x:c r="AT75" s="174"/>
      <x:c r="AU75" s="174"/>
      <x:c r="AV75" s="174"/>
      <x:c r="AW75" s="174"/>
      <x:c r="AX75" s="174"/>
      <x:c r="AY75" s="174"/>
      <x:c r="AZ75" s="174"/>
      <x:c r="BA75" s="174"/>
      <x:c r="BB75" s="174"/>
      <x:c r="BC75" s="174"/>
      <x:c r="BD75" s="174"/>
      <x:c r="BE75" s="174"/>
      <x:c r="BF75" s="174"/>
      <x:c r="BG75" s="174"/>
      <x:c r="BH75" s="174"/>
      <x:c r="BI75" s="174"/>
      <x:c r="BJ75" s="174"/>
      <x:c r="BK75" s="174"/>
      <x:c r="BL75" s="174"/>
      <x:c r="BM75" s="174"/>
      <x:c r="BN75" s="174"/>
      <x:c r="BO75" s="174"/>
      <x:c r="BP75" s="174"/>
      <x:c r="BQ75" s="174"/>
      <x:c r="BR75" s="174"/>
      <x:c r="BS75" s="174"/>
      <x:c r="BT75" s="174"/>
      <x:c r="BU75" s="174"/>
      <x:c r="BV75" s="174"/>
      <x:c r="BW75" s="174"/>
      <x:c r="BX75" s="174"/>
      <x:c r="BY75" s="174"/>
      <x:c r="BZ75" s="174"/>
      <x:c r="CA75" s="174"/>
      <x:c r="CB75" s="174"/>
      <x:c r="CC75" s="174"/>
      <x:c r="CD75" s="174"/>
      <x:c r="CE75" s="174"/>
      <x:c r="CF75" s="174"/>
      <x:c r="CG75" s="174"/>
      <x:c r="CH75" s="174"/>
      <x:c r="CI75" s="179"/>
      <x:c r="CJ75" s="174"/>
      <x:c r="CK75" s="174"/>
      <x:c r="CL75" s="174"/>
      <x:c r="CM75" s="174"/>
      <x:c r="CN75" s="174"/>
      <x:c r="CO75" s="177"/>
      <x:c r="CP75" s="174"/>
      <x:c r="CQ75" s="174"/>
      <x:c r="CR75" s="174"/>
      <x:c r="CS75" s="174"/>
      <x:c r="CT75" s="174"/>
      <x:c r="CU75" s="176"/>
      <x:c r="CV75" s="176"/>
      <x:c r="CW75" s="176"/>
      <x:c r="CX75" s="176"/>
      <x:c r="CY75" s="176"/>
      <x:c r="CZ75" s="176"/>
      <x:c r="DA75" s="176"/>
      <x:c r="DB75" s="175" t="str">
        <x:f>IF(L75="","",IF(COUNT(CU75:DA75)&lt;7,"",SUM(CU75:DA75)))</x:f>
      </x:c>
      <x:c r="DC75" s="180" t="str">
        <x:f>IF(DB75="","",ROUND(DB75/14*10,1))</x:f>
      </x:c>
      <x:c r="DD75" s="174"/>
      <x:c r="DE75" s="175" t="str">
        <x:f>IF(L75="","",IF(DC75="","Pending",IF(DD75="Yes","CONDITIONAL — safety override",IF(DC75&gt;=8,"HIGH",IF(DC75&gt;=5,"CONDITIONAL","LOW")))))</x:f>
      </x:c>
      <x:c r="DF75" s="174"/>
      <x:c r="DG75" s="174"/>
      <x:c r="DH75" s="174"/>
      <x:c r="DI75" s="174"/>
      <x:c r="DJ75" s="174"/>
      <x:c r="DK75" s="174"/>
      <x:c r="DL75" s="174"/>
      <x:c r="DM75" s="174"/>
      <x:c r="DN75" s="174"/>
      <x:c r="DO75" s="174"/>
      <x:c r="DP75" s="174"/>
      <x:c r="DQ75" s="174"/>
      <x:c r="DR75" s="174"/>
      <x:c r="DS75" s="174"/>
      <x:c r="DT75" s="174"/>
      <x:c r="DU75" s="174"/>
      <x:c r="DV75" s="174"/>
      <x:c r="DW75" s="174"/>
      <x:c r="DX75" s="174"/>
      <x:c r="DY75" s="174"/>
      <x:c r="DZ75" s="174"/>
      <x:c r="EA75" s="174"/>
      <x:c r="EB75" s="175" t="str">
        <x:f>IF(L75="","",IF(AND(F75="Claim-ready",CJ75="Yes",CL75="Yes",DZ75&lt;&gt;""),"Yes","No / Pending"))</x:f>
      </x:c>
      <x:c r="EC75" s="174"/>
      <x:c r="ED75" s="174"/>
      <x:c r="EE75" s="174"/>
      <x:c r="EF75" s="174"/>
      <x:c r="EG75" s="174"/>
      <x:c r="EH75" s="177"/>
      <x:c r="EI75" s="174"/>
      <x:c r="EJ75" s="174"/>
      <x:c r="EK75" s="174"/>
      <x:c r="EL75" s="177"/>
      <x:c r="EM75" s="174"/>
      <x:c r="EN75" s="181" t="str">
        <x:f>IF(L75="","",(IF(N75&lt;&gt;"",1,0)+IF(O75&lt;&gt;"",1,0)+IF(AJ75&lt;&gt;"",1,0)+IF(AU75&lt;&gt;"",1,0)+IF(BE75&lt;&gt;"",1,0)+IF(CF75&lt;&gt;"",1,0)+IF(CJ75="Yes",1,0)+IF(CL75="Yes",1,0)+IF(DE75&lt;&gt;"Pending",1,0)+IF(F75&lt;&gt;"",1,0)+IF(DZ75&lt;&gt;"",1,0)+IF(EI75&lt;&gt;"",1,0))/12)</x:f>
      </x:c>
    </x:row>
    <x:row r="76">
      <x:c r="A76" s="175" t="str">
        <x:f>IF(L76="","","EV-"&amp;TEXT(ROW()-3,"0000"))</x:f>
      </x:c>
      <x:c r="B76" s="174"/>
      <x:c r="C76" s="175" t="str">
        <x:f>IF(L76="","",IF(OR(CM76="Retracted",CN76="Retracted",F76="Not used"),"🔴 Do not use for conclusion",IF(OR(R76="Official / Institutional",I76="Official / contextual"),"🔵 Official / contextual",IF(OR(I76="Definition",I76="Framework",I76="Paradigm shift"),"🟣 Conceptual key source",IF(AND(CJ76="Yes",CL76="Yes",OR(CG76="High",CG76="Moderate"),CH76&lt;&gt;"High",CH76&lt;&gt;"Critical",F76="Claim-ready"),"🟢 Claim-ready","🟡 Caution / context")))))</x:f>
      </x:c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6"/>
      <x:c r="P76" s="174"/>
      <x:c r="Q76" s="174"/>
      <x:c r="R76" s="174"/>
      <x:c r="S76" s="174"/>
      <x:c r="T76" s="174"/>
      <x:c r="U76" s="174"/>
      <x:c r="V76" s="174"/>
      <x:c r="W76" s="175" t="str">
        <x:f>IF(V76="","",LOWER(SUBSTITUTE(SUBSTITUTE(SUBSTITUTE(SUBSTITUTE(TRIM(V76),"https://doi.org/",""),"http://doi.org/",""),"https://dx.doi.org/",""),"doi:","")))</x:f>
      </x:c>
      <x:c r="X76" s="174"/>
      <x:c r="Y76" s="174"/>
      <x:c r="Z76" s="174"/>
      <x:c r="AA76" s="174"/>
      <x:c r="AB76" s="174"/>
      <x:c r="AC76" s="174"/>
      <x:c r="AD76" s="177"/>
      <x:c r="AE76" s="177"/>
      <x:c r="AF76" s="174"/>
      <x:c r="AG76" s="174"/>
      <x:c r="AH76" s="174"/>
      <x:c r="AI76" s="174"/>
      <x:c r="AJ76" s="174"/>
      <x:c r="AK76" s="175" t="str">
        <x:f>IF(AJ76="","",IF(OR(LOWER(AJ76)="brazil",LOWER(AJ76)="brasil"),"Yes","No"))</x:f>
      </x:c>
      <x:c r="AL76" s="174"/>
      <x:c r="AM76" s="174"/>
      <x:c r="AN76" s="174"/>
      <x:c r="AO76" s="178"/>
      <x:c r="AP76" s="174"/>
      <x:c r="AQ76" s="174"/>
      <x:c r="AR76" s="174"/>
      <x:c r="AS76" s="174"/>
      <x:c r="AT76" s="174"/>
      <x:c r="AU76" s="174"/>
      <x:c r="AV76" s="174"/>
      <x:c r="AW76" s="174"/>
      <x:c r="AX76" s="174"/>
      <x:c r="AY76" s="174"/>
      <x:c r="AZ76" s="174"/>
      <x:c r="BA76" s="174"/>
      <x:c r="BB76" s="174"/>
      <x:c r="BC76" s="174"/>
      <x:c r="BD76" s="174"/>
      <x:c r="BE76" s="174"/>
      <x:c r="BF76" s="174"/>
      <x:c r="BG76" s="174"/>
      <x:c r="BH76" s="174"/>
      <x:c r="BI76" s="174"/>
      <x:c r="BJ76" s="174"/>
      <x:c r="BK76" s="174"/>
      <x:c r="BL76" s="174"/>
      <x:c r="BM76" s="174"/>
      <x:c r="BN76" s="174"/>
      <x:c r="BO76" s="174"/>
      <x:c r="BP76" s="174"/>
      <x:c r="BQ76" s="174"/>
      <x:c r="BR76" s="174"/>
      <x:c r="BS76" s="174"/>
      <x:c r="BT76" s="174"/>
      <x:c r="BU76" s="174"/>
      <x:c r="BV76" s="174"/>
      <x:c r="BW76" s="174"/>
      <x:c r="BX76" s="174"/>
      <x:c r="BY76" s="174"/>
      <x:c r="BZ76" s="174"/>
      <x:c r="CA76" s="174"/>
      <x:c r="CB76" s="174"/>
      <x:c r="CC76" s="174"/>
      <x:c r="CD76" s="174"/>
      <x:c r="CE76" s="174"/>
      <x:c r="CF76" s="174"/>
      <x:c r="CG76" s="174"/>
      <x:c r="CH76" s="174"/>
      <x:c r="CI76" s="179"/>
      <x:c r="CJ76" s="174"/>
      <x:c r="CK76" s="174"/>
      <x:c r="CL76" s="174"/>
      <x:c r="CM76" s="174"/>
      <x:c r="CN76" s="174"/>
      <x:c r="CO76" s="177"/>
      <x:c r="CP76" s="174"/>
      <x:c r="CQ76" s="174"/>
      <x:c r="CR76" s="174"/>
      <x:c r="CS76" s="174"/>
      <x:c r="CT76" s="174"/>
      <x:c r="CU76" s="176"/>
      <x:c r="CV76" s="176"/>
      <x:c r="CW76" s="176"/>
      <x:c r="CX76" s="176"/>
      <x:c r="CY76" s="176"/>
      <x:c r="CZ76" s="176"/>
      <x:c r="DA76" s="176"/>
      <x:c r="DB76" s="175" t="str">
        <x:f>IF(L76="","",IF(COUNT(CU76:DA76)&lt;7,"",SUM(CU76:DA76)))</x:f>
      </x:c>
      <x:c r="DC76" s="180" t="str">
        <x:f>IF(DB76="","",ROUND(DB76/14*10,1))</x:f>
      </x:c>
      <x:c r="DD76" s="174"/>
      <x:c r="DE76" s="175" t="str">
        <x:f>IF(L76="","",IF(DC76="","Pending",IF(DD76="Yes","CONDITIONAL — safety override",IF(DC76&gt;=8,"HIGH",IF(DC76&gt;=5,"CONDITIONAL","LOW")))))</x:f>
      </x:c>
      <x:c r="DF76" s="174"/>
      <x:c r="DG76" s="174"/>
      <x:c r="DH76" s="174"/>
      <x:c r="DI76" s="174"/>
      <x:c r="DJ76" s="174"/>
      <x:c r="DK76" s="174"/>
      <x:c r="DL76" s="174"/>
      <x:c r="DM76" s="174"/>
      <x:c r="DN76" s="174"/>
      <x:c r="DO76" s="174"/>
      <x:c r="DP76" s="174"/>
      <x:c r="DQ76" s="174"/>
      <x:c r="DR76" s="174"/>
      <x:c r="DS76" s="174"/>
      <x:c r="DT76" s="174"/>
      <x:c r="DU76" s="174"/>
      <x:c r="DV76" s="174"/>
      <x:c r="DW76" s="174"/>
      <x:c r="DX76" s="174"/>
      <x:c r="DY76" s="174"/>
      <x:c r="DZ76" s="174"/>
      <x:c r="EA76" s="174"/>
      <x:c r="EB76" s="175" t="str">
        <x:f>IF(L76="","",IF(AND(F76="Claim-ready",CJ76="Yes",CL76="Yes",DZ76&lt;&gt;""),"Yes","No / Pending"))</x:f>
      </x:c>
      <x:c r="EC76" s="174"/>
      <x:c r="ED76" s="174"/>
      <x:c r="EE76" s="174"/>
      <x:c r="EF76" s="174"/>
      <x:c r="EG76" s="174"/>
      <x:c r="EH76" s="177"/>
      <x:c r="EI76" s="174"/>
      <x:c r="EJ76" s="174"/>
      <x:c r="EK76" s="174"/>
      <x:c r="EL76" s="177"/>
      <x:c r="EM76" s="174"/>
      <x:c r="EN76" s="181" t="str">
        <x:f>IF(L76="","",(IF(N76&lt;&gt;"",1,0)+IF(O76&lt;&gt;"",1,0)+IF(AJ76&lt;&gt;"",1,0)+IF(AU76&lt;&gt;"",1,0)+IF(BE76&lt;&gt;"",1,0)+IF(CF76&lt;&gt;"",1,0)+IF(CJ76="Yes",1,0)+IF(CL76="Yes",1,0)+IF(DE76&lt;&gt;"Pending",1,0)+IF(F76&lt;&gt;"",1,0)+IF(DZ76&lt;&gt;"",1,0)+IF(EI76&lt;&gt;"",1,0))/12)</x:f>
      </x:c>
    </x:row>
    <x:row r="77">
      <x:c r="A77" s="175" t="str">
        <x:f>IF(L77="","","EV-"&amp;TEXT(ROW()-3,"0000"))</x:f>
      </x:c>
      <x:c r="B77" s="174"/>
      <x:c r="C77" s="175" t="str">
        <x:f>IF(L77="","",IF(OR(CM77="Retracted",CN77="Retracted",F77="Not used"),"🔴 Do not use for conclusion",IF(OR(R77="Official / Institutional",I77="Official / contextual"),"🔵 Official / contextual",IF(OR(I77="Definition",I77="Framework",I77="Paradigm shift"),"🟣 Conceptual key source",IF(AND(CJ77="Yes",CL77="Yes",OR(CG77="High",CG77="Moderate"),CH77&lt;&gt;"High",CH77&lt;&gt;"Critical",F77="Claim-ready"),"🟢 Claim-ready","🟡 Caution / context")))))</x:f>
      </x:c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6"/>
      <x:c r="P77" s="174"/>
      <x:c r="Q77" s="174"/>
      <x:c r="R77" s="174"/>
      <x:c r="S77" s="174"/>
      <x:c r="T77" s="174"/>
      <x:c r="U77" s="174"/>
      <x:c r="V77" s="174"/>
      <x:c r="W77" s="175" t="str">
        <x:f>IF(V77="","",LOWER(SUBSTITUTE(SUBSTITUTE(SUBSTITUTE(SUBSTITUTE(TRIM(V77),"https://doi.org/",""),"http://doi.org/",""),"https://dx.doi.org/",""),"doi:","")))</x:f>
      </x:c>
      <x:c r="X77" s="174"/>
      <x:c r="Y77" s="174"/>
      <x:c r="Z77" s="174"/>
      <x:c r="AA77" s="174"/>
      <x:c r="AB77" s="174"/>
      <x:c r="AC77" s="174"/>
      <x:c r="AD77" s="177"/>
      <x:c r="AE77" s="177"/>
      <x:c r="AF77" s="174"/>
      <x:c r="AG77" s="174"/>
      <x:c r="AH77" s="174"/>
      <x:c r="AI77" s="174"/>
      <x:c r="AJ77" s="174"/>
      <x:c r="AK77" s="175" t="str">
        <x:f>IF(AJ77="","",IF(OR(LOWER(AJ77)="brazil",LOWER(AJ77)="brasil"),"Yes","No"))</x:f>
      </x:c>
      <x:c r="AL77" s="174"/>
      <x:c r="AM77" s="174"/>
      <x:c r="AN77" s="174"/>
      <x:c r="AO77" s="178"/>
      <x:c r="AP77" s="174"/>
      <x:c r="AQ77" s="174"/>
      <x:c r="AR77" s="174"/>
      <x:c r="AS77" s="174"/>
      <x:c r="AT77" s="174"/>
      <x:c r="AU77" s="174"/>
      <x:c r="AV77" s="174"/>
      <x:c r="AW77" s="174"/>
      <x:c r="AX77" s="174"/>
      <x:c r="AY77" s="174"/>
      <x:c r="AZ77" s="174"/>
      <x:c r="BA77" s="174"/>
      <x:c r="BB77" s="174"/>
      <x:c r="BC77" s="174"/>
      <x:c r="BD77" s="174"/>
      <x:c r="BE77" s="174"/>
      <x:c r="BF77" s="174"/>
      <x:c r="BG77" s="174"/>
      <x:c r="BH77" s="174"/>
      <x:c r="BI77" s="174"/>
      <x:c r="BJ77" s="174"/>
      <x:c r="BK77" s="174"/>
      <x:c r="BL77" s="174"/>
      <x:c r="BM77" s="174"/>
      <x:c r="BN77" s="174"/>
      <x:c r="BO77" s="174"/>
      <x:c r="BP77" s="174"/>
      <x:c r="BQ77" s="174"/>
      <x:c r="BR77" s="174"/>
      <x:c r="BS77" s="174"/>
      <x:c r="BT77" s="174"/>
      <x:c r="BU77" s="174"/>
      <x:c r="BV77" s="174"/>
      <x:c r="BW77" s="174"/>
      <x:c r="BX77" s="174"/>
      <x:c r="BY77" s="174"/>
      <x:c r="BZ77" s="174"/>
      <x:c r="CA77" s="174"/>
      <x:c r="CB77" s="174"/>
      <x:c r="CC77" s="174"/>
      <x:c r="CD77" s="174"/>
      <x:c r="CE77" s="174"/>
      <x:c r="CF77" s="174"/>
      <x:c r="CG77" s="174"/>
      <x:c r="CH77" s="174"/>
      <x:c r="CI77" s="179"/>
      <x:c r="CJ77" s="174"/>
      <x:c r="CK77" s="174"/>
      <x:c r="CL77" s="174"/>
      <x:c r="CM77" s="174"/>
      <x:c r="CN77" s="174"/>
      <x:c r="CO77" s="177"/>
      <x:c r="CP77" s="174"/>
      <x:c r="CQ77" s="174"/>
      <x:c r="CR77" s="174"/>
      <x:c r="CS77" s="174"/>
      <x:c r="CT77" s="174"/>
      <x:c r="CU77" s="176"/>
      <x:c r="CV77" s="176"/>
      <x:c r="CW77" s="176"/>
      <x:c r="CX77" s="176"/>
      <x:c r="CY77" s="176"/>
      <x:c r="CZ77" s="176"/>
      <x:c r="DA77" s="176"/>
      <x:c r="DB77" s="175" t="str">
        <x:f>IF(L77="","",IF(COUNT(CU77:DA77)&lt;7,"",SUM(CU77:DA77)))</x:f>
      </x:c>
      <x:c r="DC77" s="180" t="str">
        <x:f>IF(DB77="","",ROUND(DB77/14*10,1))</x:f>
      </x:c>
      <x:c r="DD77" s="174"/>
      <x:c r="DE77" s="175" t="str">
        <x:f>IF(L77="","",IF(DC77="","Pending",IF(DD77="Yes","CONDITIONAL — safety override",IF(DC77&gt;=8,"HIGH",IF(DC77&gt;=5,"CONDITIONAL","LOW")))))</x:f>
      </x:c>
      <x:c r="DF77" s="174"/>
      <x:c r="DG77" s="174"/>
      <x:c r="DH77" s="174"/>
      <x:c r="DI77" s="174"/>
      <x:c r="DJ77" s="174"/>
      <x:c r="DK77" s="174"/>
      <x:c r="DL77" s="174"/>
      <x:c r="DM77" s="174"/>
      <x:c r="DN77" s="174"/>
      <x:c r="DO77" s="174"/>
      <x:c r="DP77" s="174"/>
      <x:c r="DQ77" s="174"/>
      <x:c r="DR77" s="174"/>
      <x:c r="DS77" s="174"/>
      <x:c r="DT77" s="174"/>
      <x:c r="DU77" s="174"/>
      <x:c r="DV77" s="174"/>
      <x:c r="DW77" s="174"/>
      <x:c r="DX77" s="174"/>
      <x:c r="DY77" s="174"/>
      <x:c r="DZ77" s="174"/>
      <x:c r="EA77" s="174"/>
      <x:c r="EB77" s="175" t="str">
        <x:f>IF(L77="","",IF(AND(F77="Claim-ready",CJ77="Yes",CL77="Yes",DZ77&lt;&gt;""),"Yes","No / Pending"))</x:f>
      </x:c>
      <x:c r="EC77" s="174"/>
      <x:c r="ED77" s="174"/>
      <x:c r="EE77" s="174"/>
      <x:c r="EF77" s="174"/>
      <x:c r="EG77" s="174"/>
      <x:c r="EH77" s="177"/>
      <x:c r="EI77" s="174"/>
      <x:c r="EJ77" s="174"/>
      <x:c r="EK77" s="174"/>
      <x:c r="EL77" s="177"/>
      <x:c r="EM77" s="174"/>
      <x:c r="EN77" s="181" t="str">
        <x:f>IF(L77="","",(IF(N77&lt;&gt;"",1,0)+IF(O77&lt;&gt;"",1,0)+IF(AJ77&lt;&gt;"",1,0)+IF(AU77&lt;&gt;"",1,0)+IF(BE77&lt;&gt;"",1,0)+IF(CF77&lt;&gt;"",1,0)+IF(CJ77="Yes",1,0)+IF(CL77="Yes",1,0)+IF(DE77&lt;&gt;"Pending",1,0)+IF(F77&lt;&gt;"",1,0)+IF(DZ77&lt;&gt;"",1,0)+IF(EI77&lt;&gt;"",1,0))/12)</x:f>
      </x:c>
    </x:row>
    <x:row r="78">
      <x:c r="A78" s="175" t="str">
        <x:f>IF(L78="","","EV-"&amp;TEXT(ROW()-3,"0000"))</x:f>
      </x:c>
      <x:c r="B78" s="174"/>
      <x:c r="C78" s="175" t="str">
        <x:f>IF(L78="","",IF(OR(CM78="Retracted",CN78="Retracted",F78="Not used"),"🔴 Do not use for conclusion",IF(OR(R78="Official / Institutional",I78="Official / contextual"),"🔵 Official / contextual",IF(OR(I78="Definition",I78="Framework",I78="Paradigm shift"),"🟣 Conceptual key source",IF(AND(CJ78="Yes",CL78="Yes",OR(CG78="High",CG78="Moderate"),CH78&lt;&gt;"High",CH78&lt;&gt;"Critical",F78="Claim-ready"),"🟢 Claim-ready","🟡 Caution / context")))))</x:f>
      </x:c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6"/>
      <x:c r="P78" s="174"/>
      <x:c r="Q78" s="174"/>
      <x:c r="R78" s="174"/>
      <x:c r="S78" s="174"/>
      <x:c r="T78" s="174"/>
      <x:c r="U78" s="174"/>
      <x:c r="V78" s="174"/>
      <x:c r="W78" s="175" t="str">
        <x:f>IF(V78="","",LOWER(SUBSTITUTE(SUBSTITUTE(SUBSTITUTE(SUBSTITUTE(TRIM(V78),"https://doi.org/",""),"http://doi.org/",""),"https://dx.doi.org/",""),"doi:","")))</x:f>
      </x:c>
      <x:c r="X78" s="174"/>
      <x:c r="Y78" s="174"/>
      <x:c r="Z78" s="174"/>
      <x:c r="AA78" s="174"/>
      <x:c r="AB78" s="174"/>
      <x:c r="AC78" s="174"/>
      <x:c r="AD78" s="177"/>
      <x:c r="AE78" s="177"/>
      <x:c r="AF78" s="174"/>
      <x:c r="AG78" s="174"/>
      <x:c r="AH78" s="174"/>
      <x:c r="AI78" s="174"/>
      <x:c r="AJ78" s="174"/>
      <x:c r="AK78" s="175" t="str">
        <x:f>IF(AJ78="","",IF(OR(LOWER(AJ78)="brazil",LOWER(AJ78)="brasil"),"Yes","No"))</x:f>
      </x:c>
      <x:c r="AL78" s="174"/>
      <x:c r="AM78" s="174"/>
      <x:c r="AN78" s="174"/>
      <x:c r="AO78" s="178"/>
      <x:c r="AP78" s="174"/>
      <x:c r="AQ78" s="174"/>
      <x:c r="AR78" s="174"/>
      <x:c r="AS78" s="174"/>
      <x:c r="AT78" s="174"/>
      <x:c r="AU78" s="174"/>
      <x:c r="AV78" s="174"/>
      <x:c r="AW78" s="174"/>
      <x:c r="AX78" s="174"/>
      <x:c r="AY78" s="174"/>
      <x:c r="AZ78" s="174"/>
      <x:c r="BA78" s="174"/>
      <x:c r="BB78" s="174"/>
      <x:c r="BC78" s="174"/>
      <x:c r="BD78" s="174"/>
      <x:c r="BE78" s="174"/>
      <x:c r="BF78" s="174"/>
      <x:c r="BG78" s="174"/>
      <x:c r="BH78" s="174"/>
      <x:c r="BI78" s="174"/>
      <x:c r="BJ78" s="174"/>
      <x:c r="BK78" s="174"/>
      <x:c r="BL78" s="174"/>
      <x:c r="BM78" s="174"/>
      <x:c r="BN78" s="174"/>
      <x:c r="BO78" s="174"/>
      <x:c r="BP78" s="174"/>
      <x:c r="BQ78" s="174"/>
      <x:c r="BR78" s="174"/>
      <x:c r="BS78" s="174"/>
      <x:c r="BT78" s="174"/>
      <x:c r="BU78" s="174"/>
      <x:c r="BV78" s="174"/>
      <x:c r="BW78" s="174"/>
      <x:c r="BX78" s="174"/>
      <x:c r="BY78" s="174"/>
      <x:c r="BZ78" s="174"/>
      <x:c r="CA78" s="174"/>
      <x:c r="CB78" s="174"/>
      <x:c r="CC78" s="174"/>
      <x:c r="CD78" s="174"/>
      <x:c r="CE78" s="174"/>
      <x:c r="CF78" s="174"/>
      <x:c r="CG78" s="174"/>
      <x:c r="CH78" s="174"/>
      <x:c r="CI78" s="179"/>
      <x:c r="CJ78" s="174"/>
      <x:c r="CK78" s="174"/>
      <x:c r="CL78" s="174"/>
      <x:c r="CM78" s="174"/>
      <x:c r="CN78" s="174"/>
      <x:c r="CO78" s="177"/>
      <x:c r="CP78" s="174"/>
      <x:c r="CQ78" s="174"/>
      <x:c r="CR78" s="174"/>
      <x:c r="CS78" s="174"/>
      <x:c r="CT78" s="174"/>
      <x:c r="CU78" s="176"/>
      <x:c r="CV78" s="176"/>
      <x:c r="CW78" s="176"/>
      <x:c r="CX78" s="176"/>
      <x:c r="CY78" s="176"/>
      <x:c r="CZ78" s="176"/>
      <x:c r="DA78" s="176"/>
      <x:c r="DB78" s="175" t="str">
        <x:f>IF(L78="","",IF(COUNT(CU78:DA78)&lt;7,"",SUM(CU78:DA78)))</x:f>
      </x:c>
      <x:c r="DC78" s="180" t="str">
        <x:f>IF(DB78="","",ROUND(DB78/14*10,1))</x:f>
      </x:c>
      <x:c r="DD78" s="174"/>
      <x:c r="DE78" s="175" t="str">
        <x:f>IF(L78="","",IF(DC78="","Pending",IF(DD78="Yes","CONDITIONAL — safety override",IF(DC78&gt;=8,"HIGH",IF(DC78&gt;=5,"CONDITIONAL","LOW")))))</x:f>
      </x:c>
      <x:c r="DF78" s="174"/>
      <x:c r="DG78" s="174"/>
      <x:c r="DH78" s="174"/>
      <x:c r="DI78" s="174"/>
      <x:c r="DJ78" s="174"/>
      <x:c r="DK78" s="174"/>
      <x:c r="DL78" s="174"/>
      <x:c r="DM78" s="174"/>
      <x:c r="DN78" s="174"/>
      <x:c r="DO78" s="174"/>
      <x:c r="DP78" s="174"/>
      <x:c r="DQ78" s="174"/>
      <x:c r="DR78" s="174"/>
      <x:c r="DS78" s="174"/>
      <x:c r="DT78" s="174"/>
      <x:c r="DU78" s="174"/>
      <x:c r="DV78" s="174"/>
      <x:c r="DW78" s="174"/>
      <x:c r="DX78" s="174"/>
      <x:c r="DY78" s="174"/>
      <x:c r="DZ78" s="174"/>
      <x:c r="EA78" s="174"/>
      <x:c r="EB78" s="175" t="str">
        <x:f>IF(L78="","",IF(AND(F78="Claim-ready",CJ78="Yes",CL78="Yes",DZ78&lt;&gt;""),"Yes","No / Pending"))</x:f>
      </x:c>
      <x:c r="EC78" s="174"/>
      <x:c r="ED78" s="174"/>
      <x:c r="EE78" s="174"/>
      <x:c r="EF78" s="174"/>
      <x:c r="EG78" s="174"/>
      <x:c r="EH78" s="177"/>
      <x:c r="EI78" s="174"/>
      <x:c r="EJ78" s="174"/>
      <x:c r="EK78" s="174"/>
      <x:c r="EL78" s="177"/>
      <x:c r="EM78" s="174"/>
      <x:c r="EN78" s="181" t="str">
        <x:f>IF(L78="","",(IF(N78&lt;&gt;"",1,0)+IF(O78&lt;&gt;"",1,0)+IF(AJ78&lt;&gt;"",1,0)+IF(AU78&lt;&gt;"",1,0)+IF(BE78&lt;&gt;"",1,0)+IF(CF78&lt;&gt;"",1,0)+IF(CJ78="Yes",1,0)+IF(CL78="Yes",1,0)+IF(DE78&lt;&gt;"Pending",1,0)+IF(F78&lt;&gt;"",1,0)+IF(DZ78&lt;&gt;"",1,0)+IF(EI78&lt;&gt;"",1,0))/12)</x:f>
      </x:c>
    </x:row>
    <x:row r="79">
      <x:c r="A79" s="175" t="str">
        <x:f>IF(L79="","","EV-"&amp;TEXT(ROW()-3,"0000"))</x:f>
      </x:c>
      <x:c r="B79" s="174"/>
      <x:c r="C79" s="175" t="str">
        <x:f>IF(L79="","",IF(OR(CM79="Retracted",CN79="Retracted",F79="Not used"),"🔴 Do not use for conclusion",IF(OR(R79="Official / Institutional",I79="Official / contextual"),"🔵 Official / contextual",IF(OR(I79="Definition",I79="Framework",I79="Paradigm shift"),"🟣 Conceptual key source",IF(AND(CJ79="Yes",CL79="Yes",OR(CG79="High",CG79="Moderate"),CH79&lt;&gt;"High",CH79&lt;&gt;"Critical",F79="Claim-ready"),"🟢 Claim-ready","🟡 Caution / context")))))</x:f>
      </x:c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6"/>
      <x:c r="P79" s="174"/>
      <x:c r="Q79" s="174"/>
      <x:c r="R79" s="174"/>
      <x:c r="S79" s="174"/>
      <x:c r="T79" s="174"/>
      <x:c r="U79" s="174"/>
      <x:c r="V79" s="174"/>
      <x:c r="W79" s="175" t="str">
        <x:f>IF(V79="","",LOWER(SUBSTITUTE(SUBSTITUTE(SUBSTITUTE(SUBSTITUTE(TRIM(V79),"https://doi.org/",""),"http://doi.org/",""),"https://dx.doi.org/",""),"doi:","")))</x:f>
      </x:c>
      <x:c r="X79" s="174"/>
      <x:c r="Y79" s="174"/>
      <x:c r="Z79" s="174"/>
      <x:c r="AA79" s="174"/>
      <x:c r="AB79" s="174"/>
      <x:c r="AC79" s="174"/>
      <x:c r="AD79" s="177"/>
      <x:c r="AE79" s="177"/>
      <x:c r="AF79" s="174"/>
      <x:c r="AG79" s="174"/>
      <x:c r="AH79" s="174"/>
      <x:c r="AI79" s="174"/>
      <x:c r="AJ79" s="174"/>
      <x:c r="AK79" s="175" t="str">
        <x:f>IF(AJ79="","",IF(OR(LOWER(AJ79)="brazil",LOWER(AJ79)="brasil"),"Yes","No"))</x:f>
      </x:c>
      <x:c r="AL79" s="174"/>
      <x:c r="AM79" s="174"/>
      <x:c r="AN79" s="174"/>
      <x:c r="AO79" s="178"/>
      <x:c r="AP79" s="174"/>
      <x:c r="AQ79" s="174"/>
      <x:c r="AR79" s="174"/>
      <x:c r="AS79" s="174"/>
      <x:c r="AT79" s="174"/>
      <x:c r="AU79" s="174"/>
      <x:c r="AV79" s="174"/>
      <x:c r="AW79" s="174"/>
      <x:c r="AX79" s="174"/>
      <x:c r="AY79" s="174"/>
      <x:c r="AZ79" s="174"/>
      <x:c r="BA79" s="174"/>
      <x:c r="BB79" s="174"/>
      <x:c r="BC79" s="174"/>
      <x:c r="BD79" s="174"/>
      <x:c r="BE79" s="174"/>
      <x:c r="BF79" s="174"/>
      <x:c r="BG79" s="174"/>
      <x:c r="BH79" s="174"/>
      <x:c r="BI79" s="174"/>
      <x:c r="BJ79" s="174"/>
      <x:c r="BK79" s="174"/>
      <x:c r="BL79" s="174"/>
      <x:c r="BM79" s="174"/>
      <x:c r="BN79" s="174"/>
      <x:c r="BO79" s="174"/>
      <x:c r="BP79" s="174"/>
      <x:c r="BQ79" s="174"/>
      <x:c r="BR79" s="174"/>
      <x:c r="BS79" s="174"/>
      <x:c r="BT79" s="174"/>
      <x:c r="BU79" s="174"/>
      <x:c r="BV79" s="174"/>
      <x:c r="BW79" s="174"/>
      <x:c r="BX79" s="174"/>
      <x:c r="BY79" s="174"/>
      <x:c r="BZ79" s="174"/>
      <x:c r="CA79" s="174"/>
      <x:c r="CB79" s="174"/>
      <x:c r="CC79" s="174"/>
      <x:c r="CD79" s="174"/>
      <x:c r="CE79" s="174"/>
      <x:c r="CF79" s="174"/>
      <x:c r="CG79" s="174"/>
      <x:c r="CH79" s="174"/>
      <x:c r="CI79" s="179"/>
      <x:c r="CJ79" s="174"/>
      <x:c r="CK79" s="174"/>
      <x:c r="CL79" s="174"/>
      <x:c r="CM79" s="174"/>
      <x:c r="CN79" s="174"/>
      <x:c r="CO79" s="177"/>
      <x:c r="CP79" s="174"/>
      <x:c r="CQ79" s="174"/>
      <x:c r="CR79" s="174"/>
      <x:c r="CS79" s="174"/>
      <x:c r="CT79" s="174"/>
      <x:c r="CU79" s="176"/>
      <x:c r="CV79" s="176"/>
      <x:c r="CW79" s="176"/>
      <x:c r="CX79" s="176"/>
      <x:c r="CY79" s="176"/>
      <x:c r="CZ79" s="176"/>
      <x:c r="DA79" s="176"/>
      <x:c r="DB79" s="175" t="str">
        <x:f>IF(L79="","",IF(COUNT(CU79:DA79)&lt;7,"",SUM(CU79:DA79)))</x:f>
      </x:c>
      <x:c r="DC79" s="180" t="str">
        <x:f>IF(DB79="","",ROUND(DB79/14*10,1))</x:f>
      </x:c>
      <x:c r="DD79" s="174"/>
      <x:c r="DE79" s="175" t="str">
        <x:f>IF(L79="","",IF(DC79="","Pending",IF(DD79="Yes","CONDITIONAL — safety override",IF(DC79&gt;=8,"HIGH",IF(DC79&gt;=5,"CONDITIONAL","LOW")))))</x:f>
      </x:c>
      <x:c r="DF79" s="174"/>
      <x:c r="DG79" s="174"/>
      <x:c r="DH79" s="174"/>
      <x:c r="DI79" s="174"/>
      <x:c r="DJ79" s="174"/>
      <x:c r="DK79" s="174"/>
      <x:c r="DL79" s="174"/>
      <x:c r="DM79" s="174"/>
      <x:c r="DN79" s="174"/>
      <x:c r="DO79" s="174"/>
      <x:c r="DP79" s="174"/>
      <x:c r="DQ79" s="174"/>
      <x:c r="DR79" s="174"/>
      <x:c r="DS79" s="174"/>
      <x:c r="DT79" s="174"/>
      <x:c r="DU79" s="174"/>
      <x:c r="DV79" s="174"/>
      <x:c r="DW79" s="174"/>
      <x:c r="DX79" s="174"/>
      <x:c r="DY79" s="174"/>
      <x:c r="DZ79" s="174"/>
      <x:c r="EA79" s="174"/>
      <x:c r="EB79" s="175" t="str">
        <x:f>IF(L79="","",IF(AND(F79="Claim-ready",CJ79="Yes",CL79="Yes",DZ79&lt;&gt;""),"Yes","No / Pending"))</x:f>
      </x:c>
      <x:c r="EC79" s="174"/>
      <x:c r="ED79" s="174"/>
      <x:c r="EE79" s="174"/>
      <x:c r="EF79" s="174"/>
      <x:c r="EG79" s="174"/>
      <x:c r="EH79" s="177"/>
      <x:c r="EI79" s="174"/>
      <x:c r="EJ79" s="174"/>
      <x:c r="EK79" s="174"/>
      <x:c r="EL79" s="177"/>
      <x:c r="EM79" s="174"/>
      <x:c r="EN79" s="181" t="str">
        <x:f>IF(L79="","",(IF(N79&lt;&gt;"",1,0)+IF(O79&lt;&gt;"",1,0)+IF(AJ79&lt;&gt;"",1,0)+IF(AU79&lt;&gt;"",1,0)+IF(BE79&lt;&gt;"",1,0)+IF(CF79&lt;&gt;"",1,0)+IF(CJ79="Yes",1,0)+IF(CL79="Yes",1,0)+IF(DE79&lt;&gt;"Pending",1,0)+IF(F79&lt;&gt;"",1,0)+IF(DZ79&lt;&gt;"",1,0)+IF(EI79&lt;&gt;"",1,0))/12)</x:f>
      </x:c>
    </x:row>
    <x:row r="80">
      <x:c r="A80" s="175" t="str">
        <x:f>IF(L80="","","EV-"&amp;TEXT(ROW()-3,"0000"))</x:f>
      </x:c>
      <x:c r="B80" s="174"/>
      <x:c r="C80" s="175" t="str">
        <x:f>IF(L80="","",IF(OR(CM80="Retracted",CN80="Retracted",F80="Not used"),"🔴 Do not use for conclusion",IF(OR(R80="Official / Institutional",I80="Official / contextual"),"🔵 Official / contextual",IF(OR(I80="Definition",I80="Framework",I80="Paradigm shift"),"🟣 Conceptual key source",IF(AND(CJ80="Yes",CL80="Yes",OR(CG80="High",CG80="Moderate"),CH80&lt;&gt;"High",CH80&lt;&gt;"Critical",F80="Claim-ready"),"🟢 Claim-ready","🟡 Caution / context")))))</x:f>
      </x:c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6"/>
      <x:c r="P80" s="174"/>
      <x:c r="Q80" s="174"/>
      <x:c r="R80" s="174"/>
      <x:c r="S80" s="174"/>
      <x:c r="T80" s="174"/>
      <x:c r="U80" s="174"/>
      <x:c r="V80" s="174"/>
      <x:c r="W80" s="175" t="str">
        <x:f>IF(V80="","",LOWER(SUBSTITUTE(SUBSTITUTE(SUBSTITUTE(SUBSTITUTE(TRIM(V80),"https://doi.org/",""),"http://doi.org/",""),"https://dx.doi.org/",""),"doi:","")))</x:f>
      </x:c>
      <x:c r="X80" s="174"/>
      <x:c r="Y80" s="174"/>
      <x:c r="Z80" s="174"/>
      <x:c r="AA80" s="174"/>
      <x:c r="AB80" s="174"/>
      <x:c r="AC80" s="174"/>
      <x:c r="AD80" s="177"/>
      <x:c r="AE80" s="177"/>
      <x:c r="AF80" s="174"/>
      <x:c r="AG80" s="174"/>
      <x:c r="AH80" s="174"/>
      <x:c r="AI80" s="174"/>
      <x:c r="AJ80" s="174"/>
      <x:c r="AK80" s="175" t="str">
        <x:f>IF(AJ80="","",IF(OR(LOWER(AJ80)="brazil",LOWER(AJ80)="brasil"),"Yes","No"))</x:f>
      </x:c>
      <x:c r="AL80" s="174"/>
      <x:c r="AM80" s="174"/>
      <x:c r="AN80" s="174"/>
      <x:c r="AO80" s="178"/>
      <x:c r="AP80" s="174"/>
      <x:c r="AQ80" s="174"/>
      <x:c r="AR80" s="174"/>
      <x:c r="AS80" s="174"/>
      <x:c r="AT80" s="174"/>
      <x:c r="AU80" s="174"/>
      <x:c r="AV80" s="174"/>
      <x:c r="AW80" s="174"/>
      <x:c r="AX80" s="174"/>
      <x:c r="AY80" s="174"/>
      <x:c r="AZ80" s="174"/>
      <x:c r="BA80" s="174"/>
      <x:c r="BB80" s="174"/>
      <x:c r="BC80" s="174"/>
      <x:c r="BD80" s="174"/>
      <x:c r="BE80" s="174"/>
      <x:c r="BF80" s="174"/>
      <x:c r="BG80" s="174"/>
      <x:c r="BH80" s="174"/>
      <x:c r="BI80" s="174"/>
      <x:c r="BJ80" s="174"/>
      <x:c r="BK80" s="174"/>
      <x:c r="BL80" s="174"/>
      <x:c r="BM80" s="174"/>
      <x:c r="BN80" s="174"/>
      <x:c r="BO80" s="174"/>
      <x:c r="BP80" s="174"/>
      <x:c r="BQ80" s="174"/>
      <x:c r="BR80" s="174"/>
      <x:c r="BS80" s="174"/>
      <x:c r="BT80" s="174"/>
      <x:c r="BU80" s="174"/>
      <x:c r="BV80" s="174"/>
      <x:c r="BW80" s="174"/>
      <x:c r="BX80" s="174"/>
      <x:c r="BY80" s="174"/>
      <x:c r="BZ80" s="174"/>
      <x:c r="CA80" s="174"/>
      <x:c r="CB80" s="174"/>
      <x:c r="CC80" s="174"/>
      <x:c r="CD80" s="174"/>
      <x:c r="CE80" s="174"/>
      <x:c r="CF80" s="174"/>
      <x:c r="CG80" s="174"/>
      <x:c r="CH80" s="174"/>
      <x:c r="CI80" s="179"/>
      <x:c r="CJ80" s="174"/>
      <x:c r="CK80" s="174"/>
      <x:c r="CL80" s="174"/>
      <x:c r="CM80" s="174"/>
      <x:c r="CN80" s="174"/>
      <x:c r="CO80" s="177"/>
      <x:c r="CP80" s="174"/>
      <x:c r="CQ80" s="174"/>
      <x:c r="CR80" s="174"/>
      <x:c r="CS80" s="174"/>
      <x:c r="CT80" s="174"/>
      <x:c r="CU80" s="176"/>
      <x:c r="CV80" s="176"/>
      <x:c r="CW80" s="176"/>
      <x:c r="CX80" s="176"/>
      <x:c r="CY80" s="176"/>
      <x:c r="CZ80" s="176"/>
      <x:c r="DA80" s="176"/>
      <x:c r="DB80" s="175" t="str">
        <x:f>IF(L80="","",IF(COUNT(CU80:DA80)&lt;7,"",SUM(CU80:DA80)))</x:f>
      </x:c>
      <x:c r="DC80" s="180" t="str">
        <x:f>IF(DB80="","",ROUND(DB80/14*10,1))</x:f>
      </x:c>
      <x:c r="DD80" s="174"/>
      <x:c r="DE80" s="175" t="str">
        <x:f>IF(L80="","",IF(DC80="","Pending",IF(DD80="Yes","CONDITIONAL — safety override",IF(DC80&gt;=8,"HIGH",IF(DC80&gt;=5,"CONDITIONAL","LOW")))))</x:f>
      </x:c>
      <x:c r="DF80" s="174"/>
      <x:c r="DG80" s="174"/>
      <x:c r="DH80" s="174"/>
      <x:c r="DI80" s="174"/>
      <x:c r="DJ80" s="174"/>
      <x:c r="DK80" s="174"/>
      <x:c r="DL80" s="174"/>
      <x:c r="DM80" s="174"/>
      <x:c r="DN80" s="174"/>
      <x:c r="DO80" s="174"/>
      <x:c r="DP80" s="174"/>
      <x:c r="DQ80" s="174"/>
      <x:c r="DR80" s="174"/>
      <x:c r="DS80" s="174"/>
      <x:c r="DT80" s="174"/>
      <x:c r="DU80" s="174"/>
      <x:c r="DV80" s="174"/>
      <x:c r="DW80" s="174"/>
      <x:c r="DX80" s="174"/>
      <x:c r="DY80" s="174"/>
      <x:c r="DZ80" s="174"/>
      <x:c r="EA80" s="174"/>
      <x:c r="EB80" s="175" t="str">
        <x:f>IF(L80="","",IF(AND(F80="Claim-ready",CJ80="Yes",CL80="Yes",DZ80&lt;&gt;""),"Yes","No / Pending"))</x:f>
      </x:c>
      <x:c r="EC80" s="174"/>
      <x:c r="ED80" s="174"/>
      <x:c r="EE80" s="174"/>
      <x:c r="EF80" s="174"/>
      <x:c r="EG80" s="174"/>
      <x:c r="EH80" s="177"/>
      <x:c r="EI80" s="174"/>
      <x:c r="EJ80" s="174"/>
      <x:c r="EK80" s="174"/>
      <x:c r="EL80" s="177"/>
      <x:c r="EM80" s="174"/>
      <x:c r="EN80" s="181" t="str">
        <x:f>IF(L80="","",(IF(N80&lt;&gt;"",1,0)+IF(O80&lt;&gt;"",1,0)+IF(AJ80&lt;&gt;"",1,0)+IF(AU80&lt;&gt;"",1,0)+IF(BE80&lt;&gt;"",1,0)+IF(CF80&lt;&gt;"",1,0)+IF(CJ80="Yes",1,0)+IF(CL80="Yes",1,0)+IF(DE80&lt;&gt;"Pending",1,0)+IF(F80&lt;&gt;"",1,0)+IF(DZ80&lt;&gt;"",1,0)+IF(EI80&lt;&gt;"",1,0))/12)</x:f>
      </x:c>
    </x:row>
    <x:row r="81">
      <x:c r="A81" s="175" t="str">
        <x:f>IF(L81="","","EV-"&amp;TEXT(ROW()-3,"0000"))</x:f>
      </x:c>
      <x:c r="B81" s="174"/>
      <x:c r="C81" s="175" t="str">
        <x:f>IF(L81="","",IF(OR(CM81="Retracted",CN81="Retracted",F81="Not used"),"🔴 Do not use for conclusion",IF(OR(R81="Official / Institutional",I81="Official / contextual"),"🔵 Official / contextual",IF(OR(I81="Definition",I81="Framework",I81="Paradigm shift"),"🟣 Conceptual key source",IF(AND(CJ81="Yes",CL81="Yes",OR(CG81="High",CG81="Moderate"),CH81&lt;&gt;"High",CH81&lt;&gt;"Critical",F81="Claim-ready"),"🟢 Claim-ready","🟡 Caution / context")))))</x:f>
      </x:c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6"/>
      <x:c r="P81" s="174"/>
      <x:c r="Q81" s="174"/>
      <x:c r="R81" s="174"/>
      <x:c r="S81" s="174"/>
      <x:c r="T81" s="174"/>
      <x:c r="U81" s="174"/>
      <x:c r="V81" s="174"/>
      <x:c r="W81" s="175" t="str">
        <x:f>IF(V81="","",LOWER(SUBSTITUTE(SUBSTITUTE(SUBSTITUTE(SUBSTITUTE(TRIM(V81),"https://doi.org/",""),"http://doi.org/",""),"https://dx.doi.org/",""),"doi:","")))</x:f>
      </x:c>
      <x:c r="X81" s="174"/>
      <x:c r="Y81" s="174"/>
      <x:c r="Z81" s="174"/>
      <x:c r="AA81" s="174"/>
      <x:c r="AB81" s="174"/>
      <x:c r="AC81" s="174"/>
      <x:c r="AD81" s="177"/>
      <x:c r="AE81" s="177"/>
      <x:c r="AF81" s="174"/>
      <x:c r="AG81" s="174"/>
      <x:c r="AH81" s="174"/>
      <x:c r="AI81" s="174"/>
      <x:c r="AJ81" s="174"/>
      <x:c r="AK81" s="175" t="str">
        <x:f>IF(AJ81="","",IF(OR(LOWER(AJ81)="brazil",LOWER(AJ81)="brasil"),"Yes","No"))</x:f>
      </x:c>
      <x:c r="AL81" s="174"/>
      <x:c r="AM81" s="174"/>
      <x:c r="AN81" s="174"/>
      <x:c r="AO81" s="178"/>
      <x:c r="AP81" s="174"/>
      <x:c r="AQ81" s="174"/>
      <x:c r="AR81" s="174"/>
      <x:c r="AS81" s="174"/>
      <x:c r="AT81" s="174"/>
      <x:c r="AU81" s="174"/>
      <x:c r="AV81" s="174"/>
      <x:c r="AW81" s="174"/>
      <x:c r="AX81" s="174"/>
      <x:c r="AY81" s="174"/>
      <x:c r="AZ81" s="174"/>
      <x:c r="BA81" s="174"/>
      <x:c r="BB81" s="174"/>
      <x:c r="BC81" s="174"/>
      <x:c r="BD81" s="174"/>
      <x:c r="BE81" s="174"/>
      <x:c r="BF81" s="174"/>
      <x:c r="BG81" s="174"/>
      <x:c r="BH81" s="174"/>
      <x:c r="BI81" s="174"/>
      <x:c r="BJ81" s="174"/>
      <x:c r="BK81" s="174"/>
      <x:c r="BL81" s="174"/>
      <x:c r="BM81" s="174"/>
      <x:c r="BN81" s="174"/>
      <x:c r="BO81" s="174"/>
      <x:c r="BP81" s="174"/>
      <x:c r="BQ81" s="174"/>
      <x:c r="BR81" s="174"/>
      <x:c r="BS81" s="174"/>
      <x:c r="BT81" s="174"/>
      <x:c r="BU81" s="174"/>
      <x:c r="BV81" s="174"/>
      <x:c r="BW81" s="174"/>
      <x:c r="BX81" s="174"/>
      <x:c r="BY81" s="174"/>
      <x:c r="BZ81" s="174"/>
      <x:c r="CA81" s="174"/>
      <x:c r="CB81" s="174"/>
      <x:c r="CC81" s="174"/>
      <x:c r="CD81" s="174"/>
      <x:c r="CE81" s="174"/>
      <x:c r="CF81" s="174"/>
      <x:c r="CG81" s="174"/>
      <x:c r="CH81" s="174"/>
      <x:c r="CI81" s="179"/>
      <x:c r="CJ81" s="174"/>
      <x:c r="CK81" s="174"/>
      <x:c r="CL81" s="174"/>
      <x:c r="CM81" s="174"/>
      <x:c r="CN81" s="174"/>
      <x:c r="CO81" s="177"/>
      <x:c r="CP81" s="174"/>
      <x:c r="CQ81" s="174"/>
      <x:c r="CR81" s="174"/>
      <x:c r="CS81" s="174"/>
      <x:c r="CT81" s="174"/>
      <x:c r="CU81" s="176"/>
      <x:c r="CV81" s="176"/>
      <x:c r="CW81" s="176"/>
      <x:c r="CX81" s="176"/>
      <x:c r="CY81" s="176"/>
      <x:c r="CZ81" s="176"/>
      <x:c r="DA81" s="176"/>
      <x:c r="DB81" s="175" t="str">
        <x:f>IF(L81="","",IF(COUNT(CU81:DA81)&lt;7,"",SUM(CU81:DA81)))</x:f>
      </x:c>
      <x:c r="DC81" s="180" t="str">
        <x:f>IF(DB81="","",ROUND(DB81/14*10,1))</x:f>
      </x:c>
      <x:c r="DD81" s="174"/>
      <x:c r="DE81" s="175" t="str">
        <x:f>IF(L81="","",IF(DC81="","Pending",IF(DD81="Yes","CONDITIONAL — safety override",IF(DC81&gt;=8,"HIGH",IF(DC81&gt;=5,"CONDITIONAL","LOW")))))</x:f>
      </x:c>
      <x:c r="DF81" s="174"/>
      <x:c r="DG81" s="174"/>
      <x:c r="DH81" s="174"/>
      <x:c r="DI81" s="174"/>
      <x:c r="DJ81" s="174"/>
      <x:c r="DK81" s="174"/>
      <x:c r="DL81" s="174"/>
      <x:c r="DM81" s="174"/>
      <x:c r="DN81" s="174"/>
      <x:c r="DO81" s="174"/>
      <x:c r="DP81" s="174"/>
      <x:c r="DQ81" s="174"/>
      <x:c r="DR81" s="174"/>
      <x:c r="DS81" s="174"/>
      <x:c r="DT81" s="174"/>
      <x:c r="DU81" s="174"/>
      <x:c r="DV81" s="174"/>
      <x:c r="DW81" s="174"/>
      <x:c r="DX81" s="174"/>
      <x:c r="DY81" s="174"/>
      <x:c r="DZ81" s="174"/>
      <x:c r="EA81" s="174"/>
      <x:c r="EB81" s="175" t="str">
        <x:f>IF(L81="","",IF(AND(F81="Claim-ready",CJ81="Yes",CL81="Yes",DZ81&lt;&gt;""),"Yes","No / Pending"))</x:f>
      </x:c>
      <x:c r="EC81" s="174"/>
      <x:c r="ED81" s="174"/>
      <x:c r="EE81" s="174"/>
      <x:c r="EF81" s="174"/>
      <x:c r="EG81" s="174"/>
      <x:c r="EH81" s="177"/>
      <x:c r="EI81" s="174"/>
      <x:c r="EJ81" s="174"/>
      <x:c r="EK81" s="174"/>
      <x:c r="EL81" s="177"/>
      <x:c r="EM81" s="174"/>
      <x:c r="EN81" s="181" t="str">
        <x:f>IF(L81="","",(IF(N81&lt;&gt;"",1,0)+IF(O81&lt;&gt;"",1,0)+IF(AJ81&lt;&gt;"",1,0)+IF(AU81&lt;&gt;"",1,0)+IF(BE81&lt;&gt;"",1,0)+IF(CF81&lt;&gt;"",1,0)+IF(CJ81="Yes",1,0)+IF(CL81="Yes",1,0)+IF(DE81&lt;&gt;"Pending",1,0)+IF(F81&lt;&gt;"",1,0)+IF(DZ81&lt;&gt;"",1,0)+IF(EI81&lt;&gt;"",1,0))/12)</x:f>
      </x:c>
    </x:row>
    <x:row r="82">
      <x:c r="A82" s="175" t="str">
        <x:f>IF(L82="","","EV-"&amp;TEXT(ROW()-3,"0000"))</x:f>
      </x:c>
      <x:c r="B82" s="174"/>
      <x:c r="C82" s="175" t="str">
        <x:f>IF(L82="","",IF(OR(CM82="Retracted",CN82="Retracted",F82="Not used"),"🔴 Do not use for conclusion",IF(OR(R82="Official / Institutional",I82="Official / contextual"),"🔵 Official / contextual",IF(OR(I82="Definition",I82="Framework",I82="Paradigm shift"),"🟣 Conceptual key source",IF(AND(CJ82="Yes",CL82="Yes",OR(CG82="High",CG82="Moderate"),CH82&lt;&gt;"High",CH82&lt;&gt;"Critical",F82="Claim-ready"),"🟢 Claim-ready","🟡 Caution / context")))))</x:f>
      </x:c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6"/>
      <x:c r="P82" s="174"/>
      <x:c r="Q82" s="174"/>
      <x:c r="R82" s="174"/>
      <x:c r="S82" s="174"/>
      <x:c r="T82" s="174"/>
      <x:c r="U82" s="174"/>
      <x:c r="V82" s="174"/>
      <x:c r="W82" s="175" t="str">
        <x:f>IF(V82="","",LOWER(SUBSTITUTE(SUBSTITUTE(SUBSTITUTE(SUBSTITUTE(TRIM(V82),"https://doi.org/",""),"http://doi.org/",""),"https://dx.doi.org/",""),"doi:","")))</x:f>
      </x:c>
      <x:c r="X82" s="174"/>
      <x:c r="Y82" s="174"/>
      <x:c r="Z82" s="174"/>
      <x:c r="AA82" s="174"/>
      <x:c r="AB82" s="174"/>
      <x:c r="AC82" s="174"/>
      <x:c r="AD82" s="177"/>
      <x:c r="AE82" s="177"/>
      <x:c r="AF82" s="174"/>
      <x:c r="AG82" s="174"/>
      <x:c r="AH82" s="174"/>
      <x:c r="AI82" s="174"/>
      <x:c r="AJ82" s="174"/>
      <x:c r="AK82" s="175" t="str">
        <x:f>IF(AJ82="","",IF(OR(LOWER(AJ82)="brazil",LOWER(AJ82)="brasil"),"Yes","No"))</x:f>
      </x:c>
      <x:c r="AL82" s="174"/>
      <x:c r="AM82" s="174"/>
      <x:c r="AN82" s="174"/>
      <x:c r="AO82" s="178"/>
      <x:c r="AP82" s="174"/>
      <x:c r="AQ82" s="174"/>
      <x:c r="AR82" s="174"/>
      <x:c r="AS82" s="174"/>
      <x:c r="AT82" s="174"/>
      <x:c r="AU82" s="174"/>
      <x:c r="AV82" s="174"/>
      <x:c r="AW82" s="174"/>
      <x:c r="AX82" s="174"/>
      <x:c r="AY82" s="174"/>
      <x:c r="AZ82" s="174"/>
      <x:c r="BA82" s="174"/>
      <x:c r="BB82" s="174"/>
      <x:c r="BC82" s="174"/>
      <x:c r="BD82" s="174"/>
      <x:c r="BE82" s="174"/>
      <x:c r="BF82" s="174"/>
      <x:c r="BG82" s="174"/>
      <x:c r="BH82" s="174"/>
      <x:c r="BI82" s="174"/>
      <x:c r="BJ82" s="174"/>
      <x:c r="BK82" s="174"/>
      <x:c r="BL82" s="174"/>
      <x:c r="BM82" s="174"/>
      <x:c r="BN82" s="174"/>
      <x:c r="BO82" s="174"/>
      <x:c r="BP82" s="174"/>
      <x:c r="BQ82" s="174"/>
      <x:c r="BR82" s="174"/>
      <x:c r="BS82" s="174"/>
      <x:c r="BT82" s="174"/>
      <x:c r="BU82" s="174"/>
      <x:c r="BV82" s="174"/>
      <x:c r="BW82" s="174"/>
      <x:c r="BX82" s="174"/>
      <x:c r="BY82" s="174"/>
      <x:c r="BZ82" s="174"/>
      <x:c r="CA82" s="174"/>
      <x:c r="CB82" s="174"/>
      <x:c r="CC82" s="174"/>
      <x:c r="CD82" s="174"/>
      <x:c r="CE82" s="174"/>
      <x:c r="CF82" s="174"/>
      <x:c r="CG82" s="174"/>
      <x:c r="CH82" s="174"/>
      <x:c r="CI82" s="179"/>
      <x:c r="CJ82" s="174"/>
      <x:c r="CK82" s="174"/>
      <x:c r="CL82" s="174"/>
      <x:c r="CM82" s="174"/>
      <x:c r="CN82" s="174"/>
      <x:c r="CO82" s="177"/>
      <x:c r="CP82" s="174"/>
      <x:c r="CQ82" s="174"/>
      <x:c r="CR82" s="174"/>
      <x:c r="CS82" s="174"/>
      <x:c r="CT82" s="174"/>
      <x:c r="CU82" s="176"/>
      <x:c r="CV82" s="176"/>
      <x:c r="CW82" s="176"/>
      <x:c r="CX82" s="176"/>
      <x:c r="CY82" s="176"/>
      <x:c r="CZ82" s="176"/>
      <x:c r="DA82" s="176"/>
      <x:c r="DB82" s="175" t="str">
        <x:f>IF(L82="","",IF(COUNT(CU82:DA82)&lt;7,"",SUM(CU82:DA82)))</x:f>
      </x:c>
      <x:c r="DC82" s="180" t="str">
        <x:f>IF(DB82="","",ROUND(DB82/14*10,1))</x:f>
      </x:c>
      <x:c r="DD82" s="174"/>
      <x:c r="DE82" s="175" t="str">
        <x:f>IF(L82="","",IF(DC82="","Pending",IF(DD82="Yes","CONDITIONAL — safety override",IF(DC82&gt;=8,"HIGH",IF(DC82&gt;=5,"CONDITIONAL","LOW")))))</x:f>
      </x:c>
      <x:c r="DF82" s="174"/>
      <x:c r="DG82" s="174"/>
      <x:c r="DH82" s="174"/>
      <x:c r="DI82" s="174"/>
      <x:c r="DJ82" s="174"/>
      <x:c r="DK82" s="174"/>
      <x:c r="DL82" s="174"/>
      <x:c r="DM82" s="174"/>
      <x:c r="DN82" s="174"/>
      <x:c r="DO82" s="174"/>
      <x:c r="DP82" s="174"/>
      <x:c r="DQ82" s="174"/>
      <x:c r="DR82" s="174"/>
      <x:c r="DS82" s="174"/>
      <x:c r="DT82" s="174"/>
      <x:c r="DU82" s="174"/>
      <x:c r="DV82" s="174"/>
      <x:c r="DW82" s="174"/>
      <x:c r="DX82" s="174"/>
      <x:c r="DY82" s="174"/>
      <x:c r="DZ82" s="174"/>
      <x:c r="EA82" s="174"/>
      <x:c r="EB82" s="175" t="str">
        <x:f>IF(L82="","",IF(AND(F82="Claim-ready",CJ82="Yes",CL82="Yes",DZ82&lt;&gt;""),"Yes","No / Pending"))</x:f>
      </x:c>
      <x:c r="EC82" s="174"/>
      <x:c r="ED82" s="174"/>
      <x:c r="EE82" s="174"/>
      <x:c r="EF82" s="174"/>
      <x:c r="EG82" s="174"/>
      <x:c r="EH82" s="177"/>
      <x:c r="EI82" s="174"/>
      <x:c r="EJ82" s="174"/>
      <x:c r="EK82" s="174"/>
      <x:c r="EL82" s="177"/>
      <x:c r="EM82" s="174"/>
      <x:c r="EN82" s="181" t="str">
        <x:f>IF(L82="","",(IF(N82&lt;&gt;"",1,0)+IF(O82&lt;&gt;"",1,0)+IF(AJ82&lt;&gt;"",1,0)+IF(AU82&lt;&gt;"",1,0)+IF(BE82&lt;&gt;"",1,0)+IF(CF82&lt;&gt;"",1,0)+IF(CJ82="Yes",1,0)+IF(CL82="Yes",1,0)+IF(DE82&lt;&gt;"Pending",1,0)+IF(F82&lt;&gt;"",1,0)+IF(DZ82&lt;&gt;"",1,0)+IF(EI82&lt;&gt;"",1,0))/12)</x:f>
      </x:c>
    </x:row>
    <x:row r="83">
      <x:c r="A83" s="175" t="str">
        <x:f>IF(L83="","","EV-"&amp;TEXT(ROW()-3,"0000"))</x:f>
      </x:c>
      <x:c r="B83" s="174"/>
      <x:c r="C83" s="175" t="str">
        <x:f>IF(L83="","",IF(OR(CM83="Retracted",CN83="Retracted",F83="Not used"),"🔴 Do not use for conclusion",IF(OR(R83="Official / Institutional",I83="Official / contextual"),"🔵 Official / contextual",IF(OR(I83="Definition",I83="Framework",I83="Paradigm shift"),"🟣 Conceptual key source",IF(AND(CJ83="Yes",CL83="Yes",OR(CG83="High",CG83="Moderate"),CH83&lt;&gt;"High",CH83&lt;&gt;"Critical",F83="Claim-ready"),"🟢 Claim-ready","🟡 Caution / context")))))</x:f>
      </x:c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6"/>
      <x:c r="P83" s="174"/>
      <x:c r="Q83" s="174"/>
      <x:c r="R83" s="174"/>
      <x:c r="S83" s="174"/>
      <x:c r="T83" s="174"/>
      <x:c r="U83" s="174"/>
      <x:c r="V83" s="174"/>
      <x:c r="W83" s="175" t="str">
        <x:f>IF(V83="","",LOWER(SUBSTITUTE(SUBSTITUTE(SUBSTITUTE(SUBSTITUTE(TRIM(V83),"https://doi.org/",""),"http://doi.org/",""),"https://dx.doi.org/",""),"doi:","")))</x:f>
      </x:c>
      <x:c r="X83" s="174"/>
      <x:c r="Y83" s="174"/>
      <x:c r="Z83" s="174"/>
      <x:c r="AA83" s="174"/>
      <x:c r="AB83" s="174"/>
      <x:c r="AC83" s="174"/>
      <x:c r="AD83" s="177"/>
      <x:c r="AE83" s="177"/>
      <x:c r="AF83" s="174"/>
      <x:c r="AG83" s="174"/>
      <x:c r="AH83" s="174"/>
      <x:c r="AI83" s="174"/>
      <x:c r="AJ83" s="174"/>
      <x:c r="AK83" s="175" t="str">
        <x:f>IF(AJ83="","",IF(OR(LOWER(AJ83)="brazil",LOWER(AJ83)="brasil"),"Yes","No"))</x:f>
      </x:c>
      <x:c r="AL83" s="174"/>
      <x:c r="AM83" s="174"/>
      <x:c r="AN83" s="174"/>
      <x:c r="AO83" s="178"/>
      <x:c r="AP83" s="174"/>
      <x:c r="AQ83" s="174"/>
      <x:c r="AR83" s="174"/>
      <x:c r="AS83" s="174"/>
      <x:c r="AT83" s="174"/>
      <x:c r="AU83" s="174"/>
      <x:c r="AV83" s="174"/>
      <x:c r="AW83" s="174"/>
      <x:c r="AX83" s="174"/>
      <x:c r="AY83" s="174"/>
      <x:c r="AZ83" s="174"/>
      <x:c r="BA83" s="174"/>
      <x:c r="BB83" s="174"/>
      <x:c r="BC83" s="174"/>
      <x:c r="BD83" s="174"/>
      <x:c r="BE83" s="174"/>
      <x:c r="BF83" s="174"/>
      <x:c r="BG83" s="174"/>
      <x:c r="BH83" s="174"/>
      <x:c r="BI83" s="174"/>
      <x:c r="BJ83" s="174"/>
      <x:c r="BK83" s="174"/>
      <x:c r="BL83" s="174"/>
      <x:c r="BM83" s="174"/>
      <x:c r="BN83" s="174"/>
      <x:c r="BO83" s="174"/>
      <x:c r="BP83" s="174"/>
      <x:c r="BQ83" s="174"/>
      <x:c r="BR83" s="174"/>
      <x:c r="BS83" s="174"/>
      <x:c r="BT83" s="174"/>
      <x:c r="BU83" s="174"/>
      <x:c r="BV83" s="174"/>
      <x:c r="BW83" s="174"/>
      <x:c r="BX83" s="174"/>
      <x:c r="BY83" s="174"/>
      <x:c r="BZ83" s="174"/>
      <x:c r="CA83" s="174"/>
      <x:c r="CB83" s="174"/>
      <x:c r="CC83" s="174"/>
      <x:c r="CD83" s="174"/>
      <x:c r="CE83" s="174"/>
      <x:c r="CF83" s="174"/>
      <x:c r="CG83" s="174"/>
      <x:c r="CH83" s="174"/>
      <x:c r="CI83" s="179"/>
      <x:c r="CJ83" s="174"/>
      <x:c r="CK83" s="174"/>
      <x:c r="CL83" s="174"/>
      <x:c r="CM83" s="174"/>
      <x:c r="CN83" s="174"/>
      <x:c r="CO83" s="177"/>
      <x:c r="CP83" s="174"/>
      <x:c r="CQ83" s="174"/>
      <x:c r="CR83" s="174"/>
      <x:c r="CS83" s="174"/>
      <x:c r="CT83" s="174"/>
      <x:c r="CU83" s="176"/>
      <x:c r="CV83" s="176"/>
      <x:c r="CW83" s="176"/>
      <x:c r="CX83" s="176"/>
      <x:c r="CY83" s="176"/>
      <x:c r="CZ83" s="176"/>
      <x:c r="DA83" s="176"/>
      <x:c r="DB83" s="175" t="str">
        <x:f>IF(L83="","",IF(COUNT(CU83:DA83)&lt;7,"",SUM(CU83:DA83)))</x:f>
      </x:c>
      <x:c r="DC83" s="180" t="str">
        <x:f>IF(DB83="","",ROUND(DB83/14*10,1))</x:f>
      </x:c>
      <x:c r="DD83" s="174"/>
      <x:c r="DE83" s="175" t="str">
        <x:f>IF(L83="","",IF(DC83="","Pending",IF(DD83="Yes","CONDITIONAL — safety override",IF(DC83&gt;=8,"HIGH",IF(DC83&gt;=5,"CONDITIONAL","LOW")))))</x:f>
      </x:c>
      <x:c r="DF83" s="174"/>
      <x:c r="DG83" s="174"/>
      <x:c r="DH83" s="174"/>
      <x:c r="DI83" s="174"/>
      <x:c r="DJ83" s="174"/>
      <x:c r="DK83" s="174"/>
      <x:c r="DL83" s="174"/>
      <x:c r="DM83" s="174"/>
      <x:c r="DN83" s="174"/>
      <x:c r="DO83" s="174"/>
      <x:c r="DP83" s="174"/>
      <x:c r="DQ83" s="174"/>
      <x:c r="DR83" s="174"/>
      <x:c r="DS83" s="174"/>
      <x:c r="DT83" s="174"/>
      <x:c r="DU83" s="174"/>
      <x:c r="DV83" s="174"/>
      <x:c r="DW83" s="174"/>
      <x:c r="DX83" s="174"/>
      <x:c r="DY83" s="174"/>
      <x:c r="DZ83" s="174"/>
      <x:c r="EA83" s="174"/>
      <x:c r="EB83" s="175" t="str">
        <x:f>IF(L83="","",IF(AND(F83="Claim-ready",CJ83="Yes",CL83="Yes",DZ83&lt;&gt;""),"Yes","No / Pending"))</x:f>
      </x:c>
      <x:c r="EC83" s="174"/>
      <x:c r="ED83" s="174"/>
      <x:c r="EE83" s="174"/>
      <x:c r="EF83" s="174"/>
      <x:c r="EG83" s="174"/>
      <x:c r="EH83" s="177"/>
      <x:c r="EI83" s="174"/>
      <x:c r="EJ83" s="174"/>
      <x:c r="EK83" s="174"/>
      <x:c r="EL83" s="177"/>
      <x:c r="EM83" s="174"/>
      <x:c r="EN83" s="181" t="str">
        <x:f>IF(L83="","",(IF(N83&lt;&gt;"",1,0)+IF(O83&lt;&gt;"",1,0)+IF(AJ83&lt;&gt;"",1,0)+IF(AU83&lt;&gt;"",1,0)+IF(BE83&lt;&gt;"",1,0)+IF(CF83&lt;&gt;"",1,0)+IF(CJ83="Yes",1,0)+IF(CL83="Yes",1,0)+IF(DE83&lt;&gt;"Pending",1,0)+IF(F83&lt;&gt;"",1,0)+IF(DZ83&lt;&gt;"",1,0)+IF(EI83&lt;&gt;"",1,0))/12)</x:f>
      </x:c>
    </x:row>
    <x:row r="84">
      <x:c r="A84" s="175" t="str">
        <x:f>IF(L84="","","EV-"&amp;TEXT(ROW()-3,"0000"))</x:f>
      </x:c>
      <x:c r="B84" s="174"/>
      <x:c r="C84" s="175" t="str">
        <x:f>IF(L84="","",IF(OR(CM84="Retracted",CN84="Retracted",F84="Not used"),"🔴 Do not use for conclusion",IF(OR(R84="Official / Institutional",I84="Official / contextual"),"🔵 Official / contextual",IF(OR(I84="Definition",I84="Framework",I84="Paradigm shift"),"🟣 Conceptual key source",IF(AND(CJ84="Yes",CL84="Yes",OR(CG84="High",CG84="Moderate"),CH84&lt;&gt;"High",CH84&lt;&gt;"Critical",F84="Claim-ready"),"🟢 Claim-ready","🟡 Caution / context")))))</x:f>
      </x:c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6"/>
      <x:c r="P84" s="174"/>
      <x:c r="Q84" s="174"/>
      <x:c r="R84" s="174"/>
      <x:c r="S84" s="174"/>
      <x:c r="T84" s="174"/>
      <x:c r="U84" s="174"/>
      <x:c r="V84" s="174"/>
      <x:c r="W84" s="175" t="str">
        <x:f>IF(V84="","",LOWER(SUBSTITUTE(SUBSTITUTE(SUBSTITUTE(SUBSTITUTE(TRIM(V84),"https://doi.org/",""),"http://doi.org/",""),"https://dx.doi.org/",""),"doi:","")))</x:f>
      </x:c>
      <x:c r="X84" s="174"/>
      <x:c r="Y84" s="174"/>
      <x:c r="Z84" s="174"/>
      <x:c r="AA84" s="174"/>
      <x:c r="AB84" s="174"/>
      <x:c r="AC84" s="174"/>
      <x:c r="AD84" s="177"/>
      <x:c r="AE84" s="177"/>
      <x:c r="AF84" s="174"/>
      <x:c r="AG84" s="174"/>
      <x:c r="AH84" s="174"/>
      <x:c r="AI84" s="174"/>
      <x:c r="AJ84" s="174"/>
      <x:c r="AK84" s="175" t="str">
        <x:f>IF(AJ84="","",IF(OR(LOWER(AJ84)="brazil",LOWER(AJ84)="brasil"),"Yes","No"))</x:f>
      </x:c>
      <x:c r="AL84" s="174"/>
      <x:c r="AM84" s="174"/>
      <x:c r="AN84" s="174"/>
      <x:c r="AO84" s="178"/>
      <x:c r="AP84" s="174"/>
      <x:c r="AQ84" s="174"/>
      <x:c r="AR84" s="174"/>
      <x:c r="AS84" s="174"/>
      <x:c r="AT84" s="174"/>
      <x:c r="AU84" s="174"/>
      <x:c r="AV84" s="174"/>
      <x:c r="AW84" s="174"/>
      <x:c r="AX84" s="174"/>
      <x:c r="AY84" s="174"/>
      <x:c r="AZ84" s="174"/>
      <x:c r="BA84" s="174"/>
      <x:c r="BB84" s="174"/>
      <x:c r="BC84" s="174"/>
      <x:c r="BD84" s="174"/>
      <x:c r="BE84" s="174"/>
      <x:c r="BF84" s="174"/>
      <x:c r="BG84" s="174"/>
      <x:c r="BH84" s="174"/>
      <x:c r="BI84" s="174"/>
      <x:c r="BJ84" s="174"/>
      <x:c r="BK84" s="174"/>
      <x:c r="BL84" s="174"/>
      <x:c r="BM84" s="174"/>
      <x:c r="BN84" s="174"/>
      <x:c r="BO84" s="174"/>
      <x:c r="BP84" s="174"/>
      <x:c r="BQ84" s="174"/>
      <x:c r="BR84" s="174"/>
      <x:c r="BS84" s="174"/>
      <x:c r="BT84" s="174"/>
      <x:c r="BU84" s="174"/>
      <x:c r="BV84" s="174"/>
      <x:c r="BW84" s="174"/>
      <x:c r="BX84" s="174"/>
      <x:c r="BY84" s="174"/>
      <x:c r="BZ84" s="174"/>
      <x:c r="CA84" s="174"/>
      <x:c r="CB84" s="174"/>
      <x:c r="CC84" s="174"/>
      <x:c r="CD84" s="174"/>
      <x:c r="CE84" s="174"/>
      <x:c r="CF84" s="174"/>
      <x:c r="CG84" s="174"/>
      <x:c r="CH84" s="174"/>
      <x:c r="CI84" s="179"/>
      <x:c r="CJ84" s="174"/>
      <x:c r="CK84" s="174"/>
      <x:c r="CL84" s="174"/>
      <x:c r="CM84" s="174"/>
      <x:c r="CN84" s="174"/>
      <x:c r="CO84" s="177"/>
      <x:c r="CP84" s="174"/>
      <x:c r="CQ84" s="174"/>
      <x:c r="CR84" s="174"/>
      <x:c r="CS84" s="174"/>
      <x:c r="CT84" s="174"/>
      <x:c r="CU84" s="176"/>
      <x:c r="CV84" s="176"/>
      <x:c r="CW84" s="176"/>
      <x:c r="CX84" s="176"/>
      <x:c r="CY84" s="176"/>
      <x:c r="CZ84" s="176"/>
      <x:c r="DA84" s="176"/>
      <x:c r="DB84" s="175" t="str">
        <x:f>IF(L84="","",IF(COUNT(CU84:DA84)&lt;7,"",SUM(CU84:DA84)))</x:f>
      </x:c>
      <x:c r="DC84" s="180" t="str">
        <x:f>IF(DB84="","",ROUND(DB84/14*10,1))</x:f>
      </x:c>
      <x:c r="DD84" s="174"/>
      <x:c r="DE84" s="175" t="str">
        <x:f>IF(L84="","",IF(DC84="","Pending",IF(DD84="Yes","CONDITIONAL — safety override",IF(DC84&gt;=8,"HIGH",IF(DC84&gt;=5,"CONDITIONAL","LOW")))))</x:f>
      </x:c>
      <x:c r="DF84" s="174"/>
      <x:c r="DG84" s="174"/>
      <x:c r="DH84" s="174"/>
      <x:c r="DI84" s="174"/>
      <x:c r="DJ84" s="174"/>
      <x:c r="DK84" s="174"/>
      <x:c r="DL84" s="174"/>
      <x:c r="DM84" s="174"/>
      <x:c r="DN84" s="174"/>
      <x:c r="DO84" s="174"/>
      <x:c r="DP84" s="174"/>
      <x:c r="DQ84" s="174"/>
      <x:c r="DR84" s="174"/>
      <x:c r="DS84" s="174"/>
      <x:c r="DT84" s="174"/>
      <x:c r="DU84" s="174"/>
      <x:c r="DV84" s="174"/>
      <x:c r="DW84" s="174"/>
      <x:c r="DX84" s="174"/>
      <x:c r="DY84" s="174"/>
      <x:c r="DZ84" s="174"/>
      <x:c r="EA84" s="174"/>
      <x:c r="EB84" s="175" t="str">
        <x:f>IF(L84="","",IF(AND(F84="Claim-ready",CJ84="Yes",CL84="Yes",DZ84&lt;&gt;""),"Yes","No / Pending"))</x:f>
      </x:c>
      <x:c r="EC84" s="174"/>
      <x:c r="ED84" s="174"/>
      <x:c r="EE84" s="174"/>
      <x:c r="EF84" s="174"/>
      <x:c r="EG84" s="174"/>
      <x:c r="EH84" s="177"/>
      <x:c r="EI84" s="174"/>
      <x:c r="EJ84" s="174"/>
      <x:c r="EK84" s="174"/>
      <x:c r="EL84" s="177"/>
      <x:c r="EM84" s="174"/>
      <x:c r="EN84" s="181" t="str">
        <x:f>IF(L84="","",(IF(N84&lt;&gt;"",1,0)+IF(O84&lt;&gt;"",1,0)+IF(AJ84&lt;&gt;"",1,0)+IF(AU84&lt;&gt;"",1,0)+IF(BE84&lt;&gt;"",1,0)+IF(CF84&lt;&gt;"",1,0)+IF(CJ84="Yes",1,0)+IF(CL84="Yes",1,0)+IF(DE84&lt;&gt;"Pending",1,0)+IF(F84&lt;&gt;"",1,0)+IF(DZ84&lt;&gt;"",1,0)+IF(EI84&lt;&gt;"",1,0))/12)</x:f>
      </x:c>
    </x:row>
    <x:row r="85">
      <x:c r="A85" s="175" t="str">
        <x:f>IF(L85="","","EV-"&amp;TEXT(ROW()-3,"0000"))</x:f>
      </x:c>
      <x:c r="B85" s="174"/>
      <x:c r="C85" s="175" t="str">
        <x:f>IF(L85="","",IF(OR(CM85="Retracted",CN85="Retracted",F85="Not used"),"🔴 Do not use for conclusion",IF(OR(R85="Official / Institutional",I85="Official / contextual"),"🔵 Official / contextual",IF(OR(I85="Definition",I85="Framework",I85="Paradigm shift"),"🟣 Conceptual key source",IF(AND(CJ85="Yes",CL85="Yes",OR(CG85="High",CG85="Moderate"),CH85&lt;&gt;"High",CH85&lt;&gt;"Critical",F85="Claim-ready"),"🟢 Claim-ready","🟡 Caution / context")))))</x:f>
      </x:c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6"/>
      <x:c r="P85" s="174"/>
      <x:c r="Q85" s="174"/>
      <x:c r="R85" s="174"/>
      <x:c r="S85" s="174"/>
      <x:c r="T85" s="174"/>
      <x:c r="U85" s="174"/>
      <x:c r="V85" s="174"/>
      <x:c r="W85" s="175" t="str">
        <x:f>IF(V85="","",LOWER(SUBSTITUTE(SUBSTITUTE(SUBSTITUTE(SUBSTITUTE(TRIM(V85),"https://doi.org/",""),"http://doi.org/",""),"https://dx.doi.org/",""),"doi:","")))</x:f>
      </x:c>
      <x:c r="X85" s="174"/>
      <x:c r="Y85" s="174"/>
      <x:c r="Z85" s="174"/>
      <x:c r="AA85" s="174"/>
      <x:c r="AB85" s="174"/>
      <x:c r="AC85" s="174"/>
      <x:c r="AD85" s="177"/>
      <x:c r="AE85" s="177"/>
      <x:c r="AF85" s="174"/>
      <x:c r="AG85" s="174"/>
      <x:c r="AH85" s="174"/>
      <x:c r="AI85" s="174"/>
      <x:c r="AJ85" s="174"/>
      <x:c r="AK85" s="175" t="str">
        <x:f>IF(AJ85="","",IF(OR(LOWER(AJ85)="brazil",LOWER(AJ85)="brasil"),"Yes","No"))</x:f>
      </x:c>
      <x:c r="AL85" s="174"/>
      <x:c r="AM85" s="174"/>
      <x:c r="AN85" s="174"/>
      <x:c r="AO85" s="178"/>
      <x:c r="AP85" s="174"/>
      <x:c r="AQ85" s="174"/>
      <x:c r="AR85" s="174"/>
      <x:c r="AS85" s="174"/>
      <x:c r="AT85" s="174"/>
      <x:c r="AU85" s="174"/>
      <x:c r="AV85" s="174"/>
      <x:c r="AW85" s="174"/>
      <x:c r="AX85" s="174"/>
      <x:c r="AY85" s="174"/>
      <x:c r="AZ85" s="174"/>
      <x:c r="BA85" s="174"/>
      <x:c r="BB85" s="174"/>
      <x:c r="BC85" s="174"/>
      <x:c r="BD85" s="174"/>
      <x:c r="BE85" s="174"/>
      <x:c r="BF85" s="174"/>
      <x:c r="BG85" s="174"/>
      <x:c r="BH85" s="174"/>
      <x:c r="BI85" s="174"/>
      <x:c r="BJ85" s="174"/>
      <x:c r="BK85" s="174"/>
      <x:c r="BL85" s="174"/>
      <x:c r="BM85" s="174"/>
      <x:c r="BN85" s="174"/>
      <x:c r="BO85" s="174"/>
      <x:c r="BP85" s="174"/>
      <x:c r="BQ85" s="174"/>
      <x:c r="BR85" s="174"/>
      <x:c r="BS85" s="174"/>
      <x:c r="BT85" s="174"/>
      <x:c r="BU85" s="174"/>
      <x:c r="BV85" s="174"/>
      <x:c r="BW85" s="174"/>
      <x:c r="BX85" s="174"/>
      <x:c r="BY85" s="174"/>
      <x:c r="BZ85" s="174"/>
      <x:c r="CA85" s="174"/>
      <x:c r="CB85" s="174"/>
      <x:c r="CC85" s="174"/>
      <x:c r="CD85" s="174"/>
      <x:c r="CE85" s="174"/>
      <x:c r="CF85" s="174"/>
      <x:c r="CG85" s="174"/>
      <x:c r="CH85" s="174"/>
      <x:c r="CI85" s="179"/>
      <x:c r="CJ85" s="174"/>
      <x:c r="CK85" s="174"/>
      <x:c r="CL85" s="174"/>
      <x:c r="CM85" s="174"/>
      <x:c r="CN85" s="174"/>
      <x:c r="CO85" s="177"/>
      <x:c r="CP85" s="174"/>
      <x:c r="CQ85" s="174"/>
      <x:c r="CR85" s="174"/>
      <x:c r="CS85" s="174"/>
      <x:c r="CT85" s="174"/>
      <x:c r="CU85" s="176"/>
      <x:c r="CV85" s="176"/>
      <x:c r="CW85" s="176"/>
      <x:c r="CX85" s="176"/>
      <x:c r="CY85" s="176"/>
      <x:c r="CZ85" s="176"/>
      <x:c r="DA85" s="176"/>
      <x:c r="DB85" s="175" t="str">
        <x:f>IF(L85="","",IF(COUNT(CU85:DA85)&lt;7,"",SUM(CU85:DA85)))</x:f>
      </x:c>
      <x:c r="DC85" s="180" t="str">
        <x:f>IF(DB85="","",ROUND(DB85/14*10,1))</x:f>
      </x:c>
      <x:c r="DD85" s="174"/>
      <x:c r="DE85" s="175" t="str">
        <x:f>IF(L85="","",IF(DC85="","Pending",IF(DD85="Yes","CONDITIONAL — safety override",IF(DC85&gt;=8,"HIGH",IF(DC85&gt;=5,"CONDITIONAL","LOW")))))</x:f>
      </x:c>
      <x:c r="DF85" s="174"/>
      <x:c r="DG85" s="174"/>
      <x:c r="DH85" s="174"/>
      <x:c r="DI85" s="174"/>
      <x:c r="DJ85" s="174"/>
      <x:c r="DK85" s="174"/>
      <x:c r="DL85" s="174"/>
      <x:c r="DM85" s="174"/>
      <x:c r="DN85" s="174"/>
      <x:c r="DO85" s="174"/>
      <x:c r="DP85" s="174"/>
      <x:c r="DQ85" s="174"/>
      <x:c r="DR85" s="174"/>
      <x:c r="DS85" s="174"/>
      <x:c r="DT85" s="174"/>
      <x:c r="DU85" s="174"/>
      <x:c r="DV85" s="174"/>
      <x:c r="DW85" s="174"/>
      <x:c r="DX85" s="174"/>
      <x:c r="DY85" s="174"/>
      <x:c r="DZ85" s="174"/>
      <x:c r="EA85" s="174"/>
      <x:c r="EB85" s="175" t="str">
        <x:f>IF(L85="","",IF(AND(F85="Claim-ready",CJ85="Yes",CL85="Yes",DZ85&lt;&gt;""),"Yes","No / Pending"))</x:f>
      </x:c>
      <x:c r="EC85" s="174"/>
      <x:c r="ED85" s="174"/>
      <x:c r="EE85" s="174"/>
      <x:c r="EF85" s="174"/>
      <x:c r="EG85" s="174"/>
      <x:c r="EH85" s="177"/>
      <x:c r="EI85" s="174"/>
      <x:c r="EJ85" s="174"/>
      <x:c r="EK85" s="174"/>
      <x:c r="EL85" s="177"/>
      <x:c r="EM85" s="174"/>
      <x:c r="EN85" s="181" t="str">
        <x:f>IF(L85="","",(IF(N85&lt;&gt;"",1,0)+IF(O85&lt;&gt;"",1,0)+IF(AJ85&lt;&gt;"",1,0)+IF(AU85&lt;&gt;"",1,0)+IF(BE85&lt;&gt;"",1,0)+IF(CF85&lt;&gt;"",1,0)+IF(CJ85="Yes",1,0)+IF(CL85="Yes",1,0)+IF(DE85&lt;&gt;"Pending",1,0)+IF(F85&lt;&gt;"",1,0)+IF(DZ85&lt;&gt;"",1,0)+IF(EI85&lt;&gt;"",1,0))/12)</x:f>
      </x:c>
    </x:row>
    <x:row r="86">
      <x:c r="A86" s="175" t="str">
        <x:f>IF(L86="","","EV-"&amp;TEXT(ROW()-3,"0000"))</x:f>
      </x:c>
      <x:c r="B86" s="174"/>
      <x:c r="C86" s="175" t="str">
        <x:f>IF(L86="","",IF(OR(CM86="Retracted",CN86="Retracted",F86="Not used"),"🔴 Do not use for conclusion",IF(OR(R86="Official / Institutional",I86="Official / contextual"),"🔵 Official / contextual",IF(OR(I86="Definition",I86="Framework",I86="Paradigm shift"),"🟣 Conceptual key source",IF(AND(CJ86="Yes",CL86="Yes",OR(CG86="High",CG86="Moderate"),CH86&lt;&gt;"High",CH86&lt;&gt;"Critical",F86="Claim-ready"),"🟢 Claim-ready","🟡 Caution / context")))))</x:f>
      </x:c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6"/>
      <x:c r="P86" s="174"/>
      <x:c r="Q86" s="174"/>
      <x:c r="R86" s="174"/>
      <x:c r="S86" s="174"/>
      <x:c r="T86" s="174"/>
      <x:c r="U86" s="174"/>
      <x:c r="V86" s="174"/>
      <x:c r="W86" s="175" t="str">
        <x:f>IF(V86="","",LOWER(SUBSTITUTE(SUBSTITUTE(SUBSTITUTE(SUBSTITUTE(TRIM(V86),"https://doi.org/",""),"http://doi.org/",""),"https://dx.doi.org/",""),"doi:","")))</x:f>
      </x:c>
      <x:c r="X86" s="174"/>
      <x:c r="Y86" s="174"/>
      <x:c r="Z86" s="174"/>
      <x:c r="AA86" s="174"/>
      <x:c r="AB86" s="174"/>
      <x:c r="AC86" s="174"/>
      <x:c r="AD86" s="177"/>
      <x:c r="AE86" s="177"/>
      <x:c r="AF86" s="174"/>
      <x:c r="AG86" s="174"/>
      <x:c r="AH86" s="174"/>
      <x:c r="AI86" s="174"/>
      <x:c r="AJ86" s="174"/>
      <x:c r="AK86" s="175" t="str">
        <x:f>IF(AJ86="","",IF(OR(LOWER(AJ86)="brazil",LOWER(AJ86)="brasil"),"Yes","No"))</x:f>
      </x:c>
      <x:c r="AL86" s="174"/>
      <x:c r="AM86" s="174"/>
      <x:c r="AN86" s="174"/>
      <x:c r="AO86" s="178"/>
      <x:c r="AP86" s="174"/>
      <x:c r="AQ86" s="174"/>
      <x:c r="AR86" s="174"/>
      <x:c r="AS86" s="174"/>
      <x:c r="AT86" s="174"/>
      <x:c r="AU86" s="174"/>
      <x:c r="AV86" s="174"/>
      <x:c r="AW86" s="174"/>
      <x:c r="AX86" s="174"/>
      <x:c r="AY86" s="174"/>
      <x:c r="AZ86" s="174"/>
      <x:c r="BA86" s="174"/>
      <x:c r="BB86" s="174"/>
      <x:c r="BC86" s="174"/>
      <x:c r="BD86" s="174"/>
      <x:c r="BE86" s="174"/>
      <x:c r="BF86" s="174"/>
      <x:c r="BG86" s="174"/>
      <x:c r="BH86" s="174"/>
      <x:c r="BI86" s="174"/>
      <x:c r="BJ86" s="174"/>
      <x:c r="BK86" s="174"/>
      <x:c r="BL86" s="174"/>
      <x:c r="BM86" s="174"/>
      <x:c r="BN86" s="174"/>
      <x:c r="BO86" s="174"/>
      <x:c r="BP86" s="174"/>
      <x:c r="BQ86" s="174"/>
      <x:c r="BR86" s="174"/>
      <x:c r="BS86" s="174"/>
      <x:c r="BT86" s="174"/>
      <x:c r="BU86" s="174"/>
      <x:c r="BV86" s="174"/>
      <x:c r="BW86" s="174"/>
      <x:c r="BX86" s="174"/>
      <x:c r="BY86" s="174"/>
      <x:c r="BZ86" s="174"/>
      <x:c r="CA86" s="174"/>
      <x:c r="CB86" s="174"/>
      <x:c r="CC86" s="174"/>
      <x:c r="CD86" s="174"/>
      <x:c r="CE86" s="174"/>
      <x:c r="CF86" s="174"/>
      <x:c r="CG86" s="174"/>
      <x:c r="CH86" s="174"/>
      <x:c r="CI86" s="179"/>
      <x:c r="CJ86" s="174"/>
      <x:c r="CK86" s="174"/>
      <x:c r="CL86" s="174"/>
      <x:c r="CM86" s="174"/>
      <x:c r="CN86" s="174"/>
      <x:c r="CO86" s="177"/>
      <x:c r="CP86" s="174"/>
      <x:c r="CQ86" s="174"/>
      <x:c r="CR86" s="174"/>
      <x:c r="CS86" s="174"/>
      <x:c r="CT86" s="174"/>
      <x:c r="CU86" s="176"/>
      <x:c r="CV86" s="176"/>
      <x:c r="CW86" s="176"/>
      <x:c r="CX86" s="176"/>
      <x:c r="CY86" s="176"/>
      <x:c r="CZ86" s="176"/>
      <x:c r="DA86" s="176"/>
      <x:c r="DB86" s="175" t="str">
        <x:f>IF(L86="","",IF(COUNT(CU86:DA86)&lt;7,"",SUM(CU86:DA86)))</x:f>
      </x:c>
      <x:c r="DC86" s="180" t="str">
        <x:f>IF(DB86="","",ROUND(DB86/14*10,1))</x:f>
      </x:c>
      <x:c r="DD86" s="174"/>
      <x:c r="DE86" s="175" t="str">
        <x:f>IF(L86="","",IF(DC86="","Pending",IF(DD86="Yes","CONDITIONAL — safety override",IF(DC86&gt;=8,"HIGH",IF(DC86&gt;=5,"CONDITIONAL","LOW")))))</x:f>
      </x:c>
      <x:c r="DF86" s="174"/>
      <x:c r="DG86" s="174"/>
      <x:c r="DH86" s="174"/>
      <x:c r="DI86" s="174"/>
      <x:c r="DJ86" s="174"/>
      <x:c r="DK86" s="174"/>
      <x:c r="DL86" s="174"/>
      <x:c r="DM86" s="174"/>
      <x:c r="DN86" s="174"/>
      <x:c r="DO86" s="174"/>
      <x:c r="DP86" s="174"/>
      <x:c r="DQ86" s="174"/>
      <x:c r="DR86" s="174"/>
      <x:c r="DS86" s="174"/>
      <x:c r="DT86" s="174"/>
      <x:c r="DU86" s="174"/>
      <x:c r="DV86" s="174"/>
      <x:c r="DW86" s="174"/>
      <x:c r="DX86" s="174"/>
      <x:c r="DY86" s="174"/>
      <x:c r="DZ86" s="174"/>
      <x:c r="EA86" s="174"/>
      <x:c r="EB86" s="175" t="str">
        <x:f>IF(L86="","",IF(AND(F86="Claim-ready",CJ86="Yes",CL86="Yes",DZ86&lt;&gt;""),"Yes","No / Pending"))</x:f>
      </x:c>
      <x:c r="EC86" s="174"/>
      <x:c r="ED86" s="174"/>
      <x:c r="EE86" s="174"/>
      <x:c r="EF86" s="174"/>
      <x:c r="EG86" s="174"/>
      <x:c r="EH86" s="177"/>
      <x:c r="EI86" s="174"/>
      <x:c r="EJ86" s="174"/>
      <x:c r="EK86" s="174"/>
      <x:c r="EL86" s="177"/>
      <x:c r="EM86" s="174"/>
      <x:c r="EN86" s="181" t="str">
        <x:f>IF(L86="","",(IF(N86&lt;&gt;"",1,0)+IF(O86&lt;&gt;"",1,0)+IF(AJ86&lt;&gt;"",1,0)+IF(AU86&lt;&gt;"",1,0)+IF(BE86&lt;&gt;"",1,0)+IF(CF86&lt;&gt;"",1,0)+IF(CJ86="Yes",1,0)+IF(CL86="Yes",1,0)+IF(DE86&lt;&gt;"Pending",1,0)+IF(F86&lt;&gt;"",1,0)+IF(DZ86&lt;&gt;"",1,0)+IF(EI86&lt;&gt;"",1,0))/12)</x:f>
      </x:c>
    </x:row>
    <x:row r="87">
      <x:c r="A87" s="175" t="str">
        <x:f>IF(L87="","","EV-"&amp;TEXT(ROW()-3,"0000"))</x:f>
      </x:c>
      <x:c r="B87" s="174"/>
      <x:c r="C87" s="175" t="str">
        <x:f>IF(L87="","",IF(OR(CM87="Retracted",CN87="Retracted",F87="Not used"),"🔴 Do not use for conclusion",IF(OR(R87="Official / Institutional",I87="Official / contextual"),"🔵 Official / contextual",IF(OR(I87="Definition",I87="Framework",I87="Paradigm shift"),"🟣 Conceptual key source",IF(AND(CJ87="Yes",CL87="Yes",OR(CG87="High",CG87="Moderate"),CH87&lt;&gt;"High",CH87&lt;&gt;"Critical",F87="Claim-ready"),"🟢 Claim-ready","🟡 Caution / context")))))</x:f>
      </x:c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6"/>
      <x:c r="P87" s="174"/>
      <x:c r="Q87" s="174"/>
      <x:c r="R87" s="174"/>
      <x:c r="S87" s="174"/>
      <x:c r="T87" s="174"/>
      <x:c r="U87" s="174"/>
      <x:c r="V87" s="174"/>
      <x:c r="W87" s="175" t="str">
        <x:f>IF(V87="","",LOWER(SUBSTITUTE(SUBSTITUTE(SUBSTITUTE(SUBSTITUTE(TRIM(V87),"https://doi.org/",""),"http://doi.org/",""),"https://dx.doi.org/",""),"doi:","")))</x:f>
      </x:c>
      <x:c r="X87" s="174"/>
      <x:c r="Y87" s="174"/>
      <x:c r="Z87" s="174"/>
      <x:c r="AA87" s="174"/>
      <x:c r="AB87" s="174"/>
      <x:c r="AC87" s="174"/>
      <x:c r="AD87" s="177"/>
      <x:c r="AE87" s="177"/>
      <x:c r="AF87" s="174"/>
      <x:c r="AG87" s="174"/>
      <x:c r="AH87" s="174"/>
      <x:c r="AI87" s="174"/>
      <x:c r="AJ87" s="174"/>
      <x:c r="AK87" s="175" t="str">
        <x:f>IF(AJ87="","",IF(OR(LOWER(AJ87)="brazil",LOWER(AJ87)="brasil"),"Yes","No"))</x:f>
      </x:c>
      <x:c r="AL87" s="174"/>
      <x:c r="AM87" s="174"/>
      <x:c r="AN87" s="174"/>
      <x:c r="AO87" s="178"/>
      <x:c r="AP87" s="174"/>
      <x:c r="AQ87" s="174"/>
      <x:c r="AR87" s="174"/>
      <x:c r="AS87" s="174"/>
      <x:c r="AT87" s="174"/>
      <x:c r="AU87" s="174"/>
      <x:c r="AV87" s="174"/>
      <x:c r="AW87" s="174"/>
      <x:c r="AX87" s="174"/>
      <x:c r="AY87" s="174"/>
      <x:c r="AZ87" s="174"/>
      <x:c r="BA87" s="174"/>
      <x:c r="BB87" s="174"/>
      <x:c r="BC87" s="174"/>
      <x:c r="BD87" s="174"/>
      <x:c r="BE87" s="174"/>
      <x:c r="BF87" s="174"/>
      <x:c r="BG87" s="174"/>
      <x:c r="BH87" s="174"/>
      <x:c r="BI87" s="174"/>
      <x:c r="BJ87" s="174"/>
      <x:c r="BK87" s="174"/>
      <x:c r="BL87" s="174"/>
      <x:c r="BM87" s="174"/>
      <x:c r="BN87" s="174"/>
      <x:c r="BO87" s="174"/>
      <x:c r="BP87" s="174"/>
      <x:c r="BQ87" s="174"/>
      <x:c r="BR87" s="174"/>
      <x:c r="BS87" s="174"/>
      <x:c r="BT87" s="174"/>
      <x:c r="BU87" s="174"/>
      <x:c r="BV87" s="174"/>
      <x:c r="BW87" s="174"/>
      <x:c r="BX87" s="174"/>
      <x:c r="BY87" s="174"/>
      <x:c r="BZ87" s="174"/>
      <x:c r="CA87" s="174"/>
      <x:c r="CB87" s="174"/>
      <x:c r="CC87" s="174"/>
      <x:c r="CD87" s="174"/>
      <x:c r="CE87" s="174"/>
      <x:c r="CF87" s="174"/>
      <x:c r="CG87" s="174"/>
      <x:c r="CH87" s="174"/>
      <x:c r="CI87" s="179"/>
      <x:c r="CJ87" s="174"/>
      <x:c r="CK87" s="174"/>
      <x:c r="CL87" s="174"/>
      <x:c r="CM87" s="174"/>
      <x:c r="CN87" s="174"/>
      <x:c r="CO87" s="177"/>
      <x:c r="CP87" s="174"/>
      <x:c r="CQ87" s="174"/>
      <x:c r="CR87" s="174"/>
      <x:c r="CS87" s="174"/>
      <x:c r="CT87" s="174"/>
      <x:c r="CU87" s="176"/>
      <x:c r="CV87" s="176"/>
      <x:c r="CW87" s="176"/>
      <x:c r="CX87" s="176"/>
      <x:c r="CY87" s="176"/>
      <x:c r="CZ87" s="176"/>
      <x:c r="DA87" s="176"/>
      <x:c r="DB87" s="175" t="str">
        <x:f>IF(L87="","",IF(COUNT(CU87:DA87)&lt;7,"",SUM(CU87:DA87)))</x:f>
      </x:c>
      <x:c r="DC87" s="180" t="str">
        <x:f>IF(DB87="","",ROUND(DB87/14*10,1))</x:f>
      </x:c>
      <x:c r="DD87" s="174"/>
      <x:c r="DE87" s="175" t="str">
        <x:f>IF(L87="","",IF(DC87="","Pending",IF(DD87="Yes","CONDITIONAL — safety override",IF(DC87&gt;=8,"HIGH",IF(DC87&gt;=5,"CONDITIONAL","LOW")))))</x:f>
      </x:c>
      <x:c r="DF87" s="174"/>
      <x:c r="DG87" s="174"/>
      <x:c r="DH87" s="174"/>
      <x:c r="DI87" s="174"/>
      <x:c r="DJ87" s="174"/>
      <x:c r="DK87" s="174"/>
      <x:c r="DL87" s="174"/>
      <x:c r="DM87" s="174"/>
      <x:c r="DN87" s="174"/>
      <x:c r="DO87" s="174"/>
      <x:c r="DP87" s="174"/>
      <x:c r="DQ87" s="174"/>
      <x:c r="DR87" s="174"/>
      <x:c r="DS87" s="174"/>
      <x:c r="DT87" s="174"/>
      <x:c r="DU87" s="174"/>
      <x:c r="DV87" s="174"/>
      <x:c r="DW87" s="174"/>
      <x:c r="DX87" s="174"/>
      <x:c r="DY87" s="174"/>
      <x:c r="DZ87" s="174"/>
      <x:c r="EA87" s="174"/>
      <x:c r="EB87" s="175" t="str">
        <x:f>IF(L87="","",IF(AND(F87="Claim-ready",CJ87="Yes",CL87="Yes",DZ87&lt;&gt;""),"Yes","No / Pending"))</x:f>
      </x:c>
      <x:c r="EC87" s="174"/>
      <x:c r="ED87" s="174"/>
      <x:c r="EE87" s="174"/>
      <x:c r="EF87" s="174"/>
      <x:c r="EG87" s="174"/>
      <x:c r="EH87" s="177"/>
      <x:c r="EI87" s="174"/>
      <x:c r="EJ87" s="174"/>
      <x:c r="EK87" s="174"/>
      <x:c r="EL87" s="177"/>
      <x:c r="EM87" s="174"/>
      <x:c r="EN87" s="181" t="str">
        <x:f>IF(L87="","",(IF(N87&lt;&gt;"",1,0)+IF(O87&lt;&gt;"",1,0)+IF(AJ87&lt;&gt;"",1,0)+IF(AU87&lt;&gt;"",1,0)+IF(BE87&lt;&gt;"",1,0)+IF(CF87&lt;&gt;"",1,0)+IF(CJ87="Yes",1,0)+IF(CL87="Yes",1,0)+IF(DE87&lt;&gt;"Pending",1,0)+IF(F87&lt;&gt;"",1,0)+IF(DZ87&lt;&gt;"",1,0)+IF(EI87&lt;&gt;"",1,0))/12)</x:f>
      </x:c>
    </x:row>
    <x:row r="88">
      <x:c r="A88" s="175" t="str">
        <x:f>IF(L88="","","EV-"&amp;TEXT(ROW()-3,"0000"))</x:f>
      </x:c>
      <x:c r="B88" s="174"/>
      <x:c r="C88" s="175" t="str">
        <x:f>IF(L88="","",IF(OR(CM88="Retracted",CN88="Retracted",F88="Not used"),"🔴 Do not use for conclusion",IF(OR(R88="Official / Institutional",I88="Official / contextual"),"🔵 Official / contextual",IF(OR(I88="Definition",I88="Framework",I88="Paradigm shift"),"🟣 Conceptual key source",IF(AND(CJ88="Yes",CL88="Yes",OR(CG88="High",CG88="Moderate"),CH88&lt;&gt;"High",CH88&lt;&gt;"Critical",F88="Claim-ready"),"🟢 Claim-ready","🟡 Caution / context")))))</x:f>
      </x:c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6"/>
      <x:c r="P88" s="174"/>
      <x:c r="Q88" s="174"/>
      <x:c r="R88" s="174"/>
      <x:c r="S88" s="174"/>
      <x:c r="T88" s="174"/>
      <x:c r="U88" s="174"/>
      <x:c r="V88" s="174"/>
      <x:c r="W88" s="175" t="str">
        <x:f>IF(V88="","",LOWER(SUBSTITUTE(SUBSTITUTE(SUBSTITUTE(SUBSTITUTE(TRIM(V88),"https://doi.org/",""),"http://doi.org/",""),"https://dx.doi.org/",""),"doi:","")))</x:f>
      </x:c>
      <x:c r="X88" s="174"/>
      <x:c r="Y88" s="174"/>
      <x:c r="Z88" s="174"/>
      <x:c r="AA88" s="174"/>
      <x:c r="AB88" s="174"/>
      <x:c r="AC88" s="174"/>
      <x:c r="AD88" s="177"/>
      <x:c r="AE88" s="177"/>
      <x:c r="AF88" s="174"/>
      <x:c r="AG88" s="174"/>
      <x:c r="AH88" s="174"/>
      <x:c r="AI88" s="174"/>
      <x:c r="AJ88" s="174"/>
      <x:c r="AK88" s="175" t="str">
        <x:f>IF(AJ88="","",IF(OR(LOWER(AJ88)="brazil",LOWER(AJ88)="brasil"),"Yes","No"))</x:f>
      </x:c>
      <x:c r="AL88" s="174"/>
      <x:c r="AM88" s="174"/>
      <x:c r="AN88" s="174"/>
      <x:c r="AO88" s="178"/>
      <x:c r="AP88" s="174"/>
      <x:c r="AQ88" s="174"/>
      <x:c r="AR88" s="174"/>
      <x:c r="AS88" s="174"/>
      <x:c r="AT88" s="174"/>
      <x:c r="AU88" s="174"/>
      <x:c r="AV88" s="174"/>
      <x:c r="AW88" s="174"/>
      <x:c r="AX88" s="174"/>
      <x:c r="AY88" s="174"/>
      <x:c r="AZ88" s="174"/>
      <x:c r="BA88" s="174"/>
      <x:c r="BB88" s="174"/>
      <x:c r="BC88" s="174"/>
      <x:c r="BD88" s="174"/>
      <x:c r="BE88" s="174"/>
      <x:c r="BF88" s="174"/>
      <x:c r="BG88" s="174"/>
      <x:c r="BH88" s="174"/>
      <x:c r="BI88" s="174"/>
      <x:c r="BJ88" s="174"/>
      <x:c r="BK88" s="174"/>
      <x:c r="BL88" s="174"/>
      <x:c r="BM88" s="174"/>
      <x:c r="BN88" s="174"/>
      <x:c r="BO88" s="174"/>
      <x:c r="BP88" s="174"/>
      <x:c r="BQ88" s="174"/>
      <x:c r="BR88" s="174"/>
      <x:c r="BS88" s="174"/>
      <x:c r="BT88" s="174"/>
      <x:c r="BU88" s="174"/>
      <x:c r="BV88" s="174"/>
      <x:c r="BW88" s="174"/>
      <x:c r="BX88" s="174"/>
      <x:c r="BY88" s="174"/>
      <x:c r="BZ88" s="174"/>
      <x:c r="CA88" s="174"/>
      <x:c r="CB88" s="174"/>
      <x:c r="CC88" s="174"/>
      <x:c r="CD88" s="174"/>
      <x:c r="CE88" s="174"/>
      <x:c r="CF88" s="174"/>
      <x:c r="CG88" s="174"/>
      <x:c r="CH88" s="174"/>
      <x:c r="CI88" s="179"/>
      <x:c r="CJ88" s="174"/>
      <x:c r="CK88" s="174"/>
      <x:c r="CL88" s="174"/>
      <x:c r="CM88" s="174"/>
      <x:c r="CN88" s="174"/>
      <x:c r="CO88" s="177"/>
      <x:c r="CP88" s="174"/>
      <x:c r="CQ88" s="174"/>
      <x:c r="CR88" s="174"/>
      <x:c r="CS88" s="174"/>
      <x:c r="CT88" s="174"/>
      <x:c r="CU88" s="176"/>
      <x:c r="CV88" s="176"/>
      <x:c r="CW88" s="176"/>
      <x:c r="CX88" s="176"/>
      <x:c r="CY88" s="176"/>
      <x:c r="CZ88" s="176"/>
      <x:c r="DA88" s="176"/>
      <x:c r="DB88" s="175" t="str">
        <x:f>IF(L88="","",IF(COUNT(CU88:DA88)&lt;7,"",SUM(CU88:DA88)))</x:f>
      </x:c>
      <x:c r="DC88" s="180" t="str">
        <x:f>IF(DB88="","",ROUND(DB88/14*10,1))</x:f>
      </x:c>
      <x:c r="DD88" s="174"/>
      <x:c r="DE88" s="175" t="str">
        <x:f>IF(L88="","",IF(DC88="","Pending",IF(DD88="Yes","CONDITIONAL — safety override",IF(DC88&gt;=8,"HIGH",IF(DC88&gt;=5,"CONDITIONAL","LOW")))))</x:f>
      </x:c>
      <x:c r="DF88" s="174"/>
      <x:c r="DG88" s="174"/>
      <x:c r="DH88" s="174"/>
      <x:c r="DI88" s="174"/>
      <x:c r="DJ88" s="174"/>
      <x:c r="DK88" s="174"/>
      <x:c r="DL88" s="174"/>
      <x:c r="DM88" s="174"/>
      <x:c r="DN88" s="174"/>
      <x:c r="DO88" s="174"/>
      <x:c r="DP88" s="174"/>
      <x:c r="DQ88" s="174"/>
      <x:c r="DR88" s="174"/>
      <x:c r="DS88" s="174"/>
      <x:c r="DT88" s="174"/>
      <x:c r="DU88" s="174"/>
      <x:c r="DV88" s="174"/>
      <x:c r="DW88" s="174"/>
      <x:c r="DX88" s="174"/>
      <x:c r="DY88" s="174"/>
      <x:c r="DZ88" s="174"/>
      <x:c r="EA88" s="174"/>
      <x:c r="EB88" s="175" t="str">
        <x:f>IF(L88="","",IF(AND(F88="Claim-ready",CJ88="Yes",CL88="Yes",DZ88&lt;&gt;""),"Yes","No / Pending"))</x:f>
      </x:c>
      <x:c r="EC88" s="174"/>
      <x:c r="ED88" s="174"/>
      <x:c r="EE88" s="174"/>
      <x:c r="EF88" s="174"/>
      <x:c r="EG88" s="174"/>
      <x:c r="EH88" s="177"/>
      <x:c r="EI88" s="174"/>
      <x:c r="EJ88" s="174"/>
      <x:c r="EK88" s="174"/>
      <x:c r="EL88" s="177"/>
      <x:c r="EM88" s="174"/>
      <x:c r="EN88" s="181" t="str">
        <x:f>IF(L88="","",(IF(N88&lt;&gt;"",1,0)+IF(O88&lt;&gt;"",1,0)+IF(AJ88&lt;&gt;"",1,0)+IF(AU88&lt;&gt;"",1,0)+IF(BE88&lt;&gt;"",1,0)+IF(CF88&lt;&gt;"",1,0)+IF(CJ88="Yes",1,0)+IF(CL88="Yes",1,0)+IF(DE88&lt;&gt;"Pending",1,0)+IF(F88&lt;&gt;"",1,0)+IF(DZ88&lt;&gt;"",1,0)+IF(EI88&lt;&gt;"",1,0))/12)</x:f>
      </x:c>
    </x:row>
    <x:row r="89">
      <x:c r="A89" s="175" t="str">
        <x:f>IF(L89="","","EV-"&amp;TEXT(ROW()-3,"0000"))</x:f>
      </x:c>
      <x:c r="B89" s="174"/>
      <x:c r="C89" s="175" t="str">
        <x:f>IF(L89="","",IF(OR(CM89="Retracted",CN89="Retracted",F89="Not used"),"🔴 Do not use for conclusion",IF(OR(R89="Official / Institutional",I89="Official / contextual"),"🔵 Official / contextual",IF(OR(I89="Definition",I89="Framework",I89="Paradigm shift"),"🟣 Conceptual key source",IF(AND(CJ89="Yes",CL89="Yes",OR(CG89="High",CG89="Moderate"),CH89&lt;&gt;"High",CH89&lt;&gt;"Critical",F89="Claim-ready"),"🟢 Claim-ready","🟡 Caution / context")))))</x:f>
      </x:c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6"/>
      <x:c r="P89" s="174"/>
      <x:c r="Q89" s="174"/>
      <x:c r="R89" s="174"/>
      <x:c r="S89" s="174"/>
      <x:c r="T89" s="174"/>
      <x:c r="U89" s="174"/>
      <x:c r="V89" s="174"/>
      <x:c r="W89" s="175" t="str">
        <x:f>IF(V89="","",LOWER(SUBSTITUTE(SUBSTITUTE(SUBSTITUTE(SUBSTITUTE(TRIM(V89),"https://doi.org/",""),"http://doi.org/",""),"https://dx.doi.org/",""),"doi:","")))</x:f>
      </x:c>
      <x:c r="X89" s="174"/>
      <x:c r="Y89" s="174"/>
      <x:c r="Z89" s="174"/>
      <x:c r="AA89" s="174"/>
      <x:c r="AB89" s="174"/>
      <x:c r="AC89" s="174"/>
      <x:c r="AD89" s="177"/>
      <x:c r="AE89" s="177"/>
      <x:c r="AF89" s="174"/>
      <x:c r="AG89" s="174"/>
      <x:c r="AH89" s="174"/>
      <x:c r="AI89" s="174"/>
      <x:c r="AJ89" s="174"/>
      <x:c r="AK89" s="175" t="str">
        <x:f>IF(AJ89="","",IF(OR(LOWER(AJ89)="brazil",LOWER(AJ89)="brasil"),"Yes","No"))</x:f>
      </x:c>
      <x:c r="AL89" s="174"/>
      <x:c r="AM89" s="174"/>
      <x:c r="AN89" s="174"/>
      <x:c r="AO89" s="178"/>
      <x:c r="AP89" s="174"/>
      <x:c r="AQ89" s="174"/>
      <x:c r="AR89" s="174"/>
      <x:c r="AS89" s="174"/>
      <x:c r="AT89" s="174"/>
      <x:c r="AU89" s="174"/>
      <x:c r="AV89" s="174"/>
      <x:c r="AW89" s="174"/>
      <x:c r="AX89" s="174"/>
      <x:c r="AY89" s="174"/>
      <x:c r="AZ89" s="174"/>
      <x:c r="BA89" s="174"/>
      <x:c r="BB89" s="174"/>
      <x:c r="BC89" s="174"/>
      <x:c r="BD89" s="174"/>
      <x:c r="BE89" s="174"/>
      <x:c r="BF89" s="174"/>
      <x:c r="BG89" s="174"/>
      <x:c r="BH89" s="174"/>
      <x:c r="BI89" s="174"/>
      <x:c r="BJ89" s="174"/>
      <x:c r="BK89" s="174"/>
      <x:c r="BL89" s="174"/>
      <x:c r="BM89" s="174"/>
      <x:c r="BN89" s="174"/>
      <x:c r="BO89" s="174"/>
      <x:c r="BP89" s="174"/>
      <x:c r="BQ89" s="174"/>
      <x:c r="BR89" s="174"/>
      <x:c r="BS89" s="174"/>
      <x:c r="BT89" s="174"/>
      <x:c r="BU89" s="174"/>
      <x:c r="BV89" s="174"/>
      <x:c r="BW89" s="174"/>
      <x:c r="BX89" s="174"/>
      <x:c r="BY89" s="174"/>
      <x:c r="BZ89" s="174"/>
      <x:c r="CA89" s="174"/>
      <x:c r="CB89" s="174"/>
      <x:c r="CC89" s="174"/>
      <x:c r="CD89" s="174"/>
      <x:c r="CE89" s="174"/>
      <x:c r="CF89" s="174"/>
      <x:c r="CG89" s="174"/>
      <x:c r="CH89" s="174"/>
      <x:c r="CI89" s="179"/>
      <x:c r="CJ89" s="174"/>
      <x:c r="CK89" s="174"/>
      <x:c r="CL89" s="174"/>
      <x:c r="CM89" s="174"/>
      <x:c r="CN89" s="174"/>
      <x:c r="CO89" s="177"/>
      <x:c r="CP89" s="174"/>
      <x:c r="CQ89" s="174"/>
      <x:c r="CR89" s="174"/>
      <x:c r="CS89" s="174"/>
      <x:c r="CT89" s="174"/>
      <x:c r="CU89" s="176"/>
      <x:c r="CV89" s="176"/>
      <x:c r="CW89" s="176"/>
      <x:c r="CX89" s="176"/>
      <x:c r="CY89" s="176"/>
      <x:c r="CZ89" s="176"/>
      <x:c r="DA89" s="176"/>
      <x:c r="DB89" s="175" t="str">
        <x:f>IF(L89="","",IF(COUNT(CU89:DA89)&lt;7,"",SUM(CU89:DA89)))</x:f>
      </x:c>
      <x:c r="DC89" s="180" t="str">
        <x:f>IF(DB89="","",ROUND(DB89/14*10,1))</x:f>
      </x:c>
      <x:c r="DD89" s="174"/>
      <x:c r="DE89" s="175" t="str">
        <x:f>IF(L89="","",IF(DC89="","Pending",IF(DD89="Yes","CONDITIONAL — safety override",IF(DC89&gt;=8,"HIGH",IF(DC89&gt;=5,"CONDITIONAL","LOW")))))</x:f>
      </x:c>
      <x:c r="DF89" s="174"/>
      <x:c r="DG89" s="174"/>
      <x:c r="DH89" s="174"/>
      <x:c r="DI89" s="174"/>
      <x:c r="DJ89" s="174"/>
      <x:c r="DK89" s="174"/>
      <x:c r="DL89" s="174"/>
      <x:c r="DM89" s="174"/>
      <x:c r="DN89" s="174"/>
      <x:c r="DO89" s="174"/>
      <x:c r="DP89" s="174"/>
      <x:c r="DQ89" s="174"/>
      <x:c r="DR89" s="174"/>
      <x:c r="DS89" s="174"/>
      <x:c r="DT89" s="174"/>
      <x:c r="DU89" s="174"/>
      <x:c r="DV89" s="174"/>
      <x:c r="DW89" s="174"/>
      <x:c r="DX89" s="174"/>
      <x:c r="DY89" s="174"/>
      <x:c r="DZ89" s="174"/>
      <x:c r="EA89" s="174"/>
      <x:c r="EB89" s="175" t="str">
        <x:f>IF(L89="","",IF(AND(F89="Claim-ready",CJ89="Yes",CL89="Yes",DZ89&lt;&gt;""),"Yes","No / Pending"))</x:f>
      </x:c>
      <x:c r="EC89" s="174"/>
      <x:c r="ED89" s="174"/>
      <x:c r="EE89" s="174"/>
      <x:c r="EF89" s="174"/>
      <x:c r="EG89" s="174"/>
      <x:c r="EH89" s="177"/>
      <x:c r="EI89" s="174"/>
      <x:c r="EJ89" s="174"/>
      <x:c r="EK89" s="174"/>
      <x:c r="EL89" s="177"/>
      <x:c r="EM89" s="174"/>
      <x:c r="EN89" s="181" t="str">
        <x:f>IF(L89="","",(IF(N89&lt;&gt;"",1,0)+IF(O89&lt;&gt;"",1,0)+IF(AJ89&lt;&gt;"",1,0)+IF(AU89&lt;&gt;"",1,0)+IF(BE89&lt;&gt;"",1,0)+IF(CF89&lt;&gt;"",1,0)+IF(CJ89="Yes",1,0)+IF(CL89="Yes",1,0)+IF(DE89&lt;&gt;"Pending",1,0)+IF(F89&lt;&gt;"",1,0)+IF(DZ89&lt;&gt;"",1,0)+IF(EI89&lt;&gt;"",1,0))/12)</x:f>
      </x:c>
    </x:row>
    <x:row r="90">
      <x:c r="A90" s="175" t="str">
        <x:f>IF(L90="","","EV-"&amp;TEXT(ROW()-3,"0000"))</x:f>
      </x:c>
      <x:c r="B90" s="174"/>
      <x:c r="C90" s="175" t="str">
        <x:f>IF(L90="","",IF(OR(CM90="Retracted",CN90="Retracted",F90="Not used"),"🔴 Do not use for conclusion",IF(OR(R90="Official / Institutional",I90="Official / contextual"),"🔵 Official / contextual",IF(OR(I90="Definition",I90="Framework",I90="Paradigm shift"),"🟣 Conceptual key source",IF(AND(CJ90="Yes",CL90="Yes",OR(CG90="High",CG90="Moderate"),CH90&lt;&gt;"High",CH90&lt;&gt;"Critical",F90="Claim-ready"),"🟢 Claim-ready","🟡 Caution / context")))))</x:f>
      </x:c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6"/>
      <x:c r="P90" s="174"/>
      <x:c r="Q90" s="174"/>
      <x:c r="R90" s="174"/>
      <x:c r="S90" s="174"/>
      <x:c r="T90" s="174"/>
      <x:c r="U90" s="174"/>
      <x:c r="V90" s="174"/>
      <x:c r="W90" s="175" t="str">
        <x:f>IF(V90="","",LOWER(SUBSTITUTE(SUBSTITUTE(SUBSTITUTE(SUBSTITUTE(TRIM(V90),"https://doi.org/",""),"http://doi.org/",""),"https://dx.doi.org/",""),"doi:","")))</x:f>
      </x:c>
      <x:c r="X90" s="174"/>
      <x:c r="Y90" s="174"/>
      <x:c r="Z90" s="174"/>
      <x:c r="AA90" s="174"/>
      <x:c r="AB90" s="174"/>
      <x:c r="AC90" s="174"/>
      <x:c r="AD90" s="177"/>
      <x:c r="AE90" s="177"/>
      <x:c r="AF90" s="174"/>
      <x:c r="AG90" s="174"/>
      <x:c r="AH90" s="174"/>
      <x:c r="AI90" s="174"/>
      <x:c r="AJ90" s="174"/>
      <x:c r="AK90" s="175" t="str">
        <x:f>IF(AJ90="","",IF(OR(LOWER(AJ90)="brazil",LOWER(AJ90)="brasil"),"Yes","No"))</x:f>
      </x:c>
      <x:c r="AL90" s="174"/>
      <x:c r="AM90" s="174"/>
      <x:c r="AN90" s="174"/>
      <x:c r="AO90" s="178"/>
      <x:c r="AP90" s="174"/>
      <x:c r="AQ90" s="174"/>
      <x:c r="AR90" s="174"/>
      <x:c r="AS90" s="174"/>
      <x:c r="AT90" s="174"/>
      <x:c r="AU90" s="174"/>
      <x:c r="AV90" s="174"/>
      <x:c r="AW90" s="174"/>
      <x:c r="AX90" s="174"/>
      <x:c r="AY90" s="174"/>
      <x:c r="AZ90" s="174"/>
      <x:c r="BA90" s="174"/>
      <x:c r="BB90" s="174"/>
      <x:c r="BC90" s="174"/>
      <x:c r="BD90" s="174"/>
      <x:c r="BE90" s="174"/>
      <x:c r="BF90" s="174"/>
      <x:c r="BG90" s="174"/>
      <x:c r="BH90" s="174"/>
      <x:c r="BI90" s="174"/>
      <x:c r="BJ90" s="174"/>
      <x:c r="BK90" s="174"/>
      <x:c r="BL90" s="174"/>
      <x:c r="BM90" s="174"/>
      <x:c r="BN90" s="174"/>
      <x:c r="BO90" s="174"/>
      <x:c r="BP90" s="174"/>
      <x:c r="BQ90" s="174"/>
      <x:c r="BR90" s="174"/>
      <x:c r="BS90" s="174"/>
      <x:c r="BT90" s="174"/>
      <x:c r="BU90" s="174"/>
      <x:c r="BV90" s="174"/>
      <x:c r="BW90" s="174"/>
      <x:c r="BX90" s="174"/>
      <x:c r="BY90" s="174"/>
      <x:c r="BZ90" s="174"/>
      <x:c r="CA90" s="174"/>
      <x:c r="CB90" s="174"/>
      <x:c r="CC90" s="174"/>
      <x:c r="CD90" s="174"/>
      <x:c r="CE90" s="174"/>
      <x:c r="CF90" s="174"/>
      <x:c r="CG90" s="174"/>
      <x:c r="CH90" s="174"/>
      <x:c r="CI90" s="179"/>
      <x:c r="CJ90" s="174"/>
      <x:c r="CK90" s="174"/>
      <x:c r="CL90" s="174"/>
      <x:c r="CM90" s="174"/>
      <x:c r="CN90" s="174"/>
      <x:c r="CO90" s="177"/>
      <x:c r="CP90" s="174"/>
      <x:c r="CQ90" s="174"/>
      <x:c r="CR90" s="174"/>
      <x:c r="CS90" s="174"/>
      <x:c r="CT90" s="174"/>
      <x:c r="CU90" s="176"/>
      <x:c r="CV90" s="176"/>
      <x:c r="CW90" s="176"/>
      <x:c r="CX90" s="176"/>
      <x:c r="CY90" s="176"/>
      <x:c r="CZ90" s="176"/>
      <x:c r="DA90" s="176"/>
      <x:c r="DB90" s="175" t="str">
        <x:f>IF(L90="","",IF(COUNT(CU90:DA90)&lt;7,"",SUM(CU90:DA90)))</x:f>
      </x:c>
      <x:c r="DC90" s="180" t="str">
        <x:f>IF(DB90="","",ROUND(DB90/14*10,1))</x:f>
      </x:c>
      <x:c r="DD90" s="174"/>
      <x:c r="DE90" s="175" t="str">
        <x:f>IF(L90="","",IF(DC90="","Pending",IF(DD90="Yes","CONDITIONAL — safety override",IF(DC90&gt;=8,"HIGH",IF(DC90&gt;=5,"CONDITIONAL","LOW")))))</x:f>
      </x:c>
      <x:c r="DF90" s="174"/>
      <x:c r="DG90" s="174"/>
      <x:c r="DH90" s="174"/>
      <x:c r="DI90" s="174"/>
      <x:c r="DJ90" s="174"/>
      <x:c r="DK90" s="174"/>
      <x:c r="DL90" s="174"/>
      <x:c r="DM90" s="174"/>
      <x:c r="DN90" s="174"/>
      <x:c r="DO90" s="174"/>
      <x:c r="DP90" s="174"/>
      <x:c r="DQ90" s="174"/>
      <x:c r="DR90" s="174"/>
      <x:c r="DS90" s="174"/>
      <x:c r="DT90" s="174"/>
      <x:c r="DU90" s="174"/>
      <x:c r="DV90" s="174"/>
      <x:c r="DW90" s="174"/>
      <x:c r="DX90" s="174"/>
      <x:c r="DY90" s="174"/>
      <x:c r="DZ90" s="174"/>
      <x:c r="EA90" s="174"/>
      <x:c r="EB90" s="175" t="str">
        <x:f>IF(L90="","",IF(AND(F90="Claim-ready",CJ90="Yes",CL90="Yes",DZ90&lt;&gt;""),"Yes","No / Pending"))</x:f>
      </x:c>
      <x:c r="EC90" s="174"/>
      <x:c r="ED90" s="174"/>
      <x:c r="EE90" s="174"/>
      <x:c r="EF90" s="174"/>
      <x:c r="EG90" s="174"/>
      <x:c r="EH90" s="177"/>
      <x:c r="EI90" s="174"/>
      <x:c r="EJ90" s="174"/>
      <x:c r="EK90" s="174"/>
      <x:c r="EL90" s="177"/>
      <x:c r="EM90" s="174"/>
      <x:c r="EN90" s="181" t="str">
        <x:f>IF(L90="","",(IF(N90&lt;&gt;"",1,0)+IF(O90&lt;&gt;"",1,0)+IF(AJ90&lt;&gt;"",1,0)+IF(AU90&lt;&gt;"",1,0)+IF(BE90&lt;&gt;"",1,0)+IF(CF90&lt;&gt;"",1,0)+IF(CJ90="Yes",1,0)+IF(CL90="Yes",1,0)+IF(DE90&lt;&gt;"Pending",1,0)+IF(F90&lt;&gt;"",1,0)+IF(DZ90&lt;&gt;"",1,0)+IF(EI90&lt;&gt;"",1,0))/12)</x:f>
      </x:c>
    </x:row>
    <x:row r="91">
      <x:c r="A91" s="175" t="str">
        <x:f>IF(L91="","","EV-"&amp;TEXT(ROW()-3,"0000"))</x:f>
      </x:c>
      <x:c r="B91" s="174"/>
      <x:c r="C91" s="175" t="str">
        <x:f>IF(L91="","",IF(OR(CM91="Retracted",CN91="Retracted",F91="Not used"),"🔴 Do not use for conclusion",IF(OR(R91="Official / Institutional",I91="Official / contextual"),"🔵 Official / contextual",IF(OR(I91="Definition",I91="Framework",I91="Paradigm shift"),"🟣 Conceptual key source",IF(AND(CJ91="Yes",CL91="Yes",OR(CG91="High",CG91="Moderate"),CH91&lt;&gt;"High",CH91&lt;&gt;"Critical",F91="Claim-ready"),"🟢 Claim-ready","🟡 Caution / context")))))</x:f>
      </x:c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6"/>
      <x:c r="P91" s="174"/>
      <x:c r="Q91" s="174"/>
      <x:c r="R91" s="174"/>
      <x:c r="S91" s="174"/>
      <x:c r="T91" s="174"/>
      <x:c r="U91" s="174"/>
      <x:c r="V91" s="174"/>
      <x:c r="W91" s="175" t="str">
        <x:f>IF(V91="","",LOWER(SUBSTITUTE(SUBSTITUTE(SUBSTITUTE(SUBSTITUTE(TRIM(V91),"https://doi.org/",""),"http://doi.org/",""),"https://dx.doi.org/",""),"doi:","")))</x:f>
      </x:c>
      <x:c r="X91" s="174"/>
      <x:c r="Y91" s="174"/>
      <x:c r="Z91" s="174"/>
      <x:c r="AA91" s="174"/>
      <x:c r="AB91" s="174"/>
      <x:c r="AC91" s="174"/>
      <x:c r="AD91" s="177"/>
      <x:c r="AE91" s="177"/>
      <x:c r="AF91" s="174"/>
      <x:c r="AG91" s="174"/>
      <x:c r="AH91" s="174"/>
      <x:c r="AI91" s="174"/>
      <x:c r="AJ91" s="174"/>
      <x:c r="AK91" s="175" t="str">
        <x:f>IF(AJ91="","",IF(OR(LOWER(AJ91)="brazil",LOWER(AJ91)="brasil"),"Yes","No"))</x:f>
      </x:c>
      <x:c r="AL91" s="174"/>
      <x:c r="AM91" s="174"/>
      <x:c r="AN91" s="174"/>
      <x:c r="AO91" s="178"/>
      <x:c r="AP91" s="174"/>
      <x:c r="AQ91" s="174"/>
      <x:c r="AR91" s="174"/>
      <x:c r="AS91" s="174"/>
      <x:c r="AT91" s="174"/>
      <x:c r="AU91" s="174"/>
      <x:c r="AV91" s="174"/>
      <x:c r="AW91" s="174"/>
      <x:c r="AX91" s="174"/>
      <x:c r="AY91" s="174"/>
      <x:c r="AZ91" s="174"/>
      <x:c r="BA91" s="174"/>
      <x:c r="BB91" s="174"/>
      <x:c r="BC91" s="174"/>
      <x:c r="BD91" s="174"/>
      <x:c r="BE91" s="174"/>
      <x:c r="BF91" s="174"/>
      <x:c r="BG91" s="174"/>
      <x:c r="BH91" s="174"/>
      <x:c r="BI91" s="174"/>
      <x:c r="BJ91" s="174"/>
      <x:c r="BK91" s="174"/>
      <x:c r="BL91" s="174"/>
      <x:c r="BM91" s="174"/>
      <x:c r="BN91" s="174"/>
      <x:c r="BO91" s="174"/>
      <x:c r="BP91" s="174"/>
      <x:c r="BQ91" s="174"/>
      <x:c r="BR91" s="174"/>
      <x:c r="BS91" s="174"/>
      <x:c r="BT91" s="174"/>
      <x:c r="BU91" s="174"/>
      <x:c r="BV91" s="174"/>
      <x:c r="BW91" s="174"/>
      <x:c r="BX91" s="174"/>
      <x:c r="BY91" s="174"/>
      <x:c r="BZ91" s="174"/>
      <x:c r="CA91" s="174"/>
      <x:c r="CB91" s="174"/>
      <x:c r="CC91" s="174"/>
      <x:c r="CD91" s="174"/>
      <x:c r="CE91" s="174"/>
      <x:c r="CF91" s="174"/>
      <x:c r="CG91" s="174"/>
      <x:c r="CH91" s="174"/>
      <x:c r="CI91" s="179"/>
      <x:c r="CJ91" s="174"/>
      <x:c r="CK91" s="174"/>
      <x:c r="CL91" s="174"/>
      <x:c r="CM91" s="174"/>
      <x:c r="CN91" s="174"/>
      <x:c r="CO91" s="177"/>
      <x:c r="CP91" s="174"/>
      <x:c r="CQ91" s="174"/>
      <x:c r="CR91" s="174"/>
      <x:c r="CS91" s="174"/>
      <x:c r="CT91" s="174"/>
      <x:c r="CU91" s="176"/>
      <x:c r="CV91" s="176"/>
      <x:c r="CW91" s="176"/>
      <x:c r="CX91" s="176"/>
      <x:c r="CY91" s="176"/>
      <x:c r="CZ91" s="176"/>
      <x:c r="DA91" s="176"/>
      <x:c r="DB91" s="175" t="str">
        <x:f>IF(L91="","",IF(COUNT(CU91:DA91)&lt;7,"",SUM(CU91:DA91)))</x:f>
      </x:c>
      <x:c r="DC91" s="180" t="str">
        <x:f>IF(DB91="","",ROUND(DB91/14*10,1))</x:f>
      </x:c>
      <x:c r="DD91" s="174"/>
      <x:c r="DE91" s="175" t="str">
        <x:f>IF(L91="","",IF(DC91="","Pending",IF(DD91="Yes","CONDITIONAL — safety override",IF(DC91&gt;=8,"HIGH",IF(DC91&gt;=5,"CONDITIONAL","LOW")))))</x:f>
      </x:c>
      <x:c r="DF91" s="174"/>
      <x:c r="DG91" s="174"/>
      <x:c r="DH91" s="174"/>
      <x:c r="DI91" s="174"/>
      <x:c r="DJ91" s="174"/>
      <x:c r="DK91" s="174"/>
      <x:c r="DL91" s="174"/>
      <x:c r="DM91" s="174"/>
      <x:c r="DN91" s="174"/>
      <x:c r="DO91" s="174"/>
      <x:c r="DP91" s="174"/>
      <x:c r="DQ91" s="174"/>
      <x:c r="DR91" s="174"/>
      <x:c r="DS91" s="174"/>
      <x:c r="DT91" s="174"/>
      <x:c r="DU91" s="174"/>
      <x:c r="DV91" s="174"/>
      <x:c r="DW91" s="174"/>
      <x:c r="DX91" s="174"/>
      <x:c r="DY91" s="174"/>
      <x:c r="DZ91" s="174"/>
      <x:c r="EA91" s="174"/>
      <x:c r="EB91" s="175" t="str">
        <x:f>IF(L91="","",IF(AND(F91="Claim-ready",CJ91="Yes",CL91="Yes",DZ91&lt;&gt;""),"Yes","No / Pending"))</x:f>
      </x:c>
      <x:c r="EC91" s="174"/>
      <x:c r="ED91" s="174"/>
      <x:c r="EE91" s="174"/>
      <x:c r="EF91" s="174"/>
      <x:c r="EG91" s="174"/>
      <x:c r="EH91" s="177"/>
      <x:c r="EI91" s="174"/>
      <x:c r="EJ91" s="174"/>
      <x:c r="EK91" s="174"/>
      <x:c r="EL91" s="177"/>
      <x:c r="EM91" s="174"/>
      <x:c r="EN91" s="181" t="str">
        <x:f>IF(L91="","",(IF(N91&lt;&gt;"",1,0)+IF(O91&lt;&gt;"",1,0)+IF(AJ91&lt;&gt;"",1,0)+IF(AU91&lt;&gt;"",1,0)+IF(BE91&lt;&gt;"",1,0)+IF(CF91&lt;&gt;"",1,0)+IF(CJ91="Yes",1,0)+IF(CL91="Yes",1,0)+IF(DE91&lt;&gt;"Pending",1,0)+IF(F91&lt;&gt;"",1,0)+IF(DZ91&lt;&gt;"",1,0)+IF(EI91&lt;&gt;"",1,0))/12)</x:f>
      </x:c>
    </x:row>
    <x:row r="92">
      <x:c r="A92" s="175" t="str">
        <x:f>IF(L92="","","EV-"&amp;TEXT(ROW()-3,"0000"))</x:f>
      </x:c>
      <x:c r="B92" s="174"/>
      <x:c r="C92" s="175" t="str">
        <x:f>IF(L92="","",IF(OR(CM92="Retracted",CN92="Retracted",F92="Not used"),"🔴 Do not use for conclusion",IF(OR(R92="Official / Institutional",I92="Official / contextual"),"🔵 Official / contextual",IF(OR(I92="Definition",I92="Framework",I92="Paradigm shift"),"🟣 Conceptual key source",IF(AND(CJ92="Yes",CL92="Yes",OR(CG92="High",CG92="Moderate"),CH92&lt;&gt;"High",CH92&lt;&gt;"Critical",F92="Claim-ready"),"🟢 Claim-ready","🟡 Caution / context")))))</x:f>
      </x:c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6"/>
      <x:c r="P92" s="174"/>
      <x:c r="Q92" s="174"/>
      <x:c r="R92" s="174"/>
      <x:c r="S92" s="174"/>
      <x:c r="T92" s="174"/>
      <x:c r="U92" s="174"/>
      <x:c r="V92" s="174"/>
      <x:c r="W92" s="175" t="str">
        <x:f>IF(V92="","",LOWER(SUBSTITUTE(SUBSTITUTE(SUBSTITUTE(SUBSTITUTE(TRIM(V92),"https://doi.org/",""),"http://doi.org/",""),"https://dx.doi.org/",""),"doi:","")))</x:f>
      </x:c>
      <x:c r="X92" s="174"/>
      <x:c r="Y92" s="174"/>
      <x:c r="Z92" s="174"/>
      <x:c r="AA92" s="174"/>
      <x:c r="AB92" s="174"/>
      <x:c r="AC92" s="174"/>
      <x:c r="AD92" s="177"/>
      <x:c r="AE92" s="177"/>
      <x:c r="AF92" s="174"/>
      <x:c r="AG92" s="174"/>
      <x:c r="AH92" s="174"/>
      <x:c r="AI92" s="174"/>
      <x:c r="AJ92" s="174"/>
      <x:c r="AK92" s="175" t="str">
        <x:f>IF(AJ92="","",IF(OR(LOWER(AJ92)="brazil",LOWER(AJ92)="brasil"),"Yes","No"))</x:f>
      </x:c>
      <x:c r="AL92" s="174"/>
      <x:c r="AM92" s="174"/>
      <x:c r="AN92" s="174"/>
      <x:c r="AO92" s="178"/>
      <x:c r="AP92" s="174"/>
      <x:c r="AQ92" s="174"/>
      <x:c r="AR92" s="174"/>
      <x:c r="AS92" s="174"/>
      <x:c r="AT92" s="174"/>
      <x:c r="AU92" s="174"/>
      <x:c r="AV92" s="174"/>
      <x:c r="AW92" s="174"/>
      <x:c r="AX92" s="174"/>
      <x:c r="AY92" s="174"/>
      <x:c r="AZ92" s="174"/>
      <x:c r="BA92" s="174"/>
      <x:c r="BB92" s="174"/>
      <x:c r="BC92" s="174"/>
      <x:c r="BD92" s="174"/>
      <x:c r="BE92" s="174"/>
      <x:c r="BF92" s="174"/>
      <x:c r="BG92" s="174"/>
      <x:c r="BH92" s="174"/>
      <x:c r="BI92" s="174"/>
      <x:c r="BJ92" s="174"/>
      <x:c r="BK92" s="174"/>
      <x:c r="BL92" s="174"/>
      <x:c r="BM92" s="174"/>
      <x:c r="BN92" s="174"/>
      <x:c r="BO92" s="174"/>
      <x:c r="BP92" s="174"/>
      <x:c r="BQ92" s="174"/>
      <x:c r="BR92" s="174"/>
      <x:c r="BS92" s="174"/>
      <x:c r="BT92" s="174"/>
      <x:c r="BU92" s="174"/>
      <x:c r="BV92" s="174"/>
      <x:c r="BW92" s="174"/>
      <x:c r="BX92" s="174"/>
      <x:c r="BY92" s="174"/>
      <x:c r="BZ92" s="174"/>
      <x:c r="CA92" s="174"/>
      <x:c r="CB92" s="174"/>
      <x:c r="CC92" s="174"/>
      <x:c r="CD92" s="174"/>
      <x:c r="CE92" s="174"/>
      <x:c r="CF92" s="174"/>
      <x:c r="CG92" s="174"/>
      <x:c r="CH92" s="174"/>
      <x:c r="CI92" s="179"/>
      <x:c r="CJ92" s="174"/>
      <x:c r="CK92" s="174"/>
      <x:c r="CL92" s="174"/>
      <x:c r="CM92" s="174"/>
      <x:c r="CN92" s="174"/>
      <x:c r="CO92" s="177"/>
      <x:c r="CP92" s="174"/>
      <x:c r="CQ92" s="174"/>
      <x:c r="CR92" s="174"/>
      <x:c r="CS92" s="174"/>
      <x:c r="CT92" s="174"/>
      <x:c r="CU92" s="176"/>
      <x:c r="CV92" s="176"/>
      <x:c r="CW92" s="176"/>
      <x:c r="CX92" s="176"/>
      <x:c r="CY92" s="176"/>
      <x:c r="CZ92" s="176"/>
      <x:c r="DA92" s="176"/>
      <x:c r="DB92" s="175" t="str">
        <x:f>IF(L92="","",IF(COUNT(CU92:DA92)&lt;7,"",SUM(CU92:DA92)))</x:f>
      </x:c>
      <x:c r="DC92" s="180" t="str">
        <x:f>IF(DB92="","",ROUND(DB92/14*10,1))</x:f>
      </x:c>
      <x:c r="DD92" s="174"/>
      <x:c r="DE92" s="175" t="str">
        <x:f>IF(L92="","",IF(DC92="","Pending",IF(DD92="Yes","CONDITIONAL — safety override",IF(DC92&gt;=8,"HIGH",IF(DC92&gt;=5,"CONDITIONAL","LOW")))))</x:f>
      </x:c>
      <x:c r="DF92" s="174"/>
      <x:c r="DG92" s="174"/>
      <x:c r="DH92" s="174"/>
      <x:c r="DI92" s="174"/>
      <x:c r="DJ92" s="174"/>
      <x:c r="DK92" s="174"/>
      <x:c r="DL92" s="174"/>
      <x:c r="DM92" s="174"/>
      <x:c r="DN92" s="174"/>
      <x:c r="DO92" s="174"/>
      <x:c r="DP92" s="174"/>
      <x:c r="DQ92" s="174"/>
      <x:c r="DR92" s="174"/>
      <x:c r="DS92" s="174"/>
      <x:c r="DT92" s="174"/>
      <x:c r="DU92" s="174"/>
      <x:c r="DV92" s="174"/>
      <x:c r="DW92" s="174"/>
      <x:c r="DX92" s="174"/>
      <x:c r="DY92" s="174"/>
      <x:c r="DZ92" s="174"/>
      <x:c r="EA92" s="174"/>
      <x:c r="EB92" s="175" t="str">
        <x:f>IF(L92="","",IF(AND(F92="Claim-ready",CJ92="Yes",CL92="Yes",DZ92&lt;&gt;""),"Yes","No / Pending"))</x:f>
      </x:c>
      <x:c r="EC92" s="174"/>
      <x:c r="ED92" s="174"/>
      <x:c r="EE92" s="174"/>
      <x:c r="EF92" s="174"/>
      <x:c r="EG92" s="174"/>
      <x:c r="EH92" s="177"/>
      <x:c r="EI92" s="174"/>
      <x:c r="EJ92" s="174"/>
      <x:c r="EK92" s="174"/>
      <x:c r="EL92" s="177"/>
      <x:c r="EM92" s="174"/>
      <x:c r="EN92" s="181" t="str">
        <x:f>IF(L92="","",(IF(N92&lt;&gt;"",1,0)+IF(O92&lt;&gt;"",1,0)+IF(AJ92&lt;&gt;"",1,0)+IF(AU92&lt;&gt;"",1,0)+IF(BE92&lt;&gt;"",1,0)+IF(CF92&lt;&gt;"",1,0)+IF(CJ92="Yes",1,0)+IF(CL92="Yes",1,0)+IF(DE92&lt;&gt;"Pending",1,0)+IF(F92&lt;&gt;"",1,0)+IF(DZ92&lt;&gt;"",1,0)+IF(EI92&lt;&gt;"",1,0))/12)</x:f>
      </x:c>
    </x:row>
    <x:row r="93">
      <x:c r="A93" s="175" t="str">
        <x:f>IF(L93="","","EV-"&amp;TEXT(ROW()-3,"0000"))</x:f>
      </x:c>
      <x:c r="B93" s="174"/>
      <x:c r="C93" s="175" t="str">
        <x:f>IF(L93="","",IF(OR(CM93="Retracted",CN93="Retracted",F93="Not used"),"🔴 Do not use for conclusion",IF(OR(R93="Official / Institutional",I93="Official / contextual"),"🔵 Official / contextual",IF(OR(I93="Definition",I93="Framework",I93="Paradigm shift"),"🟣 Conceptual key source",IF(AND(CJ93="Yes",CL93="Yes",OR(CG93="High",CG93="Moderate"),CH93&lt;&gt;"High",CH93&lt;&gt;"Critical",F93="Claim-ready"),"🟢 Claim-ready","🟡 Caution / context")))))</x:f>
      </x:c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6"/>
      <x:c r="P93" s="174"/>
      <x:c r="Q93" s="174"/>
      <x:c r="R93" s="174"/>
      <x:c r="S93" s="174"/>
      <x:c r="T93" s="174"/>
      <x:c r="U93" s="174"/>
      <x:c r="V93" s="174"/>
      <x:c r="W93" s="175" t="str">
        <x:f>IF(V93="","",LOWER(SUBSTITUTE(SUBSTITUTE(SUBSTITUTE(SUBSTITUTE(TRIM(V93),"https://doi.org/",""),"http://doi.org/",""),"https://dx.doi.org/",""),"doi:","")))</x:f>
      </x:c>
      <x:c r="X93" s="174"/>
      <x:c r="Y93" s="174"/>
      <x:c r="Z93" s="174"/>
      <x:c r="AA93" s="174"/>
      <x:c r="AB93" s="174"/>
      <x:c r="AC93" s="174"/>
      <x:c r="AD93" s="177"/>
      <x:c r="AE93" s="177"/>
      <x:c r="AF93" s="174"/>
      <x:c r="AG93" s="174"/>
      <x:c r="AH93" s="174"/>
      <x:c r="AI93" s="174"/>
      <x:c r="AJ93" s="174"/>
      <x:c r="AK93" s="175" t="str">
        <x:f>IF(AJ93="","",IF(OR(LOWER(AJ93)="brazil",LOWER(AJ93)="brasil"),"Yes","No"))</x:f>
      </x:c>
      <x:c r="AL93" s="174"/>
      <x:c r="AM93" s="174"/>
      <x:c r="AN93" s="174"/>
      <x:c r="AO93" s="178"/>
      <x:c r="AP93" s="174"/>
      <x:c r="AQ93" s="174"/>
      <x:c r="AR93" s="174"/>
      <x:c r="AS93" s="174"/>
      <x:c r="AT93" s="174"/>
      <x:c r="AU93" s="174"/>
      <x:c r="AV93" s="174"/>
      <x:c r="AW93" s="174"/>
      <x:c r="AX93" s="174"/>
      <x:c r="AY93" s="174"/>
      <x:c r="AZ93" s="174"/>
      <x:c r="BA93" s="174"/>
      <x:c r="BB93" s="174"/>
      <x:c r="BC93" s="174"/>
      <x:c r="BD93" s="174"/>
      <x:c r="BE93" s="174"/>
      <x:c r="BF93" s="174"/>
      <x:c r="BG93" s="174"/>
      <x:c r="BH93" s="174"/>
      <x:c r="BI93" s="174"/>
      <x:c r="BJ93" s="174"/>
      <x:c r="BK93" s="174"/>
      <x:c r="BL93" s="174"/>
      <x:c r="BM93" s="174"/>
      <x:c r="BN93" s="174"/>
      <x:c r="BO93" s="174"/>
      <x:c r="BP93" s="174"/>
      <x:c r="BQ93" s="174"/>
      <x:c r="BR93" s="174"/>
      <x:c r="BS93" s="174"/>
      <x:c r="BT93" s="174"/>
      <x:c r="BU93" s="174"/>
      <x:c r="BV93" s="174"/>
      <x:c r="BW93" s="174"/>
      <x:c r="BX93" s="174"/>
      <x:c r="BY93" s="174"/>
      <x:c r="BZ93" s="174"/>
      <x:c r="CA93" s="174"/>
      <x:c r="CB93" s="174"/>
      <x:c r="CC93" s="174"/>
      <x:c r="CD93" s="174"/>
      <x:c r="CE93" s="174"/>
      <x:c r="CF93" s="174"/>
      <x:c r="CG93" s="174"/>
      <x:c r="CH93" s="174"/>
      <x:c r="CI93" s="179"/>
      <x:c r="CJ93" s="174"/>
      <x:c r="CK93" s="174"/>
      <x:c r="CL93" s="174"/>
      <x:c r="CM93" s="174"/>
      <x:c r="CN93" s="174"/>
      <x:c r="CO93" s="177"/>
      <x:c r="CP93" s="174"/>
      <x:c r="CQ93" s="174"/>
      <x:c r="CR93" s="174"/>
      <x:c r="CS93" s="174"/>
      <x:c r="CT93" s="174"/>
      <x:c r="CU93" s="176"/>
      <x:c r="CV93" s="176"/>
      <x:c r="CW93" s="176"/>
      <x:c r="CX93" s="176"/>
      <x:c r="CY93" s="176"/>
      <x:c r="CZ93" s="176"/>
      <x:c r="DA93" s="176"/>
      <x:c r="DB93" s="175" t="str">
        <x:f>IF(L93="","",IF(COUNT(CU93:DA93)&lt;7,"",SUM(CU93:DA93)))</x:f>
      </x:c>
      <x:c r="DC93" s="180" t="str">
        <x:f>IF(DB93="","",ROUND(DB93/14*10,1))</x:f>
      </x:c>
      <x:c r="DD93" s="174"/>
      <x:c r="DE93" s="175" t="str">
        <x:f>IF(L93="","",IF(DC93="","Pending",IF(DD93="Yes","CONDITIONAL — safety override",IF(DC93&gt;=8,"HIGH",IF(DC93&gt;=5,"CONDITIONAL","LOW")))))</x:f>
      </x:c>
      <x:c r="DF93" s="174"/>
      <x:c r="DG93" s="174"/>
      <x:c r="DH93" s="174"/>
      <x:c r="DI93" s="174"/>
      <x:c r="DJ93" s="174"/>
      <x:c r="DK93" s="174"/>
      <x:c r="DL93" s="174"/>
      <x:c r="DM93" s="174"/>
      <x:c r="DN93" s="174"/>
      <x:c r="DO93" s="174"/>
      <x:c r="DP93" s="174"/>
      <x:c r="DQ93" s="174"/>
      <x:c r="DR93" s="174"/>
      <x:c r="DS93" s="174"/>
      <x:c r="DT93" s="174"/>
      <x:c r="DU93" s="174"/>
      <x:c r="DV93" s="174"/>
      <x:c r="DW93" s="174"/>
      <x:c r="DX93" s="174"/>
      <x:c r="DY93" s="174"/>
      <x:c r="DZ93" s="174"/>
      <x:c r="EA93" s="174"/>
      <x:c r="EB93" s="175" t="str">
        <x:f>IF(L93="","",IF(AND(F93="Claim-ready",CJ93="Yes",CL93="Yes",DZ93&lt;&gt;""),"Yes","No / Pending"))</x:f>
      </x:c>
      <x:c r="EC93" s="174"/>
      <x:c r="ED93" s="174"/>
      <x:c r="EE93" s="174"/>
      <x:c r="EF93" s="174"/>
      <x:c r="EG93" s="174"/>
      <x:c r="EH93" s="177"/>
      <x:c r="EI93" s="174"/>
      <x:c r="EJ93" s="174"/>
      <x:c r="EK93" s="174"/>
      <x:c r="EL93" s="177"/>
      <x:c r="EM93" s="174"/>
      <x:c r="EN93" s="181" t="str">
        <x:f>IF(L93="","",(IF(N93&lt;&gt;"",1,0)+IF(O93&lt;&gt;"",1,0)+IF(AJ93&lt;&gt;"",1,0)+IF(AU93&lt;&gt;"",1,0)+IF(BE93&lt;&gt;"",1,0)+IF(CF93&lt;&gt;"",1,0)+IF(CJ93="Yes",1,0)+IF(CL93="Yes",1,0)+IF(DE93&lt;&gt;"Pending",1,0)+IF(F93&lt;&gt;"",1,0)+IF(DZ93&lt;&gt;"",1,0)+IF(EI93&lt;&gt;"",1,0))/12)</x:f>
      </x:c>
    </x:row>
    <x:row r="94">
      <x:c r="A94" s="175" t="str">
        <x:f>IF(L94="","","EV-"&amp;TEXT(ROW()-3,"0000"))</x:f>
      </x:c>
      <x:c r="B94" s="174"/>
      <x:c r="C94" s="175" t="str">
        <x:f>IF(L94="","",IF(OR(CM94="Retracted",CN94="Retracted",F94="Not used"),"🔴 Do not use for conclusion",IF(OR(R94="Official / Institutional",I94="Official / contextual"),"🔵 Official / contextual",IF(OR(I94="Definition",I94="Framework",I94="Paradigm shift"),"🟣 Conceptual key source",IF(AND(CJ94="Yes",CL94="Yes",OR(CG94="High",CG94="Moderate"),CH94&lt;&gt;"High",CH94&lt;&gt;"Critical",F94="Claim-ready"),"🟢 Claim-ready","🟡 Caution / context")))))</x:f>
      </x:c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6"/>
      <x:c r="P94" s="174"/>
      <x:c r="Q94" s="174"/>
      <x:c r="R94" s="174"/>
      <x:c r="S94" s="174"/>
      <x:c r="T94" s="174"/>
      <x:c r="U94" s="174"/>
      <x:c r="V94" s="174"/>
      <x:c r="W94" s="175" t="str">
        <x:f>IF(V94="","",LOWER(SUBSTITUTE(SUBSTITUTE(SUBSTITUTE(SUBSTITUTE(TRIM(V94),"https://doi.org/",""),"http://doi.org/",""),"https://dx.doi.org/",""),"doi:","")))</x:f>
      </x:c>
      <x:c r="X94" s="174"/>
      <x:c r="Y94" s="174"/>
      <x:c r="Z94" s="174"/>
      <x:c r="AA94" s="174"/>
      <x:c r="AB94" s="174"/>
      <x:c r="AC94" s="174"/>
      <x:c r="AD94" s="177"/>
      <x:c r="AE94" s="177"/>
      <x:c r="AF94" s="174"/>
      <x:c r="AG94" s="174"/>
      <x:c r="AH94" s="174"/>
      <x:c r="AI94" s="174"/>
      <x:c r="AJ94" s="174"/>
      <x:c r="AK94" s="175" t="str">
        <x:f>IF(AJ94="","",IF(OR(LOWER(AJ94)="brazil",LOWER(AJ94)="brasil"),"Yes","No"))</x:f>
      </x:c>
      <x:c r="AL94" s="174"/>
      <x:c r="AM94" s="174"/>
      <x:c r="AN94" s="174"/>
      <x:c r="AO94" s="178"/>
      <x:c r="AP94" s="174"/>
      <x:c r="AQ94" s="174"/>
      <x:c r="AR94" s="174"/>
      <x:c r="AS94" s="174"/>
      <x:c r="AT94" s="174"/>
      <x:c r="AU94" s="174"/>
      <x:c r="AV94" s="174"/>
      <x:c r="AW94" s="174"/>
      <x:c r="AX94" s="174"/>
      <x:c r="AY94" s="174"/>
      <x:c r="AZ94" s="174"/>
      <x:c r="BA94" s="174"/>
      <x:c r="BB94" s="174"/>
      <x:c r="BC94" s="174"/>
      <x:c r="BD94" s="174"/>
      <x:c r="BE94" s="174"/>
      <x:c r="BF94" s="174"/>
      <x:c r="BG94" s="174"/>
      <x:c r="BH94" s="174"/>
      <x:c r="BI94" s="174"/>
      <x:c r="BJ94" s="174"/>
      <x:c r="BK94" s="174"/>
      <x:c r="BL94" s="174"/>
      <x:c r="BM94" s="174"/>
      <x:c r="BN94" s="174"/>
      <x:c r="BO94" s="174"/>
      <x:c r="BP94" s="174"/>
      <x:c r="BQ94" s="174"/>
      <x:c r="BR94" s="174"/>
      <x:c r="BS94" s="174"/>
      <x:c r="BT94" s="174"/>
      <x:c r="BU94" s="174"/>
      <x:c r="BV94" s="174"/>
      <x:c r="BW94" s="174"/>
      <x:c r="BX94" s="174"/>
      <x:c r="BY94" s="174"/>
      <x:c r="BZ94" s="174"/>
      <x:c r="CA94" s="174"/>
      <x:c r="CB94" s="174"/>
      <x:c r="CC94" s="174"/>
      <x:c r="CD94" s="174"/>
      <x:c r="CE94" s="174"/>
      <x:c r="CF94" s="174"/>
      <x:c r="CG94" s="174"/>
      <x:c r="CH94" s="174"/>
      <x:c r="CI94" s="179"/>
      <x:c r="CJ94" s="174"/>
      <x:c r="CK94" s="174"/>
      <x:c r="CL94" s="174"/>
      <x:c r="CM94" s="174"/>
      <x:c r="CN94" s="174"/>
      <x:c r="CO94" s="177"/>
      <x:c r="CP94" s="174"/>
      <x:c r="CQ94" s="174"/>
      <x:c r="CR94" s="174"/>
      <x:c r="CS94" s="174"/>
      <x:c r="CT94" s="174"/>
      <x:c r="CU94" s="176"/>
      <x:c r="CV94" s="176"/>
      <x:c r="CW94" s="176"/>
      <x:c r="CX94" s="176"/>
      <x:c r="CY94" s="176"/>
      <x:c r="CZ94" s="176"/>
      <x:c r="DA94" s="176"/>
      <x:c r="DB94" s="175" t="str">
        <x:f>IF(L94="","",IF(COUNT(CU94:DA94)&lt;7,"",SUM(CU94:DA94)))</x:f>
      </x:c>
      <x:c r="DC94" s="180" t="str">
        <x:f>IF(DB94="","",ROUND(DB94/14*10,1))</x:f>
      </x:c>
      <x:c r="DD94" s="174"/>
      <x:c r="DE94" s="175" t="str">
        <x:f>IF(L94="","",IF(DC94="","Pending",IF(DD94="Yes","CONDITIONAL — safety override",IF(DC94&gt;=8,"HIGH",IF(DC94&gt;=5,"CONDITIONAL","LOW")))))</x:f>
      </x:c>
      <x:c r="DF94" s="174"/>
      <x:c r="DG94" s="174"/>
      <x:c r="DH94" s="174"/>
      <x:c r="DI94" s="174"/>
      <x:c r="DJ94" s="174"/>
      <x:c r="DK94" s="174"/>
      <x:c r="DL94" s="174"/>
      <x:c r="DM94" s="174"/>
      <x:c r="DN94" s="174"/>
      <x:c r="DO94" s="174"/>
      <x:c r="DP94" s="174"/>
      <x:c r="DQ94" s="174"/>
      <x:c r="DR94" s="174"/>
      <x:c r="DS94" s="174"/>
      <x:c r="DT94" s="174"/>
      <x:c r="DU94" s="174"/>
      <x:c r="DV94" s="174"/>
      <x:c r="DW94" s="174"/>
      <x:c r="DX94" s="174"/>
      <x:c r="DY94" s="174"/>
      <x:c r="DZ94" s="174"/>
      <x:c r="EA94" s="174"/>
      <x:c r="EB94" s="175" t="str">
        <x:f>IF(L94="","",IF(AND(F94="Claim-ready",CJ94="Yes",CL94="Yes",DZ94&lt;&gt;""),"Yes","No / Pending"))</x:f>
      </x:c>
      <x:c r="EC94" s="174"/>
      <x:c r="ED94" s="174"/>
      <x:c r="EE94" s="174"/>
      <x:c r="EF94" s="174"/>
      <x:c r="EG94" s="174"/>
      <x:c r="EH94" s="177"/>
      <x:c r="EI94" s="174"/>
      <x:c r="EJ94" s="174"/>
      <x:c r="EK94" s="174"/>
      <x:c r="EL94" s="177"/>
      <x:c r="EM94" s="174"/>
      <x:c r="EN94" s="181" t="str">
        <x:f>IF(L94="","",(IF(N94&lt;&gt;"",1,0)+IF(O94&lt;&gt;"",1,0)+IF(AJ94&lt;&gt;"",1,0)+IF(AU94&lt;&gt;"",1,0)+IF(BE94&lt;&gt;"",1,0)+IF(CF94&lt;&gt;"",1,0)+IF(CJ94="Yes",1,0)+IF(CL94="Yes",1,0)+IF(DE94&lt;&gt;"Pending",1,0)+IF(F94&lt;&gt;"",1,0)+IF(DZ94&lt;&gt;"",1,0)+IF(EI94&lt;&gt;"",1,0))/12)</x:f>
      </x:c>
    </x:row>
    <x:row r="95">
      <x:c r="A95" s="175" t="str">
        <x:f>IF(L95="","","EV-"&amp;TEXT(ROW()-3,"0000"))</x:f>
      </x:c>
      <x:c r="B95" s="174"/>
      <x:c r="C95" s="175" t="str">
        <x:f>IF(L95="","",IF(OR(CM95="Retracted",CN95="Retracted",F95="Not used"),"🔴 Do not use for conclusion",IF(OR(R95="Official / Institutional",I95="Official / contextual"),"🔵 Official / contextual",IF(OR(I95="Definition",I95="Framework",I95="Paradigm shift"),"🟣 Conceptual key source",IF(AND(CJ95="Yes",CL95="Yes",OR(CG95="High",CG95="Moderate"),CH95&lt;&gt;"High",CH95&lt;&gt;"Critical",F95="Claim-ready"),"🟢 Claim-ready","🟡 Caution / context")))))</x:f>
      </x:c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6"/>
      <x:c r="P95" s="174"/>
      <x:c r="Q95" s="174"/>
      <x:c r="R95" s="174"/>
      <x:c r="S95" s="174"/>
      <x:c r="T95" s="174"/>
      <x:c r="U95" s="174"/>
      <x:c r="V95" s="174"/>
      <x:c r="W95" s="175" t="str">
        <x:f>IF(V95="","",LOWER(SUBSTITUTE(SUBSTITUTE(SUBSTITUTE(SUBSTITUTE(TRIM(V95),"https://doi.org/",""),"http://doi.org/",""),"https://dx.doi.org/",""),"doi:","")))</x:f>
      </x:c>
      <x:c r="X95" s="174"/>
      <x:c r="Y95" s="174"/>
      <x:c r="Z95" s="174"/>
      <x:c r="AA95" s="174"/>
      <x:c r="AB95" s="174"/>
      <x:c r="AC95" s="174"/>
      <x:c r="AD95" s="177"/>
      <x:c r="AE95" s="177"/>
      <x:c r="AF95" s="174"/>
      <x:c r="AG95" s="174"/>
      <x:c r="AH95" s="174"/>
      <x:c r="AI95" s="174"/>
      <x:c r="AJ95" s="174"/>
      <x:c r="AK95" s="175" t="str">
        <x:f>IF(AJ95="","",IF(OR(LOWER(AJ95)="brazil",LOWER(AJ95)="brasil"),"Yes","No"))</x:f>
      </x:c>
      <x:c r="AL95" s="174"/>
      <x:c r="AM95" s="174"/>
      <x:c r="AN95" s="174"/>
      <x:c r="AO95" s="178"/>
      <x:c r="AP95" s="174"/>
      <x:c r="AQ95" s="174"/>
      <x:c r="AR95" s="174"/>
      <x:c r="AS95" s="174"/>
      <x:c r="AT95" s="174"/>
      <x:c r="AU95" s="174"/>
      <x:c r="AV95" s="174"/>
      <x:c r="AW95" s="174"/>
      <x:c r="AX95" s="174"/>
      <x:c r="AY95" s="174"/>
      <x:c r="AZ95" s="174"/>
      <x:c r="BA95" s="174"/>
      <x:c r="BB95" s="174"/>
      <x:c r="BC95" s="174"/>
      <x:c r="BD95" s="174"/>
      <x:c r="BE95" s="174"/>
      <x:c r="BF95" s="174"/>
      <x:c r="BG95" s="174"/>
      <x:c r="BH95" s="174"/>
      <x:c r="BI95" s="174"/>
      <x:c r="BJ95" s="174"/>
      <x:c r="BK95" s="174"/>
      <x:c r="BL95" s="174"/>
      <x:c r="BM95" s="174"/>
      <x:c r="BN95" s="174"/>
      <x:c r="BO95" s="174"/>
      <x:c r="BP95" s="174"/>
      <x:c r="BQ95" s="174"/>
      <x:c r="BR95" s="174"/>
      <x:c r="BS95" s="174"/>
      <x:c r="BT95" s="174"/>
      <x:c r="BU95" s="174"/>
      <x:c r="BV95" s="174"/>
      <x:c r="BW95" s="174"/>
      <x:c r="BX95" s="174"/>
      <x:c r="BY95" s="174"/>
      <x:c r="BZ95" s="174"/>
      <x:c r="CA95" s="174"/>
      <x:c r="CB95" s="174"/>
      <x:c r="CC95" s="174"/>
      <x:c r="CD95" s="174"/>
      <x:c r="CE95" s="174"/>
      <x:c r="CF95" s="174"/>
      <x:c r="CG95" s="174"/>
      <x:c r="CH95" s="174"/>
      <x:c r="CI95" s="179"/>
      <x:c r="CJ95" s="174"/>
      <x:c r="CK95" s="174"/>
      <x:c r="CL95" s="174"/>
      <x:c r="CM95" s="174"/>
      <x:c r="CN95" s="174"/>
      <x:c r="CO95" s="177"/>
      <x:c r="CP95" s="174"/>
      <x:c r="CQ95" s="174"/>
      <x:c r="CR95" s="174"/>
      <x:c r="CS95" s="174"/>
      <x:c r="CT95" s="174"/>
      <x:c r="CU95" s="176"/>
      <x:c r="CV95" s="176"/>
      <x:c r="CW95" s="176"/>
      <x:c r="CX95" s="176"/>
      <x:c r="CY95" s="176"/>
      <x:c r="CZ95" s="176"/>
      <x:c r="DA95" s="176"/>
      <x:c r="DB95" s="175" t="str">
        <x:f>IF(L95="","",IF(COUNT(CU95:DA95)&lt;7,"",SUM(CU95:DA95)))</x:f>
      </x:c>
      <x:c r="DC95" s="180" t="str">
        <x:f>IF(DB95="","",ROUND(DB95/14*10,1))</x:f>
      </x:c>
      <x:c r="DD95" s="174"/>
      <x:c r="DE95" s="175" t="str">
        <x:f>IF(L95="","",IF(DC95="","Pending",IF(DD95="Yes","CONDITIONAL — safety override",IF(DC95&gt;=8,"HIGH",IF(DC95&gt;=5,"CONDITIONAL","LOW")))))</x:f>
      </x:c>
      <x:c r="DF95" s="174"/>
      <x:c r="DG95" s="174"/>
      <x:c r="DH95" s="174"/>
      <x:c r="DI95" s="174"/>
      <x:c r="DJ95" s="174"/>
      <x:c r="DK95" s="174"/>
      <x:c r="DL95" s="174"/>
      <x:c r="DM95" s="174"/>
      <x:c r="DN95" s="174"/>
      <x:c r="DO95" s="174"/>
      <x:c r="DP95" s="174"/>
      <x:c r="DQ95" s="174"/>
      <x:c r="DR95" s="174"/>
      <x:c r="DS95" s="174"/>
      <x:c r="DT95" s="174"/>
      <x:c r="DU95" s="174"/>
      <x:c r="DV95" s="174"/>
      <x:c r="DW95" s="174"/>
      <x:c r="DX95" s="174"/>
      <x:c r="DY95" s="174"/>
      <x:c r="DZ95" s="174"/>
      <x:c r="EA95" s="174"/>
      <x:c r="EB95" s="175" t="str">
        <x:f>IF(L95="","",IF(AND(F95="Claim-ready",CJ95="Yes",CL95="Yes",DZ95&lt;&gt;""),"Yes","No / Pending"))</x:f>
      </x:c>
      <x:c r="EC95" s="174"/>
      <x:c r="ED95" s="174"/>
      <x:c r="EE95" s="174"/>
      <x:c r="EF95" s="174"/>
      <x:c r="EG95" s="174"/>
      <x:c r="EH95" s="177"/>
      <x:c r="EI95" s="174"/>
      <x:c r="EJ95" s="174"/>
      <x:c r="EK95" s="174"/>
      <x:c r="EL95" s="177"/>
      <x:c r="EM95" s="174"/>
      <x:c r="EN95" s="181" t="str">
        <x:f>IF(L95="","",(IF(N95&lt;&gt;"",1,0)+IF(O95&lt;&gt;"",1,0)+IF(AJ95&lt;&gt;"",1,0)+IF(AU95&lt;&gt;"",1,0)+IF(BE95&lt;&gt;"",1,0)+IF(CF95&lt;&gt;"",1,0)+IF(CJ95="Yes",1,0)+IF(CL95="Yes",1,0)+IF(DE95&lt;&gt;"Pending",1,0)+IF(F95&lt;&gt;"",1,0)+IF(DZ95&lt;&gt;"",1,0)+IF(EI95&lt;&gt;"",1,0))/12)</x:f>
      </x:c>
    </x:row>
    <x:row r="96">
      <x:c r="A96" s="175" t="str">
        <x:f>IF(L96="","","EV-"&amp;TEXT(ROW()-3,"0000"))</x:f>
      </x:c>
      <x:c r="B96" s="174"/>
      <x:c r="C96" s="175" t="str">
        <x:f>IF(L96="","",IF(OR(CM96="Retracted",CN96="Retracted",F96="Not used"),"🔴 Do not use for conclusion",IF(OR(R96="Official / Institutional",I96="Official / contextual"),"🔵 Official / contextual",IF(OR(I96="Definition",I96="Framework",I96="Paradigm shift"),"🟣 Conceptual key source",IF(AND(CJ96="Yes",CL96="Yes",OR(CG96="High",CG96="Moderate"),CH96&lt;&gt;"High",CH96&lt;&gt;"Critical",F96="Claim-ready"),"🟢 Claim-ready","🟡 Caution / context")))))</x:f>
      </x:c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6"/>
      <x:c r="P96" s="174"/>
      <x:c r="Q96" s="174"/>
      <x:c r="R96" s="174"/>
      <x:c r="S96" s="174"/>
      <x:c r="T96" s="174"/>
      <x:c r="U96" s="174"/>
      <x:c r="V96" s="174"/>
      <x:c r="W96" s="175" t="str">
        <x:f>IF(V96="","",LOWER(SUBSTITUTE(SUBSTITUTE(SUBSTITUTE(SUBSTITUTE(TRIM(V96),"https://doi.org/",""),"http://doi.org/",""),"https://dx.doi.org/",""),"doi:","")))</x:f>
      </x:c>
      <x:c r="X96" s="174"/>
      <x:c r="Y96" s="174"/>
      <x:c r="Z96" s="174"/>
      <x:c r="AA96" s="174"/>
      <x:c r="AB96" s="174"/>
      <x:c r="AC96" s="174"/>
      <x:c r="AD96" s="177"/>
      <x:c r="AE96" s="177"/>
      <x:c r="AF96" s="174"/>
      <x:c r="AG96" s="174"/>
      <x:c r="AH96" s="174"/>
      <x:c r="AI96" s="174"/>
      <x:c r="AJ96" s="174"/>
      <x:c r="AK96" s="175" t="str">
        <x:f>IF(AJ96="","",IF(OR(LOWER(AJ96)="brazil",LOWER(AJ96)="brasil"),"Yes","No"))</x:f>
      </x:c>
      <x:c r="AL96" s="174"/>
      <x:c r="AM96" s="174"/>
      <x:c r="AN96" s="174"/>
      <x:c r="AO96" s="178"/>
      <x:c r="AP96" s="174"/>
      <x:c r="AQ96" s="174"/>
      <x:c r="AR96" s="174"/>
      <x:c r="AS96" s="174"/>
      <x:c r="AT96" s="174"/>
      <x:c r="AU96" s="174"/>
      <x:c r="AV96" s="174"/>
      <x:c r="AW96" s="174"/>
      <x:c r="AX96" s="174"/>
      <x:c r="AY96" s="174"/>
      <x:c r="AZ96" s="174"/>
      <x:c r="BA96" s="174"/>
      <x:c r="BB96" s="174"/>
      <x:c r="BC96" s="174"/>
      <x:c r="BD96" s="174"/>
      <x:c r="BE96" s="174"/>
      <x:c r="BF96" s="174"/>
      <x:c r="BG96" s="174"/>
      <x:c r="BH96" s="174"/>
      <x:c r="BI96" s="174"/>
      <x:c r="BJ96" s="174"/>
      <x:c r="BK96" s="174"/>
      <x:c r="BL96" s="174"/>
      <x:c r="BM96" s="174"/>
      <x:c r="BN96" s="174"/>
      <x:c r="BO96" s="174"/>
      <x:c r="BP96" s="174"/>
      <x:c r="BQ96" s="174"/>
      <x:c r="BR96" s="174"/>
      <x:c r="BS96" s="174"/>
      <x:c r="BT96" s="174"/>
      <x:c r="BU96" s="174"/>
      <x:c r="BV96" s="174"/>
      <x:c r="BW96" s="174"/>
      <x:c r="BX96" s="174"/>
      <x:c r="BY96" s="174"/>
      <x:c r="BZ96" s="174"/>
      <x:c r="CA96" s="174"/>
      <x:c r="CB96" s="174"/>
      <x:c r="CC96" s="174"/>
      <x:c r="CD96" s="174"/>
      <x:c r="CE96" s="174"/>
      <x:c r="CF96" s="174"/>
      <x:c r="CG96" s="174"/>
      <x:c r="CH96" s="174"/>
      <x:c r="CI96" s="179"/>
      <x:c r="CJ96" s="174"/>
      <x:c r="CK96" s="174"/>
      <x:c r="CL96" s="174"/>
      <x:c r="CM96" s="174"/>
      <x:c r="CN96" s="174"/>
      <x:c r="CO96" s="177"/>
      <x:c r="CP96" s="174"/>
      <x:c r="CQ96" s="174"/>
      <x:c r="CR96" s="174"/>
      <x:c r="CS96" s="174"/>
      <x:c r="CT96" s="174"/>
      <x:c r="CU96" s="176"/>
      <x:c r="CV96" s="176"/>
      <x:c r="CW96" s="176"/>
      <x:c r="CX96" s="176"/>
      <x:c r="CY96" s="176"/>
      <x:c r="CZ96" s="176"/>
      <x:c r="DA96" s="176"/>
      <x:c r="DB96" s="175" t="str">
        <x:f>IF(L96="","",IF(COUNT(CU96:DA96)&lt;7,"",SUM(CU96:DA96)))</x:f>
      </x:c>
      <x:c r="DC96" s="180" t="str">
        <x:f>IF(DB96="","",ROUND(DB96/14*10,1))</x:f>
      </x:c>
      <x:c r="DD96" s="174"/>
      <x:c r="DE96" s="175" t="str">
        <x:f>IF(L96="","",IF(DC96="","Pending",IF(DD96="Yes","CONDITIONAL — safety override",IF(DC96&gt;=8,"HIGH",IF(DC96&gt;=5,"CONDITIONAL","LOW")))))</x:f>
      </x:c>
      <x:c r="DF96" s="174"/>
      <x:c r="DG96" s="174"/>
      <x:c r="DH96" s="174"/>
      <x:c r="DI96" s="174"/>
      <x:c r="DJ96" s="174"/>
      <x:c r="DK96" s="174"/>
      <x:c r="DL96" s="174"/>
      <x:c r="DM96" s="174"/>
      <x:c r="DN96" s="174"/>
      <x:c r="DO96" s="174"/>
      <x:c r="DP96" s="174"/>
      <x:c r="DQ96" s="174"/>
      <x:c r="DR96" s="174"/>
      <x:c r="DS96" s="174"/>
      <x:c r="DT96" s="174"/>
      <x:c r="DU96" s="174"/>
      <x:c r="DV96" s="174"/>
      <x:c r="DW96" s="174"/>
      <x:c r="DX96" s="174"/>
      <x:c r="DY96" s="174"/>
      <x:c r="DZ96" s="174"/>
      <x:c r="EA96" s="174"/>
      <x:c r="EB96" s="175" t="str">
        <x:f>IF(L96="","",IF(AND(F96="Claim-ready",CJ96="Yes",CL96="Yes",DZ96&lt;&gt;""),"Yes","No / Pending"))</x:f>
      </x:c>
      <x:c r="EC96" s="174"/>
      <x:c r="ED96" s="174"/>
      <x:c r="EE96" s="174"/>
      <x:c r="EF96" s="174"/>
      <x:c r="EG96" s="174"/>
      <x:c r="EH96" s="177"/>
      <x:c r="EI96" s="174"/>
      <x:c r="EJ96" s="174"/>
      <x:c r="EK96" s="174"/>
      <x:c r="EL96" s="177"/>
      <x:c r="EM96" s="174"/>
      <x:c r="EN96" s="181" t="str">
        <x:f>IF(L96="","",(IF(N96&lt;&gt;"",1,0)+IF(O96&lt;&gt;"",1,0)+IF(AJ96&lt;&gt;"",1,0)+IF(AU96&lt;&gt;"",1,0)+IF(BE96&lt;&gt;"",1,0)+IF(CF96&lt;&gt;"",1,0)+IF(CJ96="Yes",1,0)+IF(CL96="Yes",1,0)+IF(DE96&lt;&gt;"Pending",1,0)+IF(F96&lt;&gt;"",1,0)+IF(DZ96&lt;&gt;"",1,0)+IF(EI96&lt;&gt;"",1,0))/12)</x:f>
      </x:c>
    </x:row>
    <x:row r="97">
      <x:c r="A97" s="175" t="str">
        <x:f>IF(L97="","","EV-"&amp;TEXT(ROW()-3,"0000"))</x:f>
      </x:c>
      <x:c r="B97" s="174"/>
      <x:c r="C97" s="175" t="str">
        <x:f>IF(L97="","",IF(OR(CM97="Retracted",CN97="Retracted",F97="Not used"),"🔴 Do not use for conclusion",IF(OR(R97="Official / Institutional",I97="Official / contextual"),"🔵 Official / contextual",IF(OR(I97="Definition",I97="Framework",I97="Paradigm shift"),"🟣 Conceptual key source",IF(AND(CJ97="Yes",CL97="Yes",OR(CG97="High",CG97="Moderate"),CH97&lt;&gt;"High",CH97&lt;&gt;"Critical",F97="Claim-ready"),"🟢 Claim-ready","🟡 Caution / context")))))</x:f>
      </x:c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6"/>
      <x:c r="P97" s="174"/>
      <x:c r="Q97" s="174"/>
      <x:c r="R97" s="174"/>
      <x:c r="S97" s="174"/>
      <x:c r="T97" s="174"/>
      <x:c r="U97" s="174"/>
      <x:c r="V97" s="174"/>
      <x:c r="W97" s="175" t="str">
        <x:f>IF(V97="","",LOWER(SUBSTITUTE(SUBSTITUTE(SUBSTITUTE(SUBSTITUTE(TRIM(V97),"https://doi.org/",""),"http://doi.org/",""),"https://dx.doi.org/",""),"doi:","")))</x:f>
      </x:c>
      <x:c r="X97" s="174"/>
      <x:c r="Y97" s="174"/>
      <x:c r="Z97" s="174"/>
      <x:c r="AA97" s="174"/>
      <x:c r="AB97" s="174"/>
      <x:c r="AC97" s="174"/>
      <x:c r="AD97" s="177"/>
      <x:c r="AE97" s="177"/>
      <x:c r="AF97" s="174"/>
      <x:c r="AG97" s="174"/>
      <x:c r="AH97" s="174"/>
      <x:c r="AI97" s="174"/>
      <x:c r="AJ97" s="174"/>
      <x:c r="AK97" s="175" t="str">
        <x:f>IF(AJ97="","",IF(OR(LOWER(AJ97)="brazil",LOWER(AJ97)="brasil"),"Yes","No"))</x:f>
      </x:c>
      <x:c r="AL97" s="174"/>
      <x:c r="AM97" s="174"/>
      <x:c r="AN97" s="174"/>
      <x:c r="AO97" s="178"/>
      <x:c r="AP97" s="174"/>
      <x:c r="AQ97" s="174"/>
      <x:c r="AR97" s="174"/>
      <x:c r="AS97" s="174"/>
      <x:c r="AT97" s="174"/>
      <x:c r="AU97" s="174"/>
      <x:c r="AV97" s="174"/>
      <x:c r="AW97" s="174"/>
      <x:c r="AX97" s="174"/>
      <x:c r="AY97" s="174"/>
      <x:c r="AZ97" s="174"/>
      <x:c r="BA97" s="174"/>
      <x:c r="BB97" s="174"/>
      <x:c r="BC97" s="174"/>
      <x:c r="BD97" s="174"/>
      <x:c r="BE97" s="174"/>
      <x:c r="BF97" s="174"/>
      <x:c r="BG97" s="174"/>
      <x:c r="BH97" s="174"/>
      <x:c r="BI97" s="174"/>
      <x:c r="BJ97" s="174"/>
      <x:c r="BK97" s="174"/>
      <x:c r="BL97" s="174"/>
      <x:c r="BM97" s="174"/>
      <x:c r="BN97" s="174"/>
      <x:c r="BO97" s="174"/>
      <x:c r="BP97" s="174"/>
      <x:c r="BQ97" s="174"/>
      <x:c r="BR97" s="174"/>
      <x:c r="BS97" s="174"/>
      <x:c r="BT97" s="174"/>
      <x:c r="BU97" s="174"/>
      <x:c r="BV97" s="174"/>
      <x:c r="BW97" s="174"/>
      <x:c r="BX97" s="174"/>
      <x:c r="BY97" s="174"/>
      <x:c r="BZ97" s="174"/>
      <x:c r="CA97" s="174"/>
      <x:c r="CB97" s="174"/>
      <x:c r="CC97" s="174"/>
      <x:c r="CD97" s="174"/>
      <x:c r="CE97" s="174"/>
      <x:c r="CF97" s="174"/>
      <x:c r="CG97" s="174"/>
      <x:c r="CH97" s="174"/>
      <x:c r="CI97" s="179"/>
      <x:c r="CJ97" s="174"/>
      <x:c r="CK97" s="174"/>
      <x:c r="CL97" s="174"/>
      <x:c r="CM97" s="174"/>
      <x:c r="CN97" s="174"/>
      <x:c r="CO97" s="177"/>
      <x:c r="CP97" s="174"/>
      <x:c r="CQ97" s="174"/>
      <x:c r="CR97" s="174"/>
      <x:c r="CS97" s="174"/>
      <x:c r="CT97" s="174"/>
      <x:c r="CU97" s="176"/>
      <x:c r="CV97" s="176"/>
      <x:c r="CW97" s="176"/>
      <x:c r="CX97" s="176"/>
      <x:c r="CY97" s="176"/>
      <x:c r="CZ97" s="176"/>
      <x:c r="DA97" s="176"/>
      <x:c r="DB97" s="175" t="str">
        <x:f>IF(L97="","",IF(COUNT(CU97:DA97)&lt;7,"",SUM(CU97:DA97)))</x:f>
      </x:c>
      <x:c r="DC97" s="180" t="str">
        <x:f>IF(DB97="","",ROUND(DB97/14*10,1))</x:f>
      </x:c>
      <x:c r="DD97" s="174"/>
      <x:c r="DE97" s="175" t="str">
        <x:f>IF(L97="","",IF(DC97="","Pending",IF(DD97="Yes","CONDITIONAL — safety override",IF(DC97&gt;=8,"HIGH",IF(DC97&gt;=5,"CONDITIONAL","LOW")))))</x:f>
      </x:c>
      <x:c r="DF97" s="174"/>
      <x:c r="DG97" s="174"/>
      <x:c r="DH97" s="174"/>
      <x:c r="DI97" s="174"/>
      <x:c r="DJ97" s="174"/>
      <x:c r="DK97" s="174"/>
      <x:c r="DL97" s="174"/>
      <x:c r="DM97" s="174"/>
      <x:c r="DN97" s="174"/>
      <x:c r="DO97" s="174"/>
      <x:c r="DP97" s="174"/>
      <x:c r="DQ97" s="174"/>
      <x:c r="DR97" s="174"/>
      <x:c r="DS97" s="174"/>
      <x:c r="DT97" s="174"/>
      <x:c r="DU97" s="174"/>
      <x:c r="DV97" s="174"/>
      <x:c r="DW97" s="174"/>
      <x:c r="DX97" s="174"/>
      <x:c r="DY97" s="174"/>
      <x:c r="DZ97" s="174"/>
      <x:c r="EA97" s="174"/>
      <x:c r="EB97" s="175" t="str">
        <x:f>IF(L97="","",IF(AND(F97="Claim-ready",CJ97="Yes",CL97="Yes",DZ97&lt;&gt;""),"Yes","No / Pending"))</x:f>
      </x:c>
      <x:c r="EC97" s="174"/>
      <x:c r="ED97" s="174"/>
      <x:c r="EE97" s="174"/>
      <x:c r="EF97" s="174"/>
      <x:c r="EG97" s="174"/>
      <x:c r="EH97" s="177"/>
      <x:c r="EI97" s="174"/>
      <x:c r="EJ97" s="174"/>
      <x:c r="EK97" s="174"/>
      <x:c r="EL97" s="177"/>
      <x:c r="EM97" s="174"/>
      <x:c r="EN97" s="181" t="str">
        <x:f>IF(L97="","",(IF(N97&lt;&gt;"",1,0)+IF(O97&lt;&gt;"",1,0)+IF(AJ97&lt;&gt;"",1,0)+IF(AU97&lt;&gt;"",1,0)+IF(BE97&lt;&gt;"",1,0)+IF(CF97&lt;&gt;"",1,0)+IF(CJ97="Yes",1,0)+IF(CL97="Yes",1,0)+IF(DE97&lt;&gt;"Pending",1,0)+IF(F97&lt;&gt;"",1,0)+IF(DZ97&lt;&gt;"",1,0)+IF(EI97&lt;&gt;"",1,0))/12)</x:f>
      </x:c>
    </x:row>
    <x:row r="98">
      <x:c r="A98" s="175" t="str">
        <x:f>IF(L98="","","EV-"&amp;TEXT(ROW()-3,"0000"))</x:f>
      </x:c>
      <x:c r="B98" s="174"/>
      <x:c r="C98" s="175" t="str">
        <x:f>IF(L98="","",IF(OR(CM98="Retracted",CN98="Retracted",F98="Not used"),"🔴 Do not use for conclusion",IF(OR(R98="Official / Institutional",I98="Official / contextual"),"🔵 Official / contextual",IF(OR(I98="Definition",I98="Framework",I98="Paradigm shift"),"🟣 Conceptual key source",IF(AND(CJ98="Yes",CL98="Yes",OR(CG98="High",CG98="Moderate"),CH98&lt;&gt;"High",CH98&lt;&gt;"Critical",F98="Claim-ready"),"🟢 Claim-ready","🟡 Caution / context")))))</x:f>
      </x:c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6"/>
      <x:c r="P98" s="174"/>
      <x:c r="Q98" s="174"/>
      <x:c r="R98" s="174"/>
      <x:c r="S98" s="174"/>
      <x:c r="T98" s="174"/>
      <x:c r="U98" s="174"/>
      <x:c r="V98" s="174"/>
      <x:c r="W98" s="175" t="str">
        <x:f>IF(V98="","",LOWER(SUBSTITUTE(SUBSTITUTE(SUBSTITUTE(SUBSTITUTE(TRIM(V98),"https://doi.org/",""),"http://doi.org/",""),"https://dx.doi.org/",""),"doi:","")))</x:f>
      </x:c>
      <x:c r="X98" s="174"/>
      <x:c r="Y98" s="174"/>
      <x:c r="Z98" s="174"/>
      <x:c r="AA98" s="174"/>
      <x:c r="AB98" s="174"/>
      <x:c r="AC98" s="174"/>
      <x:c r="AD98" s="177"/>
      <x:c r="AE98" s="177"/>
      <x:c r="AF98" s="174"/>
      <x:c r="AG98" s="174"/>
      <x:c r="AH98" s="174"/>
      <x:c r="AI98" s="174"/>
      <x:c r="AJ98" s="174"/>
      <x:c r="AK98" s="175" t="str">
        <x:f>IF(AJ98="","",IF(OR(LOWER(AJ98)="brazil",LOWER(AJ98)="brasil"),"Yes","No"))</x:f>
      </x:c>
      <x:c r="AL98" s="174"/>
      <x:c r="AM98" s="174"/>
      <x:c r="AN98" s="174"/>
      <x:c r="AO98" s="178"/>
      <x:c r="AP98" s="174"/>
      <x:c r="AQ98" s="174"/>
      <x:c r="AR98" s="174"/>
      <x:c r="AS98" s="174"/>
      <x:c r="AT98" s="174"/>
      <x:c r="AU98" s="174"/>
      <x:c r="AV98" s="174"/>
      <x:c r="AW98" s="174"/>
      <x:c r="AX98" s="174"/>
      <x:c r="AY98" s="174"/>
      <x:c r="AZ98" s="174"/>
      <x:c r="BA98" s="174"/>
      <x:c r="BB98" s="174"/>
      <x:c r="BC98" s="174"/>
      <x:c r="BD98" s="174"/>
      <x:c r="BE98" s="174"/>
      <x:c r="BF98" s="174"/>
      <x:c r="BG98" s="174"/>
      <x:c r="BH98" s="174"/>
      <x:c r="BI98" s="174"/>
      <x:c r="BJ98" s="174"/>
      <x:c r="BK98" s="174"/>
      <x:c r="BL98" s="174"/>
      <x:c r="BM98" s="174"/>
      <x:c r="BN98" s="174"/>
      <x:c r="BO98" s="174"/>
      <x:c r="BP98" s="174"/>
      <x:c r="BQ98" s="174"/>
      <x:c r="BR98" s="174"/>
      <x:c r="BS98" s="174"/>
      <x:c r="BT98" s="174"/>
      <x:c r="BU98" s="174"/>
      <x:c r="BV98" s="174"/>
      <x:c r="BW98" s="174"/>
      <x:c r="BX98" s="174"/>
      <x:c r="BY98" s="174"/>
      <x:c r="BZ98" s="174"/>
      <x:c r="CA98" s="174"/>
      <x:c r="CB98" s="174"/>
      <x:c r="CC98" s="174"/>
      <x:c r="CD98" s="174"/>
      <x:c r="CE98" s="174"/>
      <x:c r="CF98" s="174"/>
      <x:c r="CG98" s="174"/>
      <x:c r="CH98" s="174"/>
      <x:c r="CI98" s="179"/>
      <x:c r="CJ98" s="174"/>
      <x:c r="CK98" s="174"/>
      <x:c r="CL98" s="174"/>
      <x:c r="CM98" s="174"/>
      <x:c r="CN98" s="174"/>
      <x:c r="CO98" s="177"/>
      <x:c r="CP98" s="174"/>
      <x:c r="CQ98" s="174"/>
      <x:c r="CR98" s="174"/>
      <x:c r="CS98" s="174"/>
      <x:c r="CT98" s="174"/>
      <x:c r="CU98" s="176"/>
      <x:c r="CV98" s="176"/>
      <x:c r="CW98" s="176"/>
      <x:c r="CX98" s="176"/>
      <x:c r="CY98" s="176"/>
      <x:c r="CZ98" s="176"/>
      <x:c r="DA98" s="176"/>
      <x:c r="DB98" s="175" t="str">
        <x:f>IF(L98="","",IF(COUNT(CU98:DA98)&lt;7,"",SUM(CU98:DA98)))</x:f>
      </x:c>
      <x:c r="DC98" s="180" t="str">
        <x:f>IF(DB98="","",ROUND(DB98/14*10,1))</x:f>
      </x:c>
      <x:c r="DD98" s="174"/>
      <x:c r="DE98" s="175" t="str">
        <x:f>IF(L98="","",IF(DC98="","Pending",IF(DD98="Yes","CONDITIONAL — safety override",IF(DC98&gt;=8,"HIGH",IF(DC98&gt;=5,"CONDITIONAL","LOW")))))</x:f>
      </x:c>
      <x:c r="DF98" s="174"/>
      <x:c r="DG98" s="174"/>
      <x:c r="DH98" s="174"/>
      <x:c r="DI98" s="174"/>
      <x:c r="DJ98" s="174"/>
      <x:c r="DK98" s="174"/>
      <x:c r="DL98" s="174"/>
      <x:c r="DM98" s="174"/>
      <x:c r="DN98" s="174"/>
      <x:c r="DO98" s="174"/>
      <x:c r="DP98" s="174"/>
      <x:c r="DQ98" s="174"/>
      <x:c r="DR98" s="174"/>
      <x:c r="DS98" s="174"/>
      <x:c r="DT98" s="174"/>
      <x:c r="DU98" s="174"/>
      <x:c r="DV98" s="174"/>
      <x:c r="DW98" s="174"/>
      <x:c r="DX98" s="174"/>
      <x:c r="DY98" s="174"/>
      <x:c r="DZ98" s="174"/>
      <x:c r="EA98" s="174"/>
      <x:c r="EB98" s="175" t="str">
        <x:f>IF(L98="","",IF(AND(F98="Claim-ready",CJ98="Yes",CL98="Yes",DZ98&lt;&gt;""),"Yes","No / Pending"))</x:f>
      </x:c>
      <x:c r="EC98" s="174"/>
      <x:c r="ED98" s="174"/>
      <x:c r="EE98" s="174"/>
      <x:c r="EF98" s="174"/>
      <x:c r="EG98" s="174"/>
      <x:c r="EH98" s="177"/>
      <x:c r="EI98" s="174"/>
      <x:c r="EJ98" s="174"/>
      <x:c r="EK98" s="174"/>
      <x:c r="EL98" s="177"/>
      <x:c r="EM98" s="174"/>
      <x:c r="EN98" s="181" t="str">
        <x:f>IF(L98="","",(IF(N98&lt;&gt;"",1,0)+IF(O98&lt;&gt;"",1,0)+IF(AJ98&lt;&gt;"",1,0)+IF(AU98&lt;&gt;"",1,0)+IF(BE98&lt;&gt;"",1,0)+IF(CF98&lt;&gt;"",1,0)+IF(CJ98="Yes",1,0)+IF(CL98="Yes",1,0)+IF(DE98&lt;&gt;"Pending",1,0)+IF(F98&lt;&gt;"",1,0)+IF(DZ98&lt;&gt;"",1,0)+IF(EI98&lt;&gt;"",1,0))/12)</x:f>
      </x:c>
    </x:row>
    <x:row r="99">
      <x:c r="A99" s="175" t="str">
        <x:f>IF(L99="","","EV-"&amp;TEXT(ROW()-3,"0000"))</x:f>
      </x:c>
      <x:c r="B99" s="174"/>
      <x:c r="C99" s="175" t="str">
        <x:f>IF(L99="","",IF(OR(CM99="Retracted",CN99="Retracted",F99="Not used"),"🔴 Do not use for conclusion",IF(OR(R99="Official / Institutional",I99="Official / contextual"),"🔵 Official / contextual",IF(OR(I99="Definition",I99="Framework",I99="Paradigm shift"),"🟣 Conceptual key source",IF(AND(CJ99="Yes",CL99="Yes",OR(CG99="High",CG99="Moderate"),CH99&lt;&gt;"High",CH99&lt;&gt;"Critical",F99="Claim-ready"),"🟢 Claim-ready","🟡 Caution / context")))))</x:f>
      </x:c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6"/>
      <x:c r="P99" s="174"/>
      <x:c r="Q99" s="174"/>
      <x:c r="R99" s="174"/>
      <x:c r="S99" s="174"/>
      <x:c r="T99" s="174"/>
      <x:c r="U99" s="174"/>
      <x:c r="V99" s="174"/>
      <x:c r="W99" s="175" t="str">
        <x:f>IF(V99="","",LOWER(SUBSTITUTE(SUBSTITUTE(SUBSTITUTE(SUBSTITUTE(TRIM(V99),"https://doi.org/",""),"http://doi.org/",""),"https://dx.doi.org/",""),"doi:","")))</x:f>
      </x:c>
      <x:c r="X99" s="174"/>
      <x:c r="Y99" s="174"/>
      <x:c r="Z99" s="174"/>
      <x:c r="AA99" s="174"/>
      <x:c r="AB99" s="174"/>
      <x:c r="AC99" s="174"/>
      <x:c r="AD99" s="177"/>
      <x:c r="AE99" s="177"/>
      <x:c r="AF99" s="174"/>
      <x:c r="AG99" s="174"/>
      <x:c r="AH99" s="174"/>
      <x:c r="AI99" s="174"/>
      <x:c r="AJ99" s="174"/>
      <x:c r="AK99" s="175" t="str">
        <x:f>IF(AJ99="","",IF(OR(LOWER(AJ99)="brazil",LOWER(AJ99)="brasil"),"Yes","No"))</x:f>
      </x:c>
      <x:c r="AL99" s="174"/>
      <x:c r="AM99" s="174"/>
      <x:c r="AN99" s="174"/>
      <x:c r="AO99" s="178"/>
      <x:c r="AP99" s="174"/>
      <x:c r="AQ99" s="174"/>
      <x:c r="AR99" s="174"/>
      <x:c r="AS99" s="174"/>
      <x:c r="AT99" s="174"/>
      <x:c r="AU99" s="174"/>
      <x:c r="AV99" s="174"/>
      <x:c r="AW99" s="174"/>
      <x:c r="AX99" s="174"/>
      <x:c r="AY99" s="174"/>
      <x:c r="AZ99" s="174"/>
      <x:c r="BA99" s="174"/>
      <x:c r="BB99" s="174"/>
      <x:c r="BC99" s="174"/>
      <x:c r="BD99" s="174"/>
      <x:c r="BE99" s="174"/>
      <x:c r="BF99" s="174"/>
      <x:c r="BG99" s="174"/>
      <x:c r="BH99" s="174"/>
      <x:c r="BI99" s="174"/>
      <x:c r="BJ99" s="174"/>
      <x:c r="BK99" s="174"/>
      <x:c r="BL99" s="174"/>
      <x:c r="BM99" s="174"/>
      <x:c r="BN99" s="174"/>
      <x:c r="BO99" s="174"/>
      <x:c r="BP99" s="174"/>
      <x:c r="BQ99" s="174"/>
      <x:c r="BR99" s="174"/>
      <x:c r="BS99" s="174"/>
      <x:c r="BT99" s="174"/>
      <x:c r="BU99" s="174"/>
      <x:c r="BV99" s="174"/>
      <x:c r="BW99" s="174"/>
      <x:c r="BX99" s="174"/>
      <x:c r="BY99" s="174"/>
      <x:c r="BZ99" s="174"/>
      <x:c r="CA99" s="174"/>
      <x:c r="CB99" s="174"/>
      <x:c r="CC99" s="174"/>
      <x:c r="CD99" s="174"/>
      <x:c r="CE99" s="174"/>
      <x:c r="CF99" s="174"/>
      <x:c r="CG99" s="174"/>
      <x:c r="CH99" s="174"/>
      <x:c r="CI99" s="179"/>
      <x:c r="CJ99" s="174"/>
      <x:c r="CK99" s="174"/>
      <x:c r="CL99" s="174"/>
      <x:c r="CM99" s="174"/>
      <x:c r="CN99" s="174"/>
      <x:c r="CO99" s="177"/>
      <x:c r="CP99" s="174"/>
      <x:c r="CQ99" s="174"/>
      <x:c r="CR99" s="174"/>
      <x:c r="CS99" s="174"/>
      <x:c r="CT99" s="174"/>
      <x:c r="CU99" s="176"/>
      <x:c r="CV99" s="176"/>
      <x:c r="CW99" s="176"/>
      <x:c r="CX99" s="176"/>
      <x:c r="CY99" s="176"/>
      <x:c r="CZ99" s="176"/>
      <x:c r="DA99" s="176"/>
      <x:c r="DB99" s="175" t="str">
        <x:f>IF(L99="","",IF(COUNT(CU99:DA99)&lt;7,"",SUM(CU99:DA99)))</x:f>
      </x:c>
      <x:c r="DC99" s="180" t="str">
        <x:f>IF(DB99="","",ROUND(DB99/14*10,1))</x:f>
      </x:c>
      <x:c r="DD99" s="174"/>
      <x:c r="DE99" s="175" t="str">
        <x:f>IF(L99="","",IF(DC99="","Pending",IF(DD99="Yes","CONDITIONAL — safety override",IF(DC99&gt;=8,"HIGH",IF(DC99&gt;=5,"CONDITIONAL","LOW")))))</x:f>
      </x:c>
      <x:c r="DF99" s="174"/>
      <x:c r="DG99" s="174"/>
      <x:c r="DH99" s="174"/>
      <x:c r="DI99" s="174"/>
      <x:c r="DJ99" s="174"/>
      <x:c r="DK99" s="174"/>
      <x:c r="DL99" s="174"/>
      <x:c r="DM99" s="174"/>
      <x:c r="DN99" s="174"/>
      <x:c r="DO99" s="174"/>
      <x:c r="DP99" s="174"/>
      <x:c r="DQ99" s="174"/>
      <x:c r="DR99" s="174"/>
      <x:c r="DS99" s="174"/>
      <x:c r="DT99" s="174"/>
      <x:c r="DU99" s="174"/>
      <x:c r="DV99" s="174"/>
      <x:c r="DW99" s="174"/>
      <x:c r="DX99" s="174"/>
      <x:c r="DY99" s="174"/>
      <x:c r="DZ99" s="174"/>
      <x:c r="EA99" s="174"/>
      <x:c r="EB99" s="175" t="str">
        <x:f>IF(L99="","",IF(AND(F99="Claim-ready",CJ99="Yes",CL99="Yes",DZ99&lt;&gt;""),"Yes","No / Pending"))</x:f>
      </x:c>
      <x:c r="EC99" s="174"/>
      <x:c r="ED99" s="174"/>
      <x:c r="EE99" s="174"/>
      <x:c r="EF99" s="174"/>
      <x:c r="EG99" s="174"/>
      <x:c r="EH99" s="177"/>
      <x:c r="EI99" s="174"/>
      <x:c r="EJ99" s="174"/>
      <x:c r="EK99" s="174"/>
      <x:c r="EL99" s="177"/>
      <x:c r="EM99" s="174"/>
      <x:c r="EN99" s="181" t="str">
        <x:f>IF(L99="","",(IF(N99&lt;&gt;"",1,0)+IF(O99&lt;&gt;"",1,0)+IF(AJ99&lt;&gt;"",1,0)+IF(AU99&lt;&gt;"",1,0)+IF(BE99&lt;&gt;"",1,0)+IF(CF99&lt;&gt;"",1,0)+IF(CJ99="Yes",1,0)+IF(CL99="Yes",1,0)+IF(DE99&lt;&gt;"Pending",1,0)+IF(F99&lt;&gt;"",1,0)+IF(DZ99&lt;&gt;"",1,0)+IF(EI99&lt;&gt;"",1,0))/12)</x:f>
      </x:c>
    </x:row>
    <x:row r="100">
      <x:c r="A100" s="175" t="str">
        <x:f>IF(L100="","","EV-"&amp;TEXT(ROW()-3,"0000"))</x:f>
      </x:c>
      <x:c r="B100" s="174"/>
      <x:c r="C100" s="175" t="str">
        <x:f>IF(L100="","",IF(OR(CM100="Retracted",CN100="Retracted",F100="Not used"),"🔴 Do not use for conclusion",IF(OR(R100="Official / Institutional",I100="Official / contextual"),"🔵 Official / contextual",IF(OR(I100="Definition",I100="Framework",I100="Paradigm shift"),"🟣 Conceptual key source",IF(AND(CJ100="Yes",CL100="Yes",OR(CG100="High",CG100="Moderate"),CH100&lt;&gt;"High",CH100&lt;&gt;"Critical",F100="Claim-ready"),"🟢 Claim-ready","🟡 Caution / context")))))</x:f>
      </x:c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6"/>
      <x:c r="P100" s="174"/>
      <x:c r="Q100" s="174"/>
      <x:c r="R100" s="174"/>
      <x:c r="S100" s="174"/>
      <x:c r="T100" s="174"/>
      <x:c r="U100" s="174"/>
      <x:c r="V100" s="174"/>
      <x:c r="W100" s="175" t="str">
        <x:f>IF(V100="","",LOWER(SUBSTITUTE(SUBSTITUTE(SUBSTITUTE(SUBSTITUTE(TRIM(V100),"https://doi.org/",""),"http://doi.org/",""),"https://dx.doi.org/",""),"doi:","")))</x:f>
      </x:c>
      <x:c r="X100" s="174"/>
      <x:c r="Y100" s="174"/>
      <x:c r="Z100" s="174"/>
      <x:c r="AA100" s="174"/>
      <x:c r="AB100" s="174"/>
      <x:c r="AC100" s="174"/>
      <x:c r="AD100" s="177"/>
      <x:c r="AE100" s="177"/>
      <x:c r="AF100" s="174"/>
      <x:c r="AG100" s="174"/>
      <x:c r="AH100" s="174"/>
      <x:c r="AI100" s="174"/>
      <x:c r="AJ100" s="174"/>
      <x:c r="AK100" s="175" t="str">
        <x:f>IF(AJ100="","",IF(OR(LOWER(AJ100)="brazil",LOWER(AJ100)="brasil"),"Yes","No"))</x:f>
      </x:c>
      <x:c r="AL100" s="174"/>
      <x:c r="AM100" s="174"/>
      <x:c r="AN100" s="174"/>
      <x:c r="AO100" s="178"/>
      <x:c r="AP100" s="174"/>
      <x:c r="AQ100" s="174"/>
      <x:c r="AR100" s="174"/>
      <x:c r="AS100" s="174"/>
      <x:c r="AT100" s="174"/>
      <x:c r="AU100" s="174"/>
      <x:c r="AV100" s="174"/>
      <x:c r="AW100" s="174"/>
      <x:c r="AX100" s="174"/>
      <x:c r="AY100" s="174"/>
      <x:c r="AZ100" s="174"/>
      <x:c r="BA100" s="174"/>
      <x:c r="BB100" s="174"/>
      <x:c r="BC100" s="174"/>
      <x:c r="BD100" s="174"/>
      <x:c r="BE100" s="174"/>
      <x:c r="BF100" s="174"/>
      <x:c r="BG100" s="174"/>
      <x:c r="BH100" s="174"/>
      <x:c r="BI100" s="174"/>
      <x:c r="BJ100" s="174"/>
      <x:c r="BK100" s="174"/>
      <x:c r="BL100" s="174"/>
      <x:c r="BM100" s="174"/>
      <x:c r="BN100" s="174"/>
      <x:c r="BO100" s="174"/>
      <x:c r="BP100" s="174"/>
      <x:c r="BQ100" s="174"/>
      <x:c r="BR100" s="174"/>
      <x:c r="BS100" s="174"/>
      <x:c r="BT100" s="174"/>
      <x:c r="BU100" s="174"/>
      <x:c r="BV100" s="174"/>
      <x:c r="BW100" s="174"/>
      <x:c r="BX100" s="174"/>
      <x:c r="BY100" s="174"/>
      <x:c r="BZ100" s="174"/>
      <x:c r="CA100" s="174"/>
      <x:c r="CB100" s="174"/>
      <x:c r="CC100" s="174"/>
      <x:c r="CD100" s="174"/>
      <x:c r="CE100" s="174"/>
      <x:c r="CF100" s="174"/>
      <x:c r="CG100" s="174"/>
      <x:c r="CH100" s="174"/>
      <x:c r="CI100" s="179"/>
      <x:c r="CJ100" s="174"/>
      <x:c r="CK100" s="174"/>
      <x:c r="CL100" s="174"/>
      <x:c r="CM100" s="174"/>
      <x:c r="CN100" s="174"/>
      <x:c r="CO100" s="177"/>
      <x:c r="CP100" s="174"/>
      <x:c r="CQ100" s="174"/>
      <x:c r="CR100" s="174"/>
      <x:c r="CS100" s="174"/>
      <x:c r="CT100" s="174"/>
      <x:c r="CU100" s="176"/>
      <x:c r="CV100" s="176"/>
      <x:c r="CW100" s="176"/>
      <x:c r="CX100" s="176"/>
      <x:c r="CY100" s="176"/>
      <x:c r="CZ100" s="176"/>
      <x:c r="DA100" s="176"/>
      <x:c r="DB100" s="175" t="str">
        <x:f>IF(L100="","",IF(COUNT(CU100:DA100)&lt;7,"",SUM(CU100:DA100)))</x:f>
      </x:c>
      <x:c r="DC100" s="180" t="str">
        <x:f>IF(DB100="","",ROUND(DB100/14*10,1))</x:f>
      </x:c>
      <x:c r="DD100" s="174"/>
      <x:c r="DE100" s="175" t="str">
        <x:f>IF(L100="","",IF(DC100="","Pending",IF(DD100="Yes","CONDITIONAL — safety override",IF(DC100&gt;=8,"HIGH",IF(DC100&gt;=5,"CONDITIONAL","LOW")))))</x:f>
      </x:c>
      <x:c r="DF100" s="174"/>
      <x:c r="DG100" s="174"/>
      <x:c r="DH100" s="174"/>
      <x:c r="DI100" s="174"/>
      <x:c r="DJ100" s="174"/>
      <x:c r="DK100" s="174"/>
      <x:c r="DL100" s="174"/>
      <x:c r="DM100" s="174"/>
      <x:c r="DN100" s="174"/>
      <x:c r="DO100" s="174"/>
      <x:c r="DP100" s="174"/>
      <x:c r="DQ100" s="174"/>
      <x:c r="DR100" s="174"/>
      <x:c r="DS100" s="174"/>
      <x:c r="DT100" s="174"/>
      <x:c r="DU100" s="174"/>
      <x:c r="DV100" s="174"/>
      <x:c r="DW100" s="174"/>
      <x:c r="DX100" s="174"/>
      <x:c r="DY100" s="174"/>
      <x:c r="DZ100" s="174"/>
      <x:c r="EA100" s="174"/>
      <x:c r="EB100" s="175" t="str">
        <x:f>IF(L100="","",IF(AND(F100="Claim-ready",CJ100="Yes",CL100="Yes",DZ100&lt;&gt;""),"Yes","No / Pending"))</x:f>
      </x:c>
      <x:c r="EC100" s="174"/>
      <x:c r="ED100" s="174"/>
      <x:c r="EE100" s="174"/>
      <x:c r="EF100" s="174"/>
      <x:c r="EG100" s="174"/>
      <x:c r="EH100" s="177"/>
      <x:c r="EI100" s="174"/>
      <x:c r="EJ100" s="174"/>
      <x:c r="EK100" s="174"/>
      <x:c r="EL100" s="177"/>
      <x:c r="EM100" s="174"/>
      <x:c r="EN100" s="181" t="str">
        <x:f>IF(L100="","",(IF(N100&lt;&gt;"",1,0)+IF(O100&lt;&gt;"",1,0)+IF(AJ100&lt;&gt;"",1,0)+IF(AU100&lt;&gt;"",1,0)+IF(BE100&lt;&gt;"",1,0)+IF(CF100&lt;&gt;"",1,0)+IF(CJ100="Yes",1,0)+IF(CL100="Yes",1,0)+IF(DE100&lt;&gt;"Pending",1,0)+IF(F100&lt;&gt;"",1,0)+IF(DZ100&lt;&gt;"",1,0)+IF(EI100&lt;&gt;"",1,0))/12)</x:f>
      </x:c>
    </x:row>
    <x:row r="101">
      <x:c r="A101" s="175" t="str">
        <x:f>IF(L101="","","EV-"&amp;TEXT(ROW()-3,"0000"))</x:f>
      </x:c>
      <x:c r="B101" s="174"/>
      <x:c r="C101" s="175" t="str">
        <x:f>IF(L101="","",IF(OR(CM101="Retracted",CN101="Retracted",F101="Not used"),"🔴 Do not use for conclusion",IF(OR(R101="Official / Institutional",I101="Official / contextual"),"🔵 Official / contextual",IF(OR(I101="Definition",I101="Framework",I101="Paradigm shift"),"🟣 Conceptual key source",IF(AND(CJ101="Yes",CL101="Yes",OR(CG101="High",CG101="Moderate"),CH101&lt;&gt;"High",CH101&lt;&gt;"Critical",F101="Claim-ready"),"🟢 Claim-ready","🟡 Caution / context")))))</x:f>
      </x:c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6"/>
      <x:c r="P101" s="174"/>
      <x:c r="Q101" s="174"/>
      <x:c r="R101" s="174"/>
      <x:c r="S101" s="174"/>
      <x:c r="T101" s="174"/>
      <x:c r="U101" s="174"/>
      <x:c r="V101" s="174"/>
      <x:c r="W101" s="175" t="str">
        <x:f>IF(V101="","",LOWER(SUBSTITUTE(SUBSTITUTE(SUBSTITUTE(SUBSTITUTE(TRIM(V101),"https://doi.org/",""),"http://doi.org/",""),"https://dx.doi.org/",""),"doi:","")))</x:f>
      </x:c>
      <x:c r="X101" s="174"/>
      <x:c r="Y101" s="174"/>
      <x:c r="Z101" s="174"/>
      <x:c r="AA101" s="174"/>
      <x:c r="AB101" s="174"/>
      <x:c r="AC101" s="174"/>
      <x:c r="AD101" s="177"/>
      <x:c r="AE101" s="177"/>
      <x:c r="AF101" s="174"/>
      <x:c r="AG101" s="174"/>
      <x:c r="AH101" s="174"/>
      <x:c r="AI101" s="174"/>
      <x:c r="AJ101" s="174"/>
      <x:c r="AK101" s="175" t="str">
        <x:f>IF(AJ101="","",IF(OR(LOWER(AJ101)="brazil",LOWER(AJ101)="brasil"),"Yes","No"))</x:f>
      </x:c>
      <x:c r="AL101" s="174"/>
      <x:c r="AM101" s="174"/>
      <x:c r="AN101" s="174"/>
      <x:c r="AO101" s="178"/>
      <x:c r="AP101" s="174"/>
      <x:c r="AQ101" s="174"/>
      <x:c r="AR101" s="174"/>
      <x:c r="AS101" s="174"/>
      <x:c r="AT101" s="174"/>
      <x:c r="AU101" s="174"/>
      <x:c r="AV101" s="174"/>
      <x:c r="AW101" s="174"/>
      <x:c r="AX101" s="174"/>
      <x:c r="AY101" s="174"/>
      <x:c r="AZ101" s="174"/>
      <x:c r="BA101" s="174"/>
      <x:c r="BB101" s="174"/>
      <x:c r="BC101" s="174"/>
      <x:c r="BD101" s="174"/>
      <x:c r="BE101" s="174"/>
      <x:c r="BF101" s="174"/>
      <x:c r="BG101" s="174"/>
      <x:c r="BH101" s="174"/>
      <x:c r="BI101" s="174"/>
      <x:c r="BJ101" s="174"/>
      <x:c r="BK101" s="174"/>
      <x:c r="BL101" s="174"/>
      <x:c r="BM101" s="174"/>
      <x:c r="BN101" s="174"/>
      <x:c r="BO101" s="174"/>
      <x:c r="BP101" s="174"/>
      <x:c r="BQ101" s="174"/>
      <x:c r="BR101" s="174"/>
      <x:c r="BS101" s="174"/>
      <x:c r="BT101" s="174"/>
      <x:c r="BU101" s="174"/>
      <x:c r="BV101" s="174"/>
      <x:c r="BW101" s="174"/>
      <x:c r="BX101" s="174"/>
      <x:c r="BY101" s="174"/>
      <x:c r="BZ101" s="174"/>
      <x:c r="CA101" s="174"/>
      <x:c r="CB101" s="174"/>
      <x:c r="CC101" s="174"/>
      <x:c r="CD101" s="174"/>
      <x:c r="CE101" s="174"/>
      <x:c r="CF101" s="174"/>
      <x:c r="CG101" s="174"/>
      <x:c r="CH101" s="174"/>
      <x:c r="CI101" s="179"/>
      <x:c r="CJ101" s="174"/>
      <x:c r="CK101" s="174"/>
      <x:c r="CL101" s="174"/>
      <x:c r="CM101" s="174"/>
      <x:c r="CN101" s="174"/>
      <x:c r="CO101" s="177"/>
      <x:c r="CP101" s="174"/>
      <x:c r="CQ101" s="174"/>
      <x:c r="CR101" s="174"/>
      <x:c r="CS101" s="174"/>
      <x:c r="CT101" s="174"/>
      <x:c r="CU101" s="176"/>
      <x:c r="CV101" s="176"/>
      <x:c r="CW101" s="176"/>
      <x:c r="CX101" s="176"/>
      <x:c r="CY101" s="176"/>
      <x:c r="CZ101" s="176"/>
      <x:c r="DA101" s="176"/>
      <x:c r="DB101" s="175" t="str">
        <x:f>IF(L101="","",IF(COUNT(CU101:DA101)&lt;7,"",SUM(CU101:DA101)))</x:f>
      </x:c>
      <x:c r="DC101" s="180" t="str">
        <x:f>IF(DB101="","",ROUND(DB101/14*10,1))</x:f>
      </x:c>
      <x:c r="DD101" s="174"/>
      <x:c r="DE101" s="175" t="str">
        <x:f>IF(L101="","",IF(DC101="","Pending",IF(DD101="Yes","CONDITIONAL — safety override",IF(DC101&gt;=8,"HIGH",IF(DC101&gt;=5,"CONDITIONAL","LOW")))))</x:f>
      </x:c>
      <x:c r="DF101" s="174"/>
      <x:c r="DG101" s="174"/>
      <x:c r="DH101" s="174"/>
      <x:c r="DI101" s="174"/>
      <x:c r="DJ101" s="174"/>
      <x:c r="DK101" s="174"/>
      <x:c r="DL101" s="174"/>
      <x:c r="DM101" s="174"/>
      <x:c r="DN101" s="174"/>
      <x:c r="DO101" s="174"/>
      <x:c r="DP101" s="174"/>
      <x:c r="DQ101" s="174"/>
      <x:c r="DR101" s="174"/>
      <x:c r="DS101" s="174"/>
      <x:c r="DT101" s="174"/>
      <x:c r="DU101" s="174"/>
      <x:c r="DV101" s="174"/>
      <x:c r="DW101" s="174"/>
      <x:c r="DX101" s="174"/>
      <x:c r="DY101" s="174"/>
      <x:c r="DZ101" s="174"/>
      <x:c r="EA101" s="174"/>
      <x:c r="EB101" s="175" t="str">
        <x:f>IF(L101="","",IF(AND(F101="Claim-ready",CJ101="Yes",CL101="Yes",DZ101&lt;&gt;""),"Yes","No / Pending"))</x:f>
      </x:c>
      <x:c r="EC101" s="174"/>
      <x:c r="ED101" s="174"/>
      <x:c r="EE101" s="174"/>
      <x:c r="EF101" s="174"/>
      <x:c r="EG101" s="174"/>
      <x:c r="EH101" s="177"/>
      <x:c r="EI101" s="174"/>
      <x:c r="EJ101" s="174"/>
      <x:c r="EK101" s="174"/>
      <x:c r="EL101" s="177"/>
      <x:c r="EM101" s="174"/>
      <x:c r="EN101" s="181" t="str">
        <x:f>IF(L101="","",(IF(N101&lt;&gt;"",1,0)+IF(O101&lt;&gt;"",1,0)+IF(AJ101&lt;&gt;"",1,0)+IF(AU101&lt;&gt;"",1,0)+IF(BE101&lt;&gt;"",1,0)+IF(CF101&lt;&gt;"",1,0)+IF(CJ101="Yes",1,0)+IF(CL101="Yes",1,0)+IF(DE101&lt;&gt;"Pending",1,0)+IF(F101&lt;&gt;"",1,0)+IF(DZ101&lt;&gt;"",1,0)+IF(EI101&lt;&gt;"",1,0))/12)</x:f>
      </x:c>
    </x:row>
    <x:row r="102">
      <x:c r="A102" s="175" t="str">
        <x:f>IF(L102="","","EV-"&amp;TEXT(ROW()-3,"0000"))</x:f>
      </x:c>
      <x:c r="B102" s="174"/>
      <x:c r="C102" s="175" t="str">
        <x:f>IF(L102="","",IF(OR(CM102="Retracted",CN102="Retracted",F102="Not used"),"🔴 Do not use for conclusion",IF(OR(R102="Official / Institutional",I102="Official / contextual"),"🔵 Official / contextual",IF(OR(I102="Definition",I102="Framework",I102="Paradigm shift"),"🟣 Conceptual key source",IF(AND(CJ102="Yes",CL102="Yes",OR(CG102="High",CG102="Moderate"),CH102&lt;&gt;"High",CH102&lt;&gt;"Critical",F102="Claim-ready"),"🟢 Claim-ready","🟡 Caution / context")))))</x:f>
      </x:c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6"/>
      <x:c r="P102" s="174"/>
      <x:c r="Q102" s="174"/>
      <x:c r="R102" s="174"/>
      <x:c r="S102" s="174"/>
      <x:c r="T102" s="174"/>
      <x:c r="U102" s="174"/>
      <x:c r="V102" s="174"/>
      <x:c r="W102" s="175" t="str">
        <x:f>IF(V102="","",LOWER(SUBSTITUTE(SUBSTITUTE(SUBSTITUTE(SUBSTITUTE(TRIM(V102),"https://doi.org/",""),"http://doi.org/",""),"https://dx.doi.org/",""),"doi:","")))</x:f>
      </x:c>
      <x:c r="X102" s="174"/>
      <x:c r="Y102" s="174"/>
      <x:c r="Z102" s="174"/>
      <x:c r="AA102" s="174"/>
      <x:c r="AB102" s="174"/>
      <x:c r="AC102" s="174"/>
      <x:c r="AD102" s="177"/>
      <x:c r="AE102" s="177"/>
      <x:c r="AF102" s="174"/>
      <x:c r="AG102" s="174"/>
      <x:c r="AH102" s="174"/>
      <x:c r="AI102" s="174"/>
      <x:c r="AJ102" s="174"/>
      <x:c r="AK102" s="175" t="str">
        <x:f>IF(AJ102="","",IF(OR(LOWER(AJ102)="brazil",LOWER(AJ102)="brasil"),"Yes","No"))</x:f>
      </x:c>
      <x:c r="AL102" s="174"/>
      <x:c r="AM102" s="174"/>
      <x:c r="AN102" s="174"/>
      <x:c r="AO102" s="178"/>
      <x:c r="AP102" s="174"/>
      <x:c r="AQ102" s="174"/>
      <x:c r="AR102" s="174"/>
      <x:c r="AS102" s="174"/>
      <x:c r="AT102" s="174"/>
      <x:c r="AU102" s="174"/>
      <x:c r="AV102" s="174"/>
      <x:c r="AW102" s="174"/>
      <x:c r="AX102" s="174"/>
      <x:c r="AY102" s="174"/>
      <x:c r="AZ102" s="174"/>
      <x:c r="BA102" s="174"/>
      <x:c r="BB102" s="174"/>
      <x:c r="BC102" s="174"/>
      <x:c r="BD102" s="174"/>
      <x:c r="BE102" s="174"/>
      <x:c r="BF102" s="174"/>
      <x:c r="BG102" s="174"/>
      <x:c r="BH102" s="174"/>
      <x:c r="BI102" s="174"/>
      <x:c r="BJ102" s="174"/>
      <x:c r="BK102" s="174"/>
      <x:c r="BL102" s="174"/>
      <x:c r="BM102" s="174"/>
      <x:c r="BN102" s="174"/>
      <x:c r="BO102" s="174"/>
      <x:c r="BP102" s="174"/>
      <x:c r="BQ102" s="174"/>
      <x:c r="BR102" s="174"/>
      <x:c r="BS102" s="174"/>
      <x:c r="BT102" s="174"/>
      <x:c r="BU102" s="174"/>
      <x:c r="BV102" s="174"/>
      <x:c r="BW102" s="174"/>
      <x:c r="BX102" s="174"/>
      <x:c r="BY102" s="174"/>
      <x:c r="BZ102" s="174"/>
      <x:c r="CA102" s="174"/>
      <x:c r="CB102" s="174"/>
      <x:c r="CC102" s="174"/>
      <x:c r="CD102" s="174"/>
      <x:c r="CE102" s="174"/>
      <x:c r="CF102" s="174"/>
      <x:c r="CG102" s="174"/>
      <x:c r="CH102" s="174"/>
      <x:c r="CI102" s="179"/>
      <x:c r="CJ102" s="174"/>
      <x:c r="CK102" s="174"/>
      <x:c r="CL102" s="174"/>
      <x:c r="CM102" s="174"/>
      <x:c r="CN102" s="174"/>
      <x:c r="CO102" s="177"/>
      <x:c r="CP102" s="174"/>
      <x:c r="CQ102" s="174"/>
      <x:c r="CR102" s="174"/>
      <x:c r="CS102" s="174"/>
      <x:c r="CT102" s="174"/>
      <x:c r="CU102" s="176"/>
      <x:c r="CV102" s="176"/>
      <x:c r="CW102" s="176"/>
      <x:c r="CX102" s="176"/>
      <x:c r="CY102" s="176"/>
      <x:c r="CZ102" s="176"/>
      <x:c r="DA102" s="176"/>
      <x:c r="DB102" s="175" t="str">
        <x:f>IF(L102="","",IF(COUNT(CU102:DA102)&lt;7,"",SUM(CU102:DA102)))</x:f>
      </x:c>
      <x:c r="DC102" s="180" t="str">
        <x:f>IF(DB102="","",ROUND(DB102/14*10,1))</x:f>
      </x:c>
      <x:c r="DD102" s="174"/>
      <x:c r="DE102" s="175" t="str">
        <x:f>IF(L102="","",IF(DC102="","Pending",IF(DD102="Yes","CONDITIONAL — safety override",IF(DC102&gt;=8,"HIGH",IF(DC102&gt;=5,"CONDITIONAL","LOW")))))</x:f>
      </x:c>
      <x:c r="DF102" s="174"/>
      <x:c r="DG102" s="174"/>
      <x:c r="DH102" s="174"/>
      <x:c r="DI102" s="174"/>
      <x:c r="DJ102" s="174"/>
      <x:c r="DK102" s="174"/>
      <x:c r="DL102" s="174"/>
      <x:c r="DM102" s="174"/>
      <x:c r="DN102" s="174"/>
      <x:c r="DO102" s="174"/>
      <x:c r="DP102" s="174"/>
      <x:c r="DQ102" s="174"/>
      <x:c r="DR102" s="174"/>
      <x:c r="DS102" s="174"/>
      <x:c r="DT102" s="174"/>
      <x:c r="DU102" s="174"/>
      <x:c r="DV102" s="174"/>
      <x:c r="DW102" s="174"/>
      <x:c r="DX102" s="174"/>
      <x:c r="DY102" s="174"/>
      <x:c r="DZ102" s="174"/>
      <x:c r="EA102" s="174"/>
      <x:c r="EB102" s="175" t="str">
        <x:f>IF(L102="","",IF(AND(F102="Claim-ready",CJ102="Yes",CL102="Yes",DZ102&lt;&gt;""),"Yes","No / Pending"))</x:f>
      </x:c>
      <x:c r="EC102" s="174"/>
      <x:c r="ED102" s="174"/>
      <x:c r="EE102" s="174"/>
      <x:c r="EF102" s="174"/>
      <x:c r="EG102" s="174"/>
      <x:c r="EH102" s="177"/>
      <x:c r="EI102" s="174"/>
      <x:c r="EJ102" s="174"/>
      <x:c r="EK102" s="174"/>
      <x:c r="EL102" s="177"/>
      <x:c r="EM102" s="174"/>
      <x:c r="EN102" s="181" t="str">
        <x:f>IF(L102="","",(IF(N102&lt;&gt;"",1,0)+IF(O102&lt;&gt;"",1,0)+IF(AJ102&lt;&gt;"",1,0)+IF(AU102&lt;&gt;"",1,0)+IF(BE102&lt;&gt;"",1,0)+IF(CF102&lt;&gt;"",1,0)+IF(CJ102="Yes",1,0)+IF(CL102="Yes",1,0)+IF(DE102&lt;&gt;"Pending",1,0)+IF(F102&lt;&gt;"",1,0)+IF(DZ102&lt;&gt;"",1,0)+IF(EI102&lt;&gt;"",1,0))/12)</x:f>
      </x:c>
    </x:row>
    <x:row r="103">
      <x:c r="A103" s="175" t="str">
        <x:f>IF(L103="","","EV-"&amp;TEXT(ROW()-3,"0000"))</x:f>
      </x:c>
      <x:c r="B103" s="174"/>
      <x:c r="C103" s="175" t="str">
        <x:f>IF(L103="","",IF(OR(CM103="Retracted",CN103="Retracted",F103="Not used"),"🔴 Do not use for conclusion",IF(OR(R103="Official / Institutional",I103="Official / contextual"),"🔵 Official / contextual",IF(OR(I103="Definition",I103="Framework",I103="Paradigm shift"),"🟣 Conceptual key source",IF(AND(CJ103="Yes",CL103="Yes",OR(CG103="High",CG103="Moderate"),CH103&lt;&gt;"High",CH103&lt;&gt;"Critical",F103="Claim-ready"),"🟢 Claim-ready","🟡 Caution / context")))))</x:f>
      </x:c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6"/>
      <x:c r="P103" s="174"/>
      <x:c r="Q103" s="174"/>
      <x:c r="R103" s="174"/>
      <x:c r="S103" s="174"/>
      <x:c r="T103" s="174"/>
      <x:c r="U103" s="174"/>
      <x:c r="V103" s="174"/>
      <x:c r="W103" s="175" t="str">
        <x:f>IF(V103="","",LOWER(SUBSTITUTE(SUBSTITUTE(SUBSTITUTE(SUBSTITUTE(TRIM(V103),"https://doi.org/",""),"http://doi.org/",""),"https://dx.doi.org/",""),"doi:","")))</x:f>
      </x:c>
      <x:c r="X103" s="174"/>
      <x:c r="Y103" s="174"/>
      <x:c r="Z103" s="174"/>
      <x:c r="AA103" s="174"/>
      <x:c r="AB103" s="174"/>
      <x:c r="AC103" s="174"/>
      <x:c r="AD103" s="177"/>
      <x:c r="AE103" s="177"/>
      <x:c r="AF103" s="174"/>
      <x:c r="AG103" s="174"/>
      <x:c r="AH103" s="174"/>
      <x:c r="AI103" s="174"/>
      <x:c r="AJ103" s="174"/>
      <x:c r="AK103" s="175" t="str">
        <x:f>IF(AJ103="","",IF(OR(LOWER(AJ103)="brazil",LOWER(AJ103)="brasil"),"Yes","No"))</x:f>
      </x:c>
      <x:c r="AL103" s="174"/>
      <x:c r="AM103" s="174"/>
      <x:c r="AN103" s="174"/>
      <x:c r="AO103" s="178"/>
      <x:c r="AP103" s="174"/>
      <x:c r="AQ103" s="174"/>
      <x:c r="AR103" s="174"/>
      <x:c r="AS103" s="174"/>
      <x:c r="AT103" s="174"/>
      <x:c r="AU103" s="174"/>
      <x:c r="AV103" s="174"/>
      <x:c r="AW103" s="174"/>
      <x:c r="AX103" s="174"/>
      <x:c r="AY103" s="174"/>
      <x:c r="AZ103" s="174"/>
      <x:c r="BA103" s="174"/>
      <x:c r="BB103" s="174"/>
      <x:c r="BC103" s="174"/>
      <x:c r="BD103" s="174"/>
      <x:c r="BE103" s="174"/>
      <x:c r="BF103" s="174"/>
      <x:c r="BG103" s="174"/>
      <x:c r="BH103" s="174"/>
      <x:c r="BI103" s="174"/>
      <x:c r="BJ103" s="174"/>
      <x:c r="BK103" s="174"/>
      <x:c r="BL103" s="174"/>
      <x:c r="BM103" s="174"/>
      <x:c r="BN103" s="174"/>
      <x:c r="BO103" s="174"/>
      <x:c r="BP103" s="174"/>
      <x:c r="BQ103" s="174"/>
      <x:c r="BR103" s="174"/>
      <x:c r="BS103" s="174"/>
      <x:c r="BT103" s="174"/>
      <x:c r="BU103" s="174"/>
      <x:c r="BV103" s="174"/>
      <x:c r="BW103" s="174"/>
      <x:c r="BX103" s="174"/>
      <x:c r="BY103" s="174"/>
      <x:c r="BZ103" s="174"/>
      <x:c r="CA103" s="174"/>
      <x:c r="CB103" s="174"/>
      <x:c r="CC103" s="174"/>
      <x:c r="CD103" s="174"/>
      <x:c r="CE103" s="174"/>
      <x:c r="CF103" s="174"/>
      <x:c r="CG103" s="174"/>
      <x:c r="CH103" s="174"/>
      <x:c r="CI103" s="179"/>
      <x:c r="CJ103" s="174"/>
      <x:c r="CK103" s="174"/>
      <x:c r="CL103" s="174"/>
      <x:c r="CM103" s="174"/>
      <x:c r="CN103" s="174"/>
      <x:c r="CO103" s="177"/>
      <x:c r="CP103" s="174"/>
      <x:c r="CQ103" s="174"/>
      <x:c r="CR103" s="174"/>
      <x:c r="CS103" s="174"/>
      <x:c r="CT103" s="174"/>
      <x:c r="CU103" s="176"/>
      <x:c r="CV103" s="176"/>
      <x:c r="CW103" s="176"/>
      <x:c r="CX103" s="176"/>
      <x:c r="CY103" s="176"/>
      <x:c r="CZ103" s="176"/>
      <x:c r="DA103" s="176"/>
      <x:c r="DB103" s="175" t="str">
        <x:f>IF(L103="","",IF(COUNT(CU103:DA103)&lt;7,"",SUM(CU103:DA103)))</x:f>
      </x:c>
      <x:c r="DC103" s="180" t="str">
        <x:f>IF(DB103="","",ROUND(DB103/14*10,1))</x:f>
      </x:c>
      <x:c r="DD103" s="174"/>
      <x:c r="DE103" s="175" t="str">
        <x:f>IF(L103="","",IF(DC103="","Pending",IF(DD103="Yes","CONDITIONAL — safety override",IF(DC103&gt;=8,"HIGH",IF(DC103&gt;=5,"CONDITIONAL","LOW")))))</x:f>
      </x:c>
      <x:c r="DF103" s="174"/>
      <x:c r="DG103" s="174"/>
      <x:c r="DH103" s="174"/>
      <x:c r="DI103" s="174"/>
      <x:c r="DJ103" s="174"/>
      <x:c r="DK103" s="174"/>
      <x:c r="DL103" s="174"/>
      <x:c r="DM103" s="174"/>
      <x:c r="DN103" s="174"/>
      <x:c r="DO103" s="174"/>
      <x:c r="DP103" s="174"/>
      <x:c r="DQ103" s="174"/>
      <x:c r="DR103" s="174"/>
      <x:c r="DS103" s="174"/>
      <x:c r="DT103" s="174"/>
      <x:c r="DU103" s="174"/>
      <x:c r="DV103" s="174"/>
      <x:c r="DW103" s="174"/>
      <x:c r="DX103" s="174"/>
      <x:c r="DY103" s="174"/>
      <x:c r="DZ103" s="174"/>
      <x:c r="EA103" s="174"/>
      <x:c r="EB103" s="175" t="str">
        <x:f>IF(L103="","",IF(AND(F103="Claim-ready",CJ103="Yes",CL103="Yes",DZ103&lt;&gt;""),"Yes","No / Pending"))</x:f>
      </x:c>
      <x:c r="EC103" s="174"/>
      <x:c r="ED103" s="174"/>
      <x:c r="EE103" s="174"/>
      <x:c r="EF103" s="174"/>
      <x:c r="EG103" s="174"/>
      <x:c r="EH103" s="177"/>
      <x:c r="EI103" s="174"/>
      <x:c r="EJ103" s="174"/>
      <x:c r="EK103" s="174"/>
      <x:c r="EL103" s="177"/>
      <x:c r="EM103" s="174"/>
      <x:c r="EN103" s="181" t="str">
        <x:f>IF(L103="","",(IF(N103&lt;&gt;"",1,0)+IF(O103&lt;&gt;"",1,0)+IF(AJ103&lt;&gt;"",1,0)+IF(AU103&lt;&gt;"",1,0)+IF(BE103&lt;&gt;"",1,0)+IF(CF103&lt;&gt;"",1,0)+IF(CJ103="Yes",1,0)+IF(CL103="Yes",1,0)+IF(DE103&lt;&gt;"Pending",1,0)+IF(F103&lt;&gt;"",1,0)+IF(DZ103&lt;&gt;"",1,0)+IF(EI103&lt;&gt;"",1,0))/12)</x:f>
      </x:c>
    </x:row>
    <x:row r="104">
      <x:c r="A104" s="175" t="str">
        <x:f>IF(L104="","","EV-"&amp;TEXT(ROW()-3,"0000"))</x:f>
      </x:c>
      <x:c r="B104" s="174"/>
      <x:c r="C104" s="175" t="str">
        <x:f>IF(L104="","",IF(OR(CM104="Retracted",CN104="Retracted",F104="Not used"),"🔴 Do not use for conclusion",IF(OR(R104="Official / Institutional",I104="Official / contextual"),"🔵 Official / contextual",IF(OR(I104="Definition",I104="Framework",I104="Paradigm shift"),"🟣 Conceptual key source",IF(AND(CJ104="Yes",CL104="Yes",OR(CG104="High",CG104="Moderate"),CH104&lt;&gt;"High",CH104&lt;&gt;"Critical",F104="Claim-ready"),"🟢 Claim-ready","🟡 Caution / context")))))</x:f>
      </x:c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6"/>
      <x:c r="P104" s="174"/>
      <x:c r="Q104" s="174"/>
      <x:c r="R104" s="174"/>
      <x:c r="S104" s="174"/>
      <x:c r="T104" s="174"/>
      <x:c r="U104" s="174"/>
      <x:c r="V104" s="174"/>
      <x:c r="W104" s="175" t="str">
        <x:f>IF(V104="","",LOWER(SUBSTITUTE(SUBSTITUTE(SUBSTITUTE(SUBSTITUTE(TRIM(V104),"https://doi.org/",""),"http://doi.org/",""),"https://dx.doi.org/",""),"doi:","")))</x:f>
      </x:c>
      <x:c r="X104" s="174"/>
      <x:c r="Y104" s="174"/>
      <x:c r="Z104" s="174"/>
      <x:c r="AA104" s="174"/>
      <x:c r="AB104" s="174"/>
      <x:c r="AC104" s="174"/>
      <x:c r="AD104" s="177"/>
      <x:c r="AE104" s="177"/>
      <x:c r="AF104" s="174"/>
      <x:c r="AG104" s="174"/>
      <x:c r="AH104" s="174"/>
      <x:c r="AI104" s="174"/>
      <x:c r="AJ104" s="174"/>
      <x:c r="AK104" s="175" t="str">
        <x:f>IF(AJ104="","",IF(OR(LOWER(AJ104)="brazil",LOWER(AJ104)="brasil"),"Yes","No"))</x:f>
      </x:c>
      <x:c r="AL104" s="174"/>
      <x:c r="AM104" s="174"/>
      <x:c r="AN104" s="174"/>
      <x:c r="AO104" s="178"/>
      <x:c r="AP104" s="174"/>
      <x:c r="AQ104" s="174"/>
      <x:c r="AR104" s="174"/>
      <x:c r="AS104" s="174"/>
      <x:c r="AT104" s="174"/>
      <x:c r="AU104" s="174"/>
      <x:c r="AV104" s="174"/>
      <x:c r="AW104" s="174"/>
      <x:c r="AX104" s="174"/>
      <x:c r="AY104" s="174"/>
      <x:c r="AZ104" s="174"/>
      <x:c r="BA104" s="174"/>
      <x:c r="BB104" s="174"/>
      <x:c r="BC104" s="174"/>
      <x:c r="BD104" s="174"/>
      <x:c r="BE104" s="174"/>
      <x:c r="BF104" s="174"/>
      <x:c r="BG104" s="174"/>
      <x:c r="BH104" s="174"/>
      <x:c r="BI104" s="174"/>
      <x:c r="BJ104" s="174"/>
      <x:c r="BK104" s="174"/>
      <x:c r="BL104" s="174"/>
      <x:c r="BM104" s="174"/>
      <x:c r="BN104" s="174"/>
      <x:c r="BO104" s="174"/>
      <x:c r="BP104" s="174"/>
      <x:c r="BQ104" s="174"/>
      <x:c r="BR104" s="174"/>
      <x:c r="BS104" s="174"/>
      <x:c r="BT104" s="174"/>
      <x:c r="BU104" s="174"/>
      <x:c r="BV104" s="174"/>
      <x:c r="BW104" s="174"/>
      <x:c r="BX104" s="174"/>
      <x:c r="BY104" s="174"/>
      <x:c r="BZ104" s="174"/>
      <x:c r="CA104" s="174"/>
      <x:c r="CB104" s="174"/>
      <x:c r="CC104" s="174"/>
      <x:c r="CD104" s="174"/>
      <x:c r="CE104" s="174"/>
      <x:c r="CF104" s="174"/>
      <x:c r="CG104" s="174"/>
      <x:c r="CH104" s="174"/>
      <x:c r="CI104" s="179"/>
      <x:c r="CJ104" s="174"/>
      <x:c r="CK104" s="174"/>
      <x:c r="CL104" s="174"/>
      <x:c r="CM104" s="174"/>
      <x:c r="CN104" s="174"/>
      <x:c r="CO104" s="177"/>
      <x:c r="CP104" s="174"/>
      <x:c r="CQ104" s="174"/>
      <x:c r="CR104" s="174"/>
      <x:c r="CS104" s="174"/>
      <x:c r="CT104" s="174"/>
      <x:c r="CU104" s="176"/>
      <x:c r="CV104" s="176"/>
      <x:c r="CW104" s="176"/>
      <x:c r="CX104" s="176"/>
      <x:c r="CY104" s="176"/>
      <x:c r="CZ104" s="176"/>
      <x:c r="DA104" s="176"/>
      <x:c r="DB104" s="175" t="str">
        <x:f>IF(L104="","",IF(COUNT(CU104:DA104)&lt;7,"",SUM(CU104:DA104)))</x:f>
      </x:c>
      <x:c r="DC104" s="180" t="str">
        <x:f>IF(DB104="","",ROUND(DB104/14*10,1))</x:f>
      </x:c>
      <x:c r="DD104" s="174"/>
      <x:c r="DE104" s="175" t="str">
        <x:f>IF(L104="","",IF(DC104="","Pending",IF(DD104="Yes","CONDITIONAL — safety override",IF(DC104&gt;=8,"HIGH",IF(DC104&gt;=5,"CONDITIONAL","LOW")))))</x:f>
      </x:c>
      <x:c r="DF104" s="174"/>
      <x:c r="DG104" s="174"/>
      <x:c r="DH104" s="174"/>
      <x:c r="DI104" s="174"/>
      <x:c r="DJ104" s="174"/>
      <x:c r="DK104" s="174"/>
      <x:c r="DL104" s="174"/>
      <x:c r="DM104" s="174"/>
      <x:c r="DN104" s="174"/>
      <x:c r="DO104" s="174"/>
      <x:c r="DP104" s="174"/>
      <x:c r="DQ104" s="174"/>
      <x:c r="DR104" s="174"/>
      <x:c r="DS104" s="174"/>
      <x:c r="DT104" s="174"/>
      <x:c r="DU104" s="174"/>
      <x:c r="DV104" s="174"/>
      <x:c r="DW104" s="174"/>
      <x:c r="DX104" s="174"/>
      <x:c r="DY104" s="174"/>
      <x:c r="DZ104" s="174"/>
      <x:c r="EA104" s="174"/>
      <x:c r="EB104" s="175" t="str">
        <x:f>IF(L104="","",IF(AND(F104="Claim-ready",CJ104="Yes",CL104="Yes",DZ104&lt;&gt;""),"Yes","No / Pending"))</x:f>
      </x:c>
      <x:c r="EC104" s="174"/>
      <x:c r="ED104" s="174"/>
      <x:c r="EE104" s="174"/>
      <x:c r="EF104" s="174"/>
      <x:c r="EG104" s="174"/>
      <x:c r="EH104" s="177"/>
      <x:c r="EI104" s="174"/>
      <x:c r="EJ104" s="174"/>
      <x:c r="EK104" s="174"/>
      <x:c r="EL104" s="177"/>
      <x:c r="EM104" s="174"/>
      <x:c r="EN104" s="181" t="str">
        <x:f>IF(L104="","",(IF(N104&lt;&gt;"",1,0)+IF(O104&lt;&gt;"",1,0)+IF(AJ104&lt;&gt;"",1,0)+IF(AU104&lt;&gt;"",1,0)+IF(BE104&lt;&gt;"",1,0)+IF(CF104&lt;&gt;"",1,0)+IF(CJ104="Yes",1,0)+IF(CL104="Yes",1,0)+IF(DE104&lt;&gt;"Pending",1,0)+IF(F104&lt;&gt;"",1,0)+IF(DZ104&lt;&gt;"",1,0)+IF(EI104&lt;&gt;"",1,0))/12)</x:f>
      </x:c>
    </x:row>
    <x:row r="105">
      <x:c r="A105" s="175" t="str">
        <x:f>IF(L105="","","EV-"&amp;TEXT(ROW()-3,"0000"))</x:f>
      </x:c>
      <x:c r="B105" s="174"/>
      <x:c r="C105" s="175" t="str">
        <x:f>IF(L105="","",IF(OR(CM105="Retracted",CN105="Retracted",F105="Not used"),"🔴 Do not use for conclusion",IF(OR(R105="Official / Institutional",I105="Official / contextual"),"🔵 Official / contextual",IF(OR(I105="Definition",I105="Framework",I105="Paradigm shift"),"🟣 Conceptual key source",IF(AND(CJ105="Yes",CL105="Yes",OR(CG105="High",CG105="Moderate"),CH105&lt;&gt;"High",CH105&lt;&gt;"Critical",F105="Claim-ready"),"🟢 Claim-ready","🟡 Caution / context")))))</x:f>
      </x:c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6"/>
      <x:c r="P105" s="174"/>
      <x:c r="Q105" s="174"/>
      <x:c r="R105" s="174"/>
      <x:c r="S105" s="174"/>
      <x:c r="T105" s="174"/>
      <x:c r="U105" s="174"/>
      <x:c r="V105" s="174"/>
      <x:c r="W105" s="175" t="str">
        <x:f>IF(V105="","",LOWER(SUBSTITUTE(SUBSTITUTE(SUBSTITUTE(SUBSTITUTE(TRIM(V105),"https://doi.org/",""),"http://doi.org/",""),"https://dx.doi.org/",""),"doi:","")))</x:f>
      </x:c>
      <x:c r="X105" s="174"/>
      <x:c r="Y105" s="174"/>
      <x:c r="Z105" s="174"/>
      <x:c r="AA105" s="174"/>
      <x:c r="AB105" s="174"/>
      <x:c r="AC105" s="174"/>
      <x:c r="AD105" s="177"/>
      <x:c r="AE105" s="177"/>
      <x:c r="AF105" s="174"/>
      <x:c r="AG105" s="174"/>
      <x:c r="AH105" s="174"/>
      <x:c r="AI105" s="174"/>
      <x:c r="AJ105" s="174"/>
      <x:c r="AK105" s="175" t="str">
        <x:f>IF(AJ105="","",IF(OR(LOWER(AJ105)="brazil",LOWER(AJ105)="brasil"),"Yes","No"))</x:f>
      </x:c>
      <x:c r="AL105" s="174"/>
      <x:c r="AM105" s="174"/>
      <x:c r="AN105" s="174"/>
      <x:c r="AO105" s="178"/>
      <x:c r="AP105" s="174"/>
      <x:c r="AQ105" s="174"/>
      <x:c r="AR105" s="174"/>
      <x:c r="AS105" s="174"/>
      <x:c r="AT105" s="174"/>
      <x:c r="AU105" s="174"/>
      <x:c r="AV105" s="174"/>
      <x:c r="AW105" s="174"/>
      <x:c r="AX105" s="174"/>
      <x:c r="AY105" s="174"/>
      <x:c r="AZ105" s="174"/>
      <x:c r="BA105" s="174"/>
      <x:c r="BB105" s="174"/>
      <x:c r="BC105" s="174"/>
      <x:c r="BD105" s="174"/>
      <x:c r="BE105" s="174"/>
      <x:c r="BF105" s="174"/>
      <x:c r="BG105" s="174"/>
      <x:c r="BH105" s="174"/>
      <x:c r="BI105" s="174"/>
      <x:c r="BJ105" s="174"/>
      <x:c r="BK105" s="174"/>
      <x:c r="BL105" s="174"/>
      <x:c r="BM105" s="174"/>
      <x:c r="BN105" s="174"/>
      <x:c r="BO105" s="174"/>
      <x:c r="BP105" s="174"/>
      <x:c r="BQ105" s="174"/>
      <x:c r="BR105" s="174"/>
      <x:c r="BS105" s="174"/>
      <x:c r="BT105" s="174"/>
      <x:c r="BU105" s="174"/>
      <x:c r="BV105" s="174"/>
      <x:c r="BW105" s="174"/>
      <x:c r="BX105" s="174"/>
      <x:c r="BY105" s="174"/>
      <x:c r="BZ105" s="174"/>
      <x:c r="CA105" s="174"/>
      <x:c r="CB105" s="174"/>
      <x:c r="CC105" s="174"/>
      <x:c r="CD105" s="174"/>
      <x:c r="CE105" s="174"/>
      <x:c r="CF105" s="174"/>
      <x:c r="CG105" s="174"/>
      <x:c r="CH105" s="174"/>
      <x:c r="CI105" s="179"/>
      <x:c r="CJ105" s="174"/>
      <x:c r="CK105" s="174"/>
      <x:c r="CL105" s="174"/>
      <x:c r="CM105" s="174"/>
      <x:c r="CN105" s="174"/>
      <x:c r="CO105" s="177"/>
      <x:c r="CP105" s="174"/>
      <x:c r="CQ105" s="174"/>
      <x:c r="CR105" s="174"/>
      <x:c r="CS105" s="174"/>
      <x:c r="CT105" s="174"/>
      <x:c r="CU105" s="176"/>
      <x:c r="CV105" s="176"/>
      <x:c r="CW105" s="176"/>
      <x:c r="CX105" s="176"/>
      <x:c r="CY105" s="176"/>
      <x:c r="CZ105" s="176"/>
      <x:c r="DA105" s="176"/>
      <x:c r="DB105" s="175" t="str">
        <x:f>IF(L105="","",IF(COUNT(CU105:DA105)&lt;7,"",SUM(CU105:DA105)))</x:f>
      </x:c>
      <x:c r="DC105" s="180" t="str">
        <x:f>IF(DB105="","",ROUND(DB105/14*10,1))</x:f>
      </x:c>
      <x:c r="DD105" s="174"/>
      <x:c r="DE105" s="175" t="str">
        <x:f>IF(L105="","",IF(DC105="","Pending",IF(DD105="Yes","CONDITIONAL — safety override",IF(DC105&gt;=8,"HIGH",IF(DC105&gt;=5,"CONDITIONAL","LOW")))))</x:f>
      </x:c>
      <x:c r="DF105" s="174"/>
      <x:c r="DG105" s="174"/>
      <x:c r="DH105" s="174"/>
      <x:c r="DI105" s="174"/>
      <x:c r="DJ105" s="174"/>
      <x:c r="DK105" s="174"/>
      <x:c r="DL105" s="174"/>
      <x:c r="DM105" s="174"/>
      <x:c r="DN105" s="174"/>
      <x:c r="DO105" s="174"/>
      <x:c r="DP105" s="174"/>
      <x:c r="DQ105" s="174"/>
      <x:c r="DR105" s="174"/>
      <x:c r="DS105" s="174"/>
      <x:c r="DT105" s="174"/>
      <x:c r="DU105" s="174"/>
      <x:c r="DV105" s="174"/>
      <x:c r="DW105" s="174"/>
      <x:c r="DX105" s="174"/>
      <x:c r="DY105" s="174"/>
      <x:c r="DZ105" s="174"/>
      <x:c r="EA105" s="174"/>
      <x:c r="EB105" s="175" t="str">
        <x:f>IF(L105="","",IF(AND(F105="Claim-ready",CJ105="Yes",CL105="Yes",DZ105&lt;&gt;""),"Yes","No / Pending"))</x:f>
      </x:c>
      <x:c r="EC105" s="174"/>
      <x:c r="ED105" s="174"/>
      <x:c r="EE105" s="174"/>
      <x:c r="EF105" s="174"/>
      <x:c r="EG105" s="174"/>
      <x:c r="EH105" s="177"/>
      <x:c r="EI105" s="174"/>
      <x:c r="EJ105" s="174"/>
      <x:c r="EK105" s="174"/>
      <x:c r="EL105" s="177"/>
      <x:c r="EM105" s="174"/>
      <x:c r="EN105" s="181" t="str">
        <x:f>IF(L105="","",(IF(N105&lt;&gt;"",1,0)+IF(O105&lt;&gt;"",1,0)+IF(AJ105&lt;&gt;"",1,0)+IF(AU105&lt;&gt;"",1,0)+IF(BE105&lt;&gt;"",1,0)+IF(CF105&lt;&gt;"",1,0)+IF(CJ105="Yes",1,0)+IF(CL105="Yes",1,0)+IF(DE105&lt;&gt;"Pending",1,0)+IF(F105&lt;&gt;"",1,0)+IF(DZ105&lt;&gt;"",1,0)+IF(EI105&lt;&gt;"",1,0))/12)</x:f>
      </x:c>
    </x:row>
    <x:row r="106">
      <x:c r="A106" s="175" t="str">
        <x:f>IF(L106="","","EV-"&amp;TEXT(ROW()-3,"0000"))</x:f>
      </x:c>
      <x:c r="B106" s="174"/>
      <x:c r="C106" s="175" t="str">
        <x:f>IF(L106="","",IF(OR(CM106="Retracted",CN106="Retracted",F106="Not used"),"🔴 Do not use for conclusion",IF(OR(R106="Official / Institutional",I106="Official / contextual"),"🔵 Official / contextual",IF(OR(I106="Definition",I106="Framework",I106="Paradigm shift"),"🟣 Conceptual key source",IF(AND(CJ106="Yes",CL106="Yes",OR(CG106="High",CG106="Moderate"),CH106&lt;&gt;"High",CH106&lt;&gt;"Critical",F106="Claim-ready"),"🟢 Claim-ready","🟡 Caution / context")))))</x:f>
      </x:c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6"/>
      <x:c r="P106" s="174"/>
      <x:c r="Q106" s="174"/>
      <x:c r="R106" s="174"/>
      <x:c r="S106" s="174"/>
      <x:c r="T106" s="174"/>
      <x:c r="U106" s="174"/>
      <x:c r="V106" s="174"/>
      <x:c r="W106" s="175" t="str">
        <x:f>IF(V106="","",LOWER(SUBSTITUTE(SUBSTITUTE(SUBSTITUTE(SUBSTITUTE(TRIM(V106),"https://doi.org/",""),"http://doi.org/",""),"https://dx.doi.org/",""),"doi:","")))</x:f>
      </x:c>
      <x:c r="X106" s="174"/>
      <x:c r="Y106" s="174"/>
      <x:c r="Z106" s="174"/>
      <x:c r="AA106" s="174"/>
      <x:c r="AB106" s="174"/>
      <x:c r="AC106" s="174"/>
      <x:c r="AD106" s="177"/>
      <x:c r="AE106" s="177"/>
      <x:c r="AF106" s="174"/>
      <x:c r="AG106" s="174"/>
      <x:c r="AH106" s="174"/>
      <x:c r="AI106" s="174"/>
      <x:c r="AJ106" s="174"/>
      <x:c r="AK106" s="175" t="str">
        <x:f>IF(AJ106="","",IF(OR(LOWER(AJ106)="brazil",LOWER(AJ106)="brasil"),"Yes","No"))</x:f>
      </x:c>
      <x:c r="AL106" s="174"/>
      <x:c r="AM106" s="174"/>
      <x:c r="AN106" s="174"/>
      <x:c r="AO106" s="178"/>
      <x:c r="AP106" s="174"/>
      <x:c r="AQ106" s="174"/>
      <x:c r="AR106" s="174"/>
      <x:c r="AS106" s="174"/>
      <x:c r="AT106" s="174"/>
      <x:c r="AU106" s="174"/>
      <x:c r="AV106" s="174"/>
      <x:c r="AW106" s="174"/>
      <x:c r="AX106" s="174"/>
      <x:c r="AY106" s="174"/>
      <x:c r="AZ106" s="174"/>
      <x:c r="BA106" s="174"/>
      <x:c r="BB106" s="174"/>
      <x:c r="BC106" s="174"/>
      <x:c r="BD106" s="174"/>
      <x:c r="BE106" s="174"/>
      <x:c r="BF106" s="174"/>
      <x:c r="BG106" s="174"/>
      <x:c r="BH106" s="174"/>
      <x:c r="BI106" s="174"/>
      <x:c r="BJ106" s="174"/>
      <x:c r="BK106" s="174"/>
      <x:c r="BL106" s="174"/>
      <x:c r="BM106" s="174"/>
      <x:c r="BN106" s="174"/>
      <x:c r="BO106" s="174"/>
      <x:c r="BP106" s="174"/>
      <x:c r="BQ106" s="174"/>
      <x:c r="BR106" s="174"/>
      <x:c r="BS106" s="174"/>
      <x:c r="BT106" s="174"/>
      <x:c r="BU106" s="174"/>
      <x:c r="BV106" s="174"/>
      <x:c r="BW106" s="174"/>
      <x:c r="BX106" s="174"/>
      <x:c r="BY106" s="174"/>
      <x:c r="BZ106" s="174"/>
      <x:c r="CA106" s="174"/>
      <x:c r="CB106" s="174"/>
      <x:c r="CC106" s="174"/>
      <x:c r="CD106" s="174"/>
      <x:c r="CE106" s="174"/>
      <x:c r="CF106" s="174"/>
      <x:c r="CG106" s="174"/>
      <x:c r="CH106" s="174"/>
      <x:c r="CI106" s="179"/>
      <x:c r="CJ106" s="174"/>
      <x:c r="CK106" s="174"/>
      <x:c r="CL106" s="174"/>
      <x:c r="CM106" s="174"/>
      <x:c r="CN106" s="174"/>
      <x:c r="CO106" s="177"/>
      <x:c r="CP106" s="174"/>
      <x:c r="CQ106" s="174"/>
      <x:c r="CR106" s="174"/>
      <x:c r="CS106" s="174"/>
      <x:c r="CT106" s="174"/>
      <x:c r="CU106" s="176"/>
      <x:c r="CV106" s="176"/>
      <x:c r="CW106" s="176"/>
      <x:c r="CX106" s="176"/>
      <x:c r="CY106" s="176"/>
      <x:c r="CZ106" s="176"/>
      <x:c r="DA106" s="176"/>
      <x:c r="DB106" s="175" t="str">
        <x:f>IF(L106="","",IF(COUNT(CU106:DA106)&lt;7,"",SUM(CU106:DA106)))</x:f>
      </x:c>
      <x:c r="DC106" s="180" t="str">
        <x:f>IF(DB106="","",ROUND(DB106/14*10,1))</x:f>
      </x:c>
      <x:c r="DD106" s="174"/>
      <x:c r="DE106" s="175" t="str">
        <x:f>IF(L106="","",IF(DC106="","Pending",IF(DD106="Yes","CONDITIONAL — safety override",IF(DC106&gt;=8,"HIGH",IF(DC106&gt;=5,"CONDITIONAL","LOW")))))</x:f>
      </x:c>
      <x:c r="DF106" s="174"/>
      <x:c r="DG106" s="174"/>
      <x:c r="DH106" s="174"/>
      <x:c r="DI106" s="174"/>
      <x:c r="DJ106" s="174"/>
      <x:c r="DK106" s="174"/>
      <x:c r="DL106" s="174"/>
      <x:c r="DM106" s="174"/>
      <x:c r="DN106" s="174"/>
      <x:c r="DO106" s="174"/>
      <x:c r="DP106" s="174"/>
      <x:c r="DQ106" s="174"/>
      <x:c r="DR106" s="174"/>
      <x:c r="DS106" s="174"/>
      <x:c r="DT106" s="174"/>
      <x:c r="DU106" s="174"/>
      <x:c r="DV106" s="174"/>
      <x:c r="DW106" s="174"/>
      <x:c r="DX106" s="174"/>
      <x:c r="DY106" s="174"/>
      <x:c r="DZ106" s="174"/>
      <x:c r="EA106" s="174"/>
      <x:c r="EB106" s="175" t="str">
        <x:f>IF(L106="","",IF(AND(F106="Claim-ready",CJ106="Yes",CL106="Yes",DZ106&lt;&gt;""),"Yes","No / Pending"))</x:f>
      </x:c>
      <x:c r="EC106" s="174"/>
      <x:c r="ED106" s="174"/>
      <x:c r="EE106" s="174"/>
      <x:c r="EF106" s="174"/>
      <x:c r="EG106" s="174"/>
      <x:c r="EH106" s="177"/>
      <x:c r="EI106" s="174"/>
      <x:c r="EJ106" s="174"/>
      <x:c r="EK106" s="174"/>
      <x:c r="EL106" s="177"/>
      <x:c r="EM106" s="174"/>
      <x:c r="EN106" s="181" t="str">
        <x:f>IF(L106="","",(IF(N106&lt;&gt;"",1,0)+IF(O106&lt;&gt;"",1,0)+IF(AJ106&lt;&gt;"",1,0)+IF(AU106&lt;&gt;"",1,0)+IF(BE106&lt;&gt;"",1,0)+IF(CF106&lt;&gt;"",1,0)+IF(CJ106="Yes",1,0)+IF(CL106="Yes",1,0)+IF(DE106&lt;&gt;"Pending",1,0)+IF(F106&lt;&gt;"",1,0)+IF(DZ106&lt;&gt;"",1,0)+IF(EI106&lt;&gt;"",1,0))/12)</x:f>
      </x:c>
    </x:row>
    <x:row r="107">
      <x:c r="A107" s="175" t="str">
        <x:f>IF(L107="","","EV-"&amp;TEXT(ROW()-3,"0000"))</x:f>
      </x:c>
      <x:c r="B107" s="174"/>
      <x:c r="C107" s="175" t="str">
        <x:f>IF(L107="","",IF(OR(CM107="Retracted",CN107="Retracted",F107="Not used"),"🔴 Do not use for conclusion",IF(OR(R107="Official / Institutional",I107="Official / contextual"),"🔵 Official / contextual",IF(OR(I107="Definition",I107="Framework",I107="Paradigm shift"),"🟣 Conceptual key source",IF(AND(CJ107="Yes",CL107="Yes",OR(CG107="High",CG107="Moderate"),CH107&lt;&gt;"High",CH107&lt;&gt;"Critical",F107="Claim-ready"),"🟢 Claim-ready","🟡 Caution / context")))))</x:f>
      </x:c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6"/>
      <x:c r="P107" s="174"/>
      <x:c r="Q107" s="174"/>
      <x:c r="R107" s="174"/>
      <x:c r="S107" s="174"/>
      <x:c r="T107" s="174"/>
      <x:c r="U107" s="174"/>
      <x:c r="V107" s="174"/>
      <x:c r="W107" s="175" t="str">
        <x:f>IF(V107="","",LOWER(SUBSTITUTE(SUBSTITUTE(SUBSTITUTE(SUBSTITUTE(TRIM(V107),"https://doi.org/",""),"http://doi.org/",""),"https://dx.doi.org/",""),"doi:","")))</x:f>
      </x:c>
      <x:c r="X107" s="174"/>
      <x:c r="Y107" s="174"/>
      <x:c r="Z107" s="174"/>
      <x:c r="AA107" s="174"/>
      <x:c r="AB107" s="174"/>
      <x:c r="AC107" s="174"/>
      <x:c r="AD107" s="177"/>
      <x:c r="AE107" s="177"/>
      <x:c r="AF107" s="174"/>
      <x:c r="AG107" s="174"/>
      <x:c r="AH107" s="174"/>
      <x:c r="AI107" s="174"/>
      <x:c r="AJ107" s="174"/>
      <x:c r="AK107" s="175" t="str">
        <x:f>IF(AJ107="","",IF(OR(LOWER(AJ107)="brazil",LOWER(AJ107)="brasil"),"Yes","No"))</x:f>
      </x:c>
      <x:c r="AL107" s="174"/>
      <x:c r="AM107" s="174"/>
      <x:c r="AN107" s="174"/>
      <x:c r="AO107" s="178"/>
      <x:c r="AP107" s="174"/>
      <x:c r="AQ107" s="174"/>
      <x:c r="AR107" s="174"/>
      <x:c r="AS107" s="174"/>
      <x:c r="AT107" s="174"/>
      <x:c r="AU107" s="174"/>
      <x:c r="AV107" s="174"/>
      <x:c r="AW107" s="174"/>
      <x:c r="AX107" s="174"/>
      <x:c r="AY107" s="174"/>
      <x:c r="AZ107" s="174"/>
      <x:c r="BA107" s="174"/>
      <x:c r="BB107" s="174"/>
      <x:c r="BC107" s="174"/>
      <x:c r="BD107" s="174"/>
      <x:c r="BE107" s="174"/>
      <x:c r="BF107" s="174"/>
      <x:c r="BG107" s="174"/>
      <x:c r="BH107" s="174"/>
      <x:c r="BI107" s="174"/>
      <x:c r="BJ107" s="174"/>
      <x:c r="BK107" s="174"/>
      <x:c r="BL107" s="174"/>
      <x:c r="BM107" s="174"/>
      <x:c r="BN107" s="174"/>
      <x:c r="BO107" s="174"/>
      <x:c r="BP107" s="174"/>
      <x:c r="BQ107" s="174"/>
      <x:c r="BR107" s="174"/>
      <x:c r="BS107" s="174"/>
      <x:c r="BT107" s="174"/>
      <x:c r="BU107" s="174"/>
      <x:c r="BV107" s="174"/>
      <x:c r="BW107" s="174"/>
      <x:c r="BX107" s="174"/>
      <x:c r="BY107" s="174"/>
      <x:c r="BZ107" s="174"/>
      <x:c r="CA107" s="174"/>
      <x:c r="CB107" s="174"/>
      <x:c r="CC107" s="174"/>
      <x:c r="CD107" s="174"/>
      <x:c r="CE107" s="174"/>
      <x:c r="CF107" s="174"/>
      <x:c r="CG107" s="174"/>
      <x:c r="CH107" s="174"/>
      <x:c r="CI107" s="179"/>
      <x:c r="CJ107" s="174"/>
      <x:c r="CK107" s="174"/>
      <x:c r="CL107" s="174"/>
      <x:c r="CM107" s="174"/>
      <x:c r="CN107" s="174"/>
      <x:c r="CO107" s="177"/>
      <x:c r="CP107" s="174"/>
      <x:c r="CQ107" s="174"/>
      <x:c r="CR107" s="174"/>
      <x:c r="CS107" s="174"/>
      <x:c r="CT107" s="174"/>
      <x:c r="CU107" s="176"/>
      <x:c r="CV107" s="176"/>
      <x:c r="CW107" s="176"/>
      <x:c r="CX107" s="176"/>
      <x:c r="CY107" s="176"/>
      <x:c r="CZ107" s="176"/>
      <x:c r="DA107" s="176"/>
      <x:c r="DB107" s="175" t="str">
        <x:f>IF(L107="","",IF(COUNT(CU107:DA107)&lt;7,"",SUM(CU107:DA107)))</x:f>
      </x:c>
      <x:c r="DC107" s="180" t="str">
        <x:f>IF(DB107="","",ROUND(DB107/14*10,1))</x:f>
      </x:c>
      <x:c r="DD107" s="174"/>
      <x:c r="DE107" s="175" t="str">
        <x:f>IF(L107="","",IF(DC107="","Pending",IF(DD107="Yes","CONDITIONAL — safety override",IF(DC107&gt;=8,"HIGH",IF(DC107&gt;=5,"CONDITIONAL","LOW")))))</x:f>
      </x:c>
      <x:c r="DF107" s="174"/>
      <x:c r="DG107" s="174"/>
      <x:c r="DH107" s="174"/>
      <x:c r="DI107" s="174"/>
      <x:c r="DJ107" s="174"/>
      <x:c r="DK107" s="174"/>
      <x:c r="DL107" s="174"/>
      <x:c r="DM107" s="174"/>
      <x:c r="DN107" s="174"/>
      <x:c r="DO107" s="174"/>
      <x:c r="DP107" s="174"/>
      <x:c r="DQ107" s="174"/>
      <x:c r="DR107" s="174"/>
      <x:c r="DS107" s="174"/>
      <x:c r="DT107" s="174"/>
      <x:c r="DU107" s="174"/>
      <x:c r="DV107" s="174"/>
      <x:c r="DW107" s="174"/>
      <x:c r="DX107" s="174"/>
      <x:c r="DY107" s="174"/>
      <x:c r="DZ107" s="174"/>
      <x:c r="EA107" s="174"/>
      <x:c r="EB107" s="175" t="str">
        <x:f>IF(L107="","",IF(AND(F107="Claim-ready",CJ107="Yes",CL107="Yes",DZ107&lt;&gt;""),"Yes","No / Pending"))</x:f>
      </x:c>
      <x:c r="EC107" s="174"/>
      <x:c r="ED107" s="174"/>
      <x:c r="EE107" s="174"/>
      <x:c r="EF107" s="174"/>
      <x:c r="EG107" s="174"/>
      <x:c r="EH107" s="177"/>
      <x:c r="EI107" s="174"/>
      <x:c r="EJ107" s="174"/>
      <x:c r="EK107" s="174"/>
      <x:c r="EL107" s="177"/>
      <x:c r="EM107" s="174"/>
      <x:c r="EN107" s="181" t="str">
        <x:f>IF(L107="","",(IF(N107&lt;&gt;"",1,0)+IF(O107&lt;&gt;"",1,0)+IF(AJ107&lt;&gt;"",1,0)+IF(AU107&lt;&gt;"",1,0)+IF(BE107&lt;&gt;"",1,0)+IF(CF107&lt;&gt;"",1,0)+IF(CJ107="Yes",1,0)+IF(CL107="Yes",1,0)+IF(DE107&lt;&gt;"Pending",1,0)+IF(F107&lt;&gt;"",1,0)+IF(DZ107&lt;&gt;"",1,0)+IF(EI107&lt;&gt;"",1,0))/12)</x:f>
      </x:c>
    </x:row>
    <x:row r="108">
      <x:c r="A108" s="175" t="str">
        <x:f>IF(L108="","","EV-"&amp;TEXT(ROW()-3,"0000"))</x:f>
      </x:c>
      <x:c r="B108" s="174"/>
      <x:c r="C108" s="175" t="str">
        <x:f>IF(L108="","",IF(OR(CM108="Retracted",CN108="Retracted",F108="Not used"),"🔴 Do not use for conclusion",IF(OR(R108="Official / Institutional",I108="Official / contextual"),"🔵 Official / contextual",IF(OR(I108="Definition",I108="Framework",I108="Paradigm shift"),"🟣 Conceptual key source",IF(AND(CJ108="Yes",CL108="Yes",OR(CG108="High",CG108="Moderate"),CH108&lt;&gt;"High",CH108&lt;&gt;"Critical",F108="Claim-ready"),"🟢 Claim-ready","🟡 Caution / context")))))</x:f>
      </x:c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6"/>
      <x:c r="P108" s="174"/>
      <x:c r="Q108" s="174"/>
      <x:c r="R108" s="174"/>
      <x:c r="S108" s="174"/>
      <x:c r="T108" s="174"/>
      <x:c r="U108" s="174"/>
      <x:c r="V108" s="174"/>
      <x:c r="W108" s="175" t="str">
        <x:f>IF(V108="","",LOWER(SUBSTITUTE(SUBSTITUTE(SUBSTITUTE(SUBSTITUTE(TRIM(V108),"https://doi.org/",""),"http://doi.org/",""),"https://dx.doi.org/",""),"doi:","")))</x:f>
      </x:c>
      <x:c r="X108" s="174"/>
      <x:c r="Y108" s="174"/>
      <x:c r="Z108" s="174"/>
      <x:c r="AA108" s="174"/>
      <x:c r="AB108" s="174"/>
      <x:c r="AC108" s="174"/>
      <x:c r="AD108" s="177"/>
      <x:c r="AE108" s="177"/>
      <x:c r="AF108" s="174"/>
      <x:c r="AG108" s="174"/>
      <x:c r="AH108" s="174"/>
      <x:c r="AI108" s="174"/>
      <x:c r="AJ108" s="174"/>
      <x:c r="AK108" s="175" t="str">
        <x:f>IF(AJ108="","",IF(OR(LOWER(AJ108)="brazil",LOWER(AJ108)="brasil"),"Yes","No"))</x:f>
      </x:c>
      <x:c r="AL108" s="174"/>
      <x:c r="AM108" s="174"/>
      <x:c r="AN108" s="174"/>
      <x:c r="AO108" s="178"/>
      <x:c r="AP108" s="174"/>
      <x:c r="AQ108" s="174"/>
      <x:c r="AR108" s="174"/>
      <x:c r="AS108" s="174"/>
      <x:c r="AT108" s="174"/>
      <x:c r="AU108" s="174"/>
      <x:c r="AV108" s="174"/>
      <x:c r="AW108" s="174"/>
      <x:c r="AX108" s="174"/>
      <x:c r="AY108" s="174"/>
      <x:c r="AZ108" s="174"/>
      <x:c r="BA108" s="174"/>
      <x:c r="BB108" s="174"/>
      <x:c r="BC108" s="174"/>
      <x:c r="BD108" s="174"/>
      <x:c r="BE108" s="174"/>
      <x:c r="BF108" s="174"/>
      <x:c r="BG108" s="174"/>
      <x:c r="BH108" s="174"/>
      <x:c r="BI108" s="174"/>
      <x:c r="BJ108" s="174"/>
      <x:c r="BK108" s="174"/>
      <x:c r="BL108" s="174"/>
      <x:c r="BM108" s="174"/>
      <x:c r="BN108" s="174"/>
      <x:c r="BO108" s="174"/>
      <x:c r="BP108" s="174"/>
      <x:c r="BQ108" s="174"/>
      <x:c r="BR108" s="174"/>
      <x:c r="BS108" s="174"/>
      <x:c r="BT108" s="174"/>
      <x:c r="BU108" s="174"/>
      <x:c r="BV108" s="174"/>
      <x:c r="BW108" s="174"/>
      <x:c r="BX108" s="174"/>
      <x:c r="BY108" s="174"/>
      <x:c r="BZ108" s="174"/>
      <x:c r="CA108" s="174"/>
      <x:c r="CB108" s="174"/>
      <x:c r="CC108" s="174"/>
      <x:c r="CD108" s="174"/>
      <x:c r="CE108" s="174"/>
      <x:c r="CF108" s="174"/>
      <x:c r="CG108" s="174"/>
      <x:c r="CH108" s="174"/>
      <x:c r="CI108" s="179"/>
      <x:c r="CJ108" s="174"/>
      <x:c r="CK108" s="174"/>
      <x:c r="CL108" s="174"/>
      <x:c r="CM108" s="174"/>
      <x:c r="CN108" s="174"/>
      <x:c r="CO108" s="177"/>
      <x:c r="CP108" s="174"/>
      <x:c r="CQ108" s="174"/>
      <x:c r="CR108" s="174"/>
      <x:c r="CS108" s="174"/>
      <x:c r="CT108" s="174"/>
      <x:c r="CU108" s="176"/>
      <x:c r="CV108" s="176"/>
      <x:c r="CW108" s="176"/>
      <x:c r="CX108" s="176"/>
      <x:c r="CY108" s="176"/>
      <x:c r="CZ108" s="176"/>
      <x:c r="DA108" s="176"/>
      <x:c r="DB108" s="175" t="str">
        <x:f>IF(L108="","",IF(COUNT(CU108:DA108)&lt;7,"",SUM(CU108:DA108)))</x:f>
      </x:c>
      <x:c r="DC108" s="180" t="str">
        <x:f>IF(DB108="","",ROUND(DB108/14*10,1))</x:f>
      </x:c>
      <x:c r="DD108" s="174"/>
      <x:c r="DE108" s="175" t="str">
        <x:f>IF(L108="","",IF(DC108="","Pending",IF(DD108="Yes","CONDITIONAL — safety override",IF(DC108&gt;=8,"HIGH",IF(DC108&gt;=5,"CONDITIONAL","LOW")))))</x:f>
      </x:c>
      <x:c r="DF108" s="174"/>
      <x:c r="DG108" s="174"/>
      <x:c r="DH108" s="174"/>
      <x:c r="DI108" s="174"/>
      <x:c r="DJ108" s="174"/>
      <x:c r="DK108" s="174"/>
      <x:c r="DL108" s="174"/>
      <x:c r="DM108" s="174"/>
      <x:c r="DN108" s="174"/>
      <x:c r="DO108" s="174"/>
      <x:c r="DP108" s="174"/>
      <x:c r="DQ108" s="174"/>
      <x:c r="DR108" s="174"/>
      <x:c r="DS108" s="174"/>
      <x:c r="DT108" s="174"/>
      <x:c r="DU108" s="174"/>
      <x:c r="DV108" s="174"/>
      <x:c r="DW108" s="174"/>
      <x:c r="DX108" s="174"/>
      <x:c r="DY108" s="174"/>
      <x:c r="DZ108" s="174"/>
      <x:c r="EA108" s="174"/>
      <x:c r="EB108" s="175" t="str">
        <x:f>IF(L108="","",IF(AND(F108="Claim-ready",CJ108="Yes",CL108="Yes",DZ108&lt;&gt;""),"Yes","No / Pending"))</x:f>
      </x:c>
      <x:c r="EC108" s="174"/>
      <x:c r="ED108" s="174"/>
      <x:c r="EE108" s="174"/>
      <x:c r="EF108" s="174"/>
      <x:c r="EG108" s="174"/>
      <x:c r="EH108" s="177"/>
      <x:c r="EI108" s="174"/>
      <x:c r="EJ108" s="174"/>
      <x:c r="EK108" s="174"/>
      <x:c r="EL108" s="177"/>
      <x:c r="EM108" s="174"/>
      <x:c r="EN108" s="181" t="str">
        <x:f>IF(L108="","",(IF(N108&lt;&gt;"",1,0)+IF(O108&lt;&gt;"",1,0)+IF(AJ108&lt;&gt;"",1,0)+IF(AU108&lt;&gt;"",1,0)+IF(BE108&lt;&gt;"",1,0)+IF(CF108&lt;&gt;"",1,0)+IF(CJ108="Yes",1,0)+IF(CL108="Yes",1,0)+IF(DE108&lt;&gt;"Pending",1,0)+IF(F108&lt;&gt;"",1,0)+IF(DZ108&lt;&gt;"",1,0)+IF(EI108&lt;&gt;"",1,0))/12)</x:f>
      </x:c>
    </x:row>
    <x:row r="109">
      <x:c r="A109" s="175" t="str">
        <x:f>IF(L109="","","EV-"&amp;TEXT(ROW()-3,"0000"))</x:f>
      </x:c>
      <x:c r="B109" s="174"/>
      <x:c r="C109" s="175" t="str">
        <x:f>IF(L109="","",IF(OR(CM109="Retracted",CN109="Retracted",F109="Not used"),"🔴 Do not use for conclusion",IF(OR(R109="Official / Institutional",I109="Official / contextual"),"🔵 Official / contextual",IF(OR(I109="Definition",I109="Framework",I109="Paradigm shift"),"🟣 Conceptual key source",IF(AND(CJ109="Yes",CL109="Yes",OR(CG109="High",CG109="Moderate"),CH109&lt;&gt;"High",CH109&lt;&gt;"Critical",F109="Claim-ready"),"🟢 Claim-ready","🟡 Caution / context")))))</x:f>
      </x:c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6"/>
      <x:c r="P109" s="174"/>
      <x:c r="Q109" s="174"/>
      <x:c r="R109" s="174"/>
      <x:c r="S109" s="174"/>
      <x:c r="T109" s="174"/>
      <x:c r="U109" s="174"/>
      <x:c r="V109" s="174"/>
      <x:c r="W109" s="175" t="str">
        <x:f>IF(V109="","",LOWER(SUBSTITUTE(SUBSTITUTE(SUBSTITUTE(SUBSTITUTE(TRIM(V109),"https://doi.org/",""),"http://doi.org/",""),"https://dx.doi.org/",""),"doi:","")))</x:f>
      </x:c>
      <x:c r="X109" s="174"/>
      <x:c r="Y109" s="174"/>
      <x:c r="Z109" s="174"/>
      <x:c r="AA109" s="174"/>
      <x:c r="AB109" s="174"/>
      <x:c r="AC109" s="174"/>
      <x:c r="AD109" s="177"/>
      <x:c r="AE109" s="177"/>
      <x:c r="AF109" s="174"/>
      <x:c r="AG109" s="174"/>
      <x:c r="AH109" s="174"/>
      <x:c r="AI109" s="174"/>
      <x:c r="AJ109" s="174"/>
      <x:c r="AK109" s="175" t="str">
        <x:f>IF(AJ109="","",IF(OR(LOWER(AJ109)="brazil",LOWER(AJ109)="brasil"),"Yes","No"))</x:f>
      </x:c>
      <x:c r="AL109" s="174"/>
      <x:c r="AM109" s="174"/>
      <x:c r="AN109" s="174"/>
      <x:c r="AO109" s="178"/>
      <x:c r="AP109" s="174"/>
      <x:c r="AQ109" s="174"/>
      <x:c r="AR109" s="174"/>
      <x:c r="AS109" s="174"/>
      <x:c r="AT109" s="174"/>
      <x:c r="AU109" s="174"/>
      <x:c r="AV109" s="174"/>
      <x:c r="AW109" s="174"/>
      <x:c r="AX109" s="174"/>
      <x:c r="AY109" s="174"/>
      <x:c r="AZ109" s="174"/>
      <x:c r="BA109" s="174"/>
      <x:c r="BB109" s="174"/>
      <x:c r="BC109" s="174"/>
      <x:c r="BD109" s="174"/>
      <x:c r="BE109" s="174"/>
      <x:c r="BF109" s="174"/>
      <x:c r="BG109" s="174"/>
      <x:c r="BH109" s="174"/>
      <x:c r="BI109" s="174"/>
      <x:c r="BJ109" s="174"/>
      <x:c r="BK109" s="174"/>
      <x:c r="BL109" s="174"/>
      <x:c r="BM109" s="174"/>
      <x:c r="BN109" s="174"/>
      <x:c r="BO109" s="174"/>
      <x:c r="BP109" s="174"/>
      <x:c r="BQ109" s="174"/>
      <x:c r="BR109" s="174"/>
      <x:c r="BS109" s="174"/>
      <x:c r="BT109" s="174"/>
      <x:c r="BU109" s="174"/>
      <x:c r="BV109" s="174"/>
      <x:c r="BW109" s="174"/>
      <x:c r="BX109" s="174"/>
      <x:c r="BY109" s="174"/>
      <x:c r="BZ109" s="174"/>
      <x:c r="CA109" s="174"/>
      <x:c r="CB109" s="174"/>
      <x:c r="CC109" s="174"/>
      <x:c r="CD109" s="174"/>
      <x:c r="CE109" s="174"/>
      <x:c r="CF109" s="174"/>
      <x:c r="CG109" s="174"/>
      <x:c r="CH109" s="174"/>
      <x:c r="CI109" s="179"/>
      <x:c r="CJ109" s="174"/>
      <x:c r="CK109" s="174"/>
      <x:c r="CL109" s="174"/>
      <x:c r="CM109" s="174"/>
      <x:c r="CN109" s="174"/>
      <x:c r="CO109" s="177"/>
      <x:c r="CP109" s="174"/>
      <x:c r="CQ109" s="174"/>
      <x:c r="CR109" s="174"/>
      <x:c r="CS109" s="174"/>
      <x:c r="CT109" s="174"/>
      <x:c r="CU109" s="176"/>
      <x:c r="CV109" s="176"/>
      <x:c r="CW109" s="176"/>
      <x:c r="CX109" s="176"/>
      <x:c r="CY109" s="176"/>
      <x:c r="CZ109" s="176"/>
      <x:c r="DA109" s="176"/>
      <x:c r="DB109" s="175" t="str">
        <x:f>IF(L109="","",IF(COUNT(CU109:DA109)&lt;7,"",SUM(CU109:DA109)))</x:f>
      </x:c>
      <x:c r="DC109" s="180" t="str">
        <x:f>IF(DB109="","",ROUND(DB109/14*10,1))</x:f>
      </x:c>
      <x:c r="DD109" s="174"/>
      <x:c r="DE109" s="175" t="str">
        <x:f>IF(L109="","",IF(DC109="","Pending",IF(DD109="Yes","CONDITIONAL — safety override",IF(DC109&gt;=8,"HIGH",IF(DC109&gt;=5,"CONDITIONAL","LOW")))))</x:f>
      </x:c>
      <x:c r="DF109" s="174"/>
      <x:c r="DG109" s="174"/>
      <x:c r="DH109" s="174"/>
      <x:c r="DI109" s="174"/>
      <x:c r="DJ109" s="174"/>
      <x:c r="DK109" s="174"/>
      <x:c r="DL109" s="174"/>
      <x:c r="DM109" s="174"/>
      <x:c r="DN109" s="174"/>
      <x:c r="DO109" s="174"/>
      <x:c r="DP109" s="174"/>
      <x:c r="DQ109" s="174"/>
      <x:c r="DR109" s="174"/>
      <x:c r="DS109" s="174"/>
      <x:c r="DT109" s="174"/>
      <x:c r="DU109" s="174"/>
      <x:c r="DV109" s="174"/>
      <x:c r="DW109" s="174"/>
      <x:c r="DX109" s="174"/>
      <x:c r="DY109" s="174"/>
      <x:c r="DZ109" s="174"/>
      <x:c r="EA109" s="174"/>
      <x:c r="EB109" s="175" t="str">
        <x:f>IF(L109="","",IF(AND(F109="Claim-ready",CJ109="Yes",CL109="Yes",DZ109&lt;&gt;""),"Yes","No / Pending"))</x:f>
      </x:c>
      <x:c r="EC109" s="174"/>
      <x:c r="ED109" s="174"/>
      <x:c r="EE109" s="174"/>
      <x:c r="EF109" s="174"/>
      <x:c r="EG109" s="174"/>
      <x:c r="EH109" s="177"/>
      <x:c r="EI109" s="174"/>
      <x:c r="EJ109" s="174"/>
      <x:c r="EK109" s="174"/>
      <x:c r="EL109" s="177"/>
      <x:c r="EM109" s="174"/>
      <x:c r="EN109" s="181" t="str">
        <x:f>IF(L109="","",(IF(N109&lt;&gt;"",1,0)+IF(O109&lt;&gt;"",1,0)+IF(AJ109&lt;&gt;"",1,0)+IF(AU109&lt;&gt;"",1,0)+IF(BE109&lt;&gt;"",1,0)+IF(CF109&lt;&gt;"",1,0)+IF(CJ109="Yes",1,0)+IF(CL109="Yes",1,0)+IF(DE109&lt;&gt;"Pending",1,0)+IF(F109&lt;&gt;"",1,0)+IF(DZ109&lt;&gt;"",1,0)+IF(EI109&lt;&gt;"",1,0))/12)</x:f>
      </x:c>
    </x:row>
    <x:row r="110">
      <x:c r="A110" s="175" t="str">
        <x:f>IF(L110="","","EV-"&amp;TEXT(ROW()-3,"0000"))</x:f>
      </x:c>
      <x:c r="B110" s="174"/>
      <x:c r="C110" s="175" t="str">
        <x:f>IF(L110="","",IF(OR(CM110="Retracted",CN110="Retracted",F110="Not used"),"🔴 Do not use for conclusion",IF(OR(R110="Official / Institutional",I110="Official / contextual"),"🔵 Official / contextual",IF(OR(I110="Definition",I110="Framework",I110="Paradigm shift"),"🟣 Conceptual key source",IF(AND(CJ110="Yes",CL110="Yes",OR(CG110="High",CG110="Moderate"),CH110&lt;&gt;"High",CH110&lt;&gt;"Critical",F110="Claim-ready"),"🟢 Claim-ready","🟡 Caution / context")))))</x:f>
      </x:c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6"/>
      <x:c r="P110" s="174"/>
      <x:c r="Q110" s="174"/>
      <x:c r="R110" s="174"/>
      <x:c r="S110" s="174"/>
      <x:c r="T110" s="174"/>
      <x:c r="U110" s="174"/>
      <x:c r="V110" s="174"/>
      <x:c r="W110" s="175" t="str">
        <x:f>IF(V110="","",LOWER(SUBSTITUTE(SUBSTITUTE(SUBSTITUTE(SUBSTITUTE(TRIM(V110),"https://doi.org/",""),"http://doi.org/",""),"https://dx.doi.org/",""),"doi:","")))</x:f>
      </x:c>
      <x:c r="X110" s="174"/>
      <x:c r="Y110" s="174"/>
      <x:c r="Z110" s="174"/>
      <x:c r="AA110" s="174"/>
      <x:c r="AB110" s="174"/>
      <x:c r="AC110" s="174"/>
      <x:c r="AD110" s="177"/>
      <x:c r="AE110" s="177"/>
      <x:c r="AF110" s="174"/>
      <x:c r="AG110" s="174"/>
      <x:c r="AH110" s="174"/>
      <x:c r="AI110" s="174"/>
      <x:c r="AJ110" s="174"/>
      <x:c r="AK110" s="175" t="str">
        <x:f>IF(AJ110="","",IF(OR(LOWER(AJ110)="brazil",LOWER(AJ110)="brasil"),"Yes","No"))</x:f>
      </x:c>
      <x:c r="AL110" s="174"/>
      <x:c r="AM110" s="174"/>
      <x:c r="AN110" s="174"/>
      <x:c r="AO110" s="178"/>
      <x:c r="AP110" s="174"/>
      <x:c r="AQ110" s="174"/>
      <x:c r="AR110" s="174"/>
      <x:c r="AS110" s="174"/>
      <x:c r="AT110" s="174"/>
      <x:c r="AU110" s="174"/>
      <x:c r="AV110" s="174"/>
      <x:c r="AW110" s="174"/>
      <x:c r="AX110" s="174"/>
      <x:c r="AY110" s="174"/>
      <x:c r="AZ110" s="174"/>
      <x:c r="BA110" s="174"/>
      <x:c r="BB110" s="174"/>
      <x:c r="BC110" s="174"/>
      <x:c r="BD110" s="174"/>
      <x:c r="BE110" s="174"/>
      <x:c r="BF110" s="174"/>
      <x:c r="BG110" s="174"/>
      <x:c r="BH110" s="174"/>
      <x:c r="BI110" s="174"/>
      <x:c r="BJ110" s="174"/>
      <x:c r="BK110" s="174"/>
      <x:c r="BL110" s="174"/>
      <x:c r="BM110" s="174"/>
      <x:c r="BN110" s="174"/>
      <x:c r="BO110" s="174"/>
      <x:c r="BP110" s="174"/>
      <x:c r="BQ110" s="174"/>
      <x:c r="BR110" s="174"/>
      <x:c r="BS110" s="174"/>
      <x:c r="BT110" s="174"/>
      <x:c r="BU110" s="174"/>
      <x:c r="BV110" s="174"/>
      <x:c r="BW110" s="174"/>
      <x:c r="BX110" s="174"/>
      <x:c r="BY110" s="174"/>
      <x:c r="BZ110" s="174"/>
      <x:c r="CA110" s="174"/>
      <x:c r="CB110" s="174"/>
      <x:c r="CC110" s="174"/>
      <x:c r="CD110" s="174"/>
      <x:c r="CE110" s="174"/>
      <x:c r="CF110" s="174"/>
      <x:c r="CG110" s="174"/>
      <x:c r="CH110" s="174"/>
      <x:c r="CI110" s="179"/>
      <x:c r="CJ110" s="174"/>
      <x:c r="CK110" s="174"/>
      <x:c r="CL110" s="174"/>
      <x:c r="CM110" s="174"/>
      <x:c r="CN110" s="174"/>
      <x:c r="CO110" s="177"/>
      <x:c r="CP110" s="174"/>
      <x:c r="CQ110" s="174"/>
      <x:c r="CR110" s="174"/>
      <x:c r="CS110" s="174"/>
      <x:c r="CT110" s="174"/>
      <x:c r="CU110" s="176"/>
      <x:c r="CV110" s="176"/>
      <x:c r="CW110" s="176"/>
      <x:c r="CX110" s="176"/>
      <x:c r="CY110" s="176"/>
      <x:c r="CZ110" s="176"/>
      <x:c r="DA110" s="176"/>
      <x:c r="DB110" s="175" t="str">
        <x:f>IF(L110="","",IF(COUNT(CU110:DA110)&lt;7,"",SUM(CU110:DA110)))</x:f>
      </x:c>
      <x:c r="DC110" s="180" t="str">
        <x:f>IF(DB110="","",ROUND(DB110/14*10,1))</x:f>
      </x:c>
      <x:c r="DD110" s="174"/>
      <x:c r="DE110" s="175" t="str">
        <x:f>IF(L110="","",IF(DC110="","Pending",IF(DD110="Yes","CONDITIONAL — safety override",IF(DC110&gt;=8,"HIGH",IF(DC110&gt;=5,"CONDITIONAL","LOW")))))</x:f>
      </x:c>
      <x:c r="DF110" s="174"/>
      <x:c r="DG110" s="174"/>
      <x:c r="DH110" s="174"/>
      <x:c r="DI110" s="174"/>
      <x:c r="DJ110" s="174"/>
      <x:c r="DK110" s="174"/>
      <x:c r="DL110" s="174"/>
      <x:c r="DM110" s="174"/>
      <x:c r="DN110" s="174"/>
      <x:c r="DO110" s="174"/>
      <x:c r="DP110" s="174"/>
      <x:c r="DQ110" s="174"/>
      <x:c r="DR110" s="174"/>
      <x:c r="DS110" s="174"/>
      <x:c r="DT110" s="174"/>
      <x:c r="DU110" s="174"/>
      <x:c r="DV110" s="174"/>
      <x:c r="DW110" s="174"/>
      <x:c r="DX110" s="174"/>
      <x:c r="DY110" s="174"/>
      <x:c r="DZ110" s="174"/>
      <x:c r="EA110" s="174"/>
      <x:c r="EB110" s="175" t="str">
        <x:f>IF(L110="","",IF(AND(F110="Claim-ready",CJ110="Yes",CL110="Yes",DZ110&lt;&gt;""),"Yes","No / Pending"))</x:f>
      </x:c>
      <x:c r="EC110" s="174"/>
      <x:c r="ED110" s="174"/>
      <x:c r="EE110" s="174"/>
      <x:c r="EF110" s="174"/>
      <x:c r="EG110" s="174"/>
      <x:c r="EH110" s="177"/>
      <x:c r="EI110" s="174"/>
      <x:c r="EJ110" s="174"/>
      <x:c r="EK110" s="174"/>
      <x:c r="EL110" s="177"/>
      <x:c r="EM110" s="174"/>
      <x:c r="EN110" s="181" t="str">
        <x:f>IF(L110="","",(IF(N110&lt;&gt;"",1,0)+IF(O110&lt;&gt;"",1,0)+IF(AJ110&lt;&gt;"",1,0)+IF(AU110&lt;&gt;"",1,0)+IF(BE110&lt;&gt;"",1,0)+IF(CF110&lt;&gt;"",1,0)+IF(CJ110="Yes",1,0)+IF(CL110="Yes",1,0)+IF(DE110&lt;&gt;"Pending",1,0)+IF(F110&lt;&gt;"",1,0)+IF(DZ110&lt;&gt;"",1,0)+IF(EI110&lt;&gt;"",1,0))/12)</x:f>
      </x:c>
    </x:row>
    <x:row r="111">
      <x:c r="A111" s="175" t="str">
        <x:f>IF(L111="","","EV-"&amp;TEXT(ROW()-3,"0000"))</x:f>
      </x:c>
      <x:c r="B111" s="174"/>
      <x:c r="C111" s="175" t="str">
        <x:f>IF(L111="","",IF(OR(CM111="Retracted",CN111="Retracted",F111="Not used"),"🔴 Do not use for conclusion",IF(OR(R111="Official / Institutional",I111="Official / contextual"),"🔵 Official / contextual",IF(OR(I111="Definition",I111="Framework",I111="Paradigm shift"),"🟣 Conceptual key source",IF(AND(CJ111="Yes",CL111="Yes",OR(CG111="High",CG111="Moderate"),CH111&lt;&gt;"High",CH111&lt;&gt;"Critical",F111="Claim-ready"),"🟢 Claim-ready","🟡 Caution / context")))))</x:f>
      </x:c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6"/>
      <x:c r="P111" s="174"/>
      <x:c r="Q111" s="174"/>
      <x:c r="R111" s="174"/>
      <x:c r="S111" s="174"/>
      <x:c r="T111" s="174"/>
      <x:c r="U111" s="174"/>
      <x:c r="V111" s="174"/>
      <x:c r="W111" s="175" t="str">
        <x:f>IF(V111="","",LOWER(SUBSTITUTE(SUBSTITUTE(SUBSTITUTE(SUBSTITUTE(TRIM(V111),"https://doi.org/",""),"http://doi.org/",""),"https://dx.doi.org/",""),"doi:","")))</x:f>
      </x:c>
      <x:c r="X111" s="174"/>
      <x:c r="Y111" s="174"/>
      <x:c r="Z111" s="174"/>
      <x:c r="AA111" s="174"/>
      <x:c r="AB111" s="174"/>
      <x:c r="AC111" s="174"/>
      <x:c r="AD111" s="177"/>
      <x:c r="AE111" s="177"/>
      <x:c r="AF111" s="174"/>
      <x:c r="AG111" s="174"/>
      <x:c r="AH111" s="174"/>
      <x:c r="AI111" s="174"/>
      <x:c r="AJ111" s="174"/>
      <x:c r="AK111" s="175" t="str">
        <x:f>IF(AJ111="","",IF(OR(LOWER(AJ111)="brazil",LOWER(AJ111)="brasil"),"Yes","No"))</x:f>
      </x:c>
      <x:c r="AL111" s="174"/>
      <x:c r="AM111" s="174"/>
      <x:c r="AN111" s="174"/>
      <x:c r="AO111" s="178"/>
      <x:c r="AP111" s="174"/>
      <x:c r="AQ111" s="174"/>
      <x:c r="AR111" s="174"/>
      <x:c r="AS111" s="174"/>
      <x:c r="AT111" s="174"/>
      <x:c r="AU111" s="174"/>
      <x:c r="AV111" s="174"/>
      <x:c r="AW111" s="174"/>
      <x:c r="AX111" s="174"/>
      <x:c r="AY111" s="174"/>
      <x:c r="AZ111" s="174"/>
      <x:c r="BA111" s="174"/>
      <x:c r="BB111" s="174"/>
      <x:c r="BC111" s="174"/>
      <x:c r="BD111" s="174"/>
      <x:c r="BE111" s="174"/>
      <x:c r="BF111" s="174"/>
      <x:c r="BG111" s="174"/>
      <x:c r="BH111" s="174"/>
      <x:c r="BI111" s="174"/>
      <x:c r="BJ111" s="174"/>
      <x:c r="BK111" s="174"/>
      <x:c r="BL111" s="174"/>
      <x:c r="BM111" s="174"/>
      <x:c r="BN111" s="174"/>
      <x:c r="BO111" s="174"/>
      <x:c r="BP111" s="174"/>
      <x:c r="BQ111" s="174"/>
      <x:c r="BR111" s="174"/>
      <x:c r="BS111" s="174"/>
      <x:c r="BT111" s="174"/>
      <x:c r="BU111" s="174"/>
      <x:c r="BV111" s="174"/>
      <x:c r="BW111" s="174"/>
      <x:c r="BX111" s="174"/>
      <x:c r="BY111" s="174"/>
      <x:c r="BZ111" s="174"/>
      <x:c r="CA111" s="174"/>
      <x:c r="CB111" s="174"/>
      <x:c r="CC111" s="174"/>
      <x:c r="CD111" s="174"/>
      <x:c r="CE111" s="174"/>
      <x:c r="CF111" s="174"/>
      <x:c r="CG111" s="174"/>
      <x:c r="CH111" s="174"/>
      <x:c r="CI111" s="179"/>
      <x:c r="CJ111" s="174"/>
      <x:c r="CK111" s="174"/>
      <x:c r="CL111" s="174"/>
      <x:c r="CM111" s="174"/>
      <x:c r="CN111" s="174"/>
      <x:c r="CO111" s="177"/>
      <x:c r="CP111" s="174"/>
      <x:c r="CQ111" s="174"/>
      <x:c r="CR111" s="174"/>
      <x:c r="CS111" s="174"/>
      <x:c r="CT111" s="174"/>
      <x:c r="CU111" s="176"/>
      <x:c r="CV111" s="176"/>
      <x:c r="CW111" s="176"/>
      <x:c r="CX111" s="176"/>
      <x:c r="CY111" s="176"/>
      <x:c r="CZ111" s="176"/>
      <x:c r="DA111" s="176"/>
      <x:c r="DB111" s="175" t="str">
        <x:f>IF(L111="","",IF(COUNT(CU111:DA111)&lt;7,"",SUM(CU111:DA111)))</x:f>
      </x:c>
      <x:c r="DC111" s="180" t="str">
        <x:f>IF(DB111="","",ROUND(DB111/14*10,1))</x:f>
      </x:c>
      <x:c r="DD111" s="174"/>
      <x:c r="DE111" s="175" t="str">
        <x:f>IF(L111="","",IF(DC111="","Pending",IF(DD111="Yes","CONDITIONAL — safety override",IF(DC111&gt;=8,"HIGH",IF(DC111&gt;=5,"CONDITIONAL","LOW")))))</x:f>
      </x:c>
      <x:c r="DF111" s="174"/>
      <x:c r="DG111" s="174"/>
      <x:c r="DH111" s="174"/>
      <x:c r="DI111" s="174"/>
      <x:c r="DJ111" s="174"/>
      <x:c r="DK111" s="174"/>
      <x:c r="DL111" s="174"/>
      <x:c r="DM111" s="174"/>
      <x:c r="DN111" s="174"/>
      <x:c r="DO111" s="174"/>
      <x:c r="DP111" s="174"/>
      <x:c r="DQ111" s="174"/>
      <x:c r="DR111" s="174"/>
      <x:c r="DS111" s="174"/>
      <x:c r="DT111" s="174"/>
      <x:c r="DU111" s="174"/>
      <x:c r="DV111" s="174"/>
      <x:c r="DW111" s="174"/>
      <x:c r="DX111" s="174"/>
      <x:c r="DY111" s="174"/>
      <x:c r="DZ111" s="174"/>
      <x:c r="EA111" s="174"/>
      <x:c r="EB111" s="175" t="str">
        <x:f>IF(L111="","",IF(AND(F111="Claim-ready",CJ111="Yes",CL111="Yes",DZ111&lt;&gt;""),"Yes","No / Pending"))</x:f>
      </x:c>
      <x:c r="EC111" s="174"/>
      <x:c r="ED111" s="174"/>
      <x:c r="EE111" s="174"/>
      <x:c r="EF111" s="174"/>
      <x:c r="EG111" s="174"/>
      <x:c r="EH111" s="177"/>
      <x:c r="EI111" s="174"/>
      <x:c r="EJ111" s="174"/>
      <x:c r="EK111" s="174"/>
      <x:c r="EL111" s="177"/>
      <x:c r="EM111" s="174"/>
      <x:c r="EN111" s="181" t="str">
        <x:f>IF(L111="","",(IF(N111&lt;&gt;"",1,0)+IF(O111&lt;&gt;"",1,0)+IF(AJ111&lt;&gt;"",1,0)+IF(AU111&lt;&gt;"",1,0)+IF(BE111&lt;&gt;"",1,0)+IF(CF111&lt;&gt;"",1,0)+IF(CJ111="Yes",1,0)+IF(CL111="Yes",1,0)+IF(DE111&lt;&gt;"Pending",1,0)+IF(F111&lt;&gt;"",1,0)+IF(DZ111&lt;&gt;"",1,0)+IF(EI111&lt;&gt;"",1,0))/12)</x:f>
      </x:c>
    </x:row>
    <x:row r="112">
      <x:c r="A112" s="175" t="str">
        <x:f>IF(L112="","","EV-"&amp;TEXT(ROW()-3,"0000"))</x:f>
      </x:c>
      <x:c r="B112" s="174"/>
      <x:c r="C112" s="175" t="str">
        <x:f>IF(L112="","",IF(OR(CM112="Retracted",CN112="Retracted",F112="Not used"),"🔴 Do not use for conclusion",IF(OR(R112="Official / Institutional",I112="Official / contextual"),"🔵 Official / contextual",IF(OR(I112="Definition",I112="Framework",I112="Paradigm shift"),"🟣 Conceptual key source",IF(AND(CJ112="Yes",CL112="Yes",OR(CG112="High",CG112="Moderate"),CH112&lt;&gt;"High",CH112&lt;&gt;"Critical",F112="Claim-ready"),"🟢 Claim-ready","🟡 Caution / context")))))</x:f>
      </x:c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6"/>
      <x:c r="P112" s="174"/>
      <x:c r="Q112" s="174"/>
      <x:c r="R112" s="174"/>
      <x:c r="S112" s="174"/>
      <x:c r="T112" s="174"/>
      <x:c r="U112" s="174"/>
      <x:c r="V112" s="174"/>
      <x:c r="W112" s="175" t="str">
        <x:f>IF(V112="","",LOWER(SUBSTITUTE(SUBSTITUTE(SUBSTITUTE(SUBSTITUTE(TRIM(V112),"https://doi.org/",""),"http://doi.org/",""),"https://dx.doi.org/",""),"doi:","")))</x:f>
      </x:c>
      <x:c r="X112" s="174"/>
      <x:c r="Y112" s="174"/>
      <x:c r="Z112" s="174"/>
      <x:c r="AA112" s="174"/>
      <x:c r="AB112" s="174"/>
      <x:c r="AC112" s="174"/>
      <x:c r="AD112" s="177"/>
      <x:c r="AE112" s="177"/>
      <x:c r="AF112" s="174"/>
      <x:c r="AG112" s="174"/>
      <x:c r="AH112" s="174"/>
      <x:c r="AI112" s="174"/>
      <x:c r="AJ112" s="174"/>
      <x:c r="AK112" s="175" t="str">
        <x:f>IF(AJ112="","",IF(OR(LOWER(AJ112)="brazil",LOWER(AJ112)="brasil"),"Yes","No"))</x:f>
      </x:c>
      <x:c r="AL112" s="174"/>
      <x:c r="AM112" s="174"/>
      <x:c r="AN112" s="174"/>
      <x:c r="AO112" s="178"/>
      <x:c r="AP112" s="174"/>
      <x:c r="AQ112" s="174"/>
      <x:c r="AR112" s="174"/>
      <x:c r="AS112" s="174"/>
      <x:c r="AT112" s="174"/>
      <x:c r="AU112" s="174"/>
      <x:c r="AV112" s="174"/>
      <x:c r="AW112" s="174"/>
      <x:c r="AX112" s="174"/>
      <x:c r="AY112" s="174"/>
      <x:c r="AZ112" s="174"/>
      <x:c r="BA112" s="174"/>
      <x:c r="BB112" s="174"/>
      <x:c r="BC112" s="174"/>
      <x:c r="BD112" s="174"/>
      <x:c r="BE112" s="174"/>
      <x:c r="BF112" s="174"/>
      <x:c r="BG112" s="174"/>
      <x:c r="BH112" s="174"/>
      <x:c r="BI112" s="174"/>
      <x:c r="BJ112" s="174"/>
      <x:c r="BK112" s="174"/>
      <x:c r="BL112" s="174"/>
      <x:c r="BM112" s="174"/>
      <x:c r="BN112" s="174"/>
      <x:c r="BO112" s="174"/>
      <x:c r="BP112" s="174"/>
      <x:c r="BQ112" s="174"/>
      <x:c r="BR112" s="174"/>
      <x:c r="BS112" s="174"/>
      <x:c r="BT112" s="174"/>
      <x:c r="BU112" s="174"/>
      <x:c r="BV112" s="174"/>
      <x:c r="BW112" s="174"/>
      <x:c r="BX112" s="174"/>
      <x:c r="BY112" s="174"/>
      <x:c r="BZ112" s="174"/>
      <x:c r="CA112" s="174"/>
      <x:c r="CB112" s="174"/>
      <x:c r="CC112" s="174"/>
      <x:c r="CD112" s="174"/>
      <x:c r="CE112" s="174"/>
      <x:c r="CF112" s="174"/>
      <x:c r="CG112" s="174"/>
      <x:c r="CH112" s="174"/>
      <x:c r="CI112" s="179"/>
      <x:c r="CJ112" s="174"/>
      <x:c r="CK112" s="174"/>
      <x:c r="CL112" s="174"/>
      <x:c r="CM112" s="174"/>
      <x:c r="CN112" s="174"/>
      <x:c r="CO112" s="177"/>
      <x:c r="CP112" s="174"/>
      <x:c r="CQ112" s="174"/>
      <x:c r="CR112" s="174"/>
      <x:c r="CS112" s="174"/>
      <x:c r="CT112" s="174"/>
      <x:c r="CU112" s="176"/>
      <x:c r="CV112" s="176"/>
      <x:c r="CW112" s="176"/>
      <x:c r="CX112" s="176"/>
      <x:c r="CY112" s="176"/>
      <x:c r="CZ112" s="176"/>
      <x:c r="DA112" s="176"/>
      <x:c r="DB112" s="175" t="str">
        <x:f>IF(L112="","",IF(COUNT(CU112:DA112)&lt;7,"",SUM(CU112:DA112)))</x:f>
      </x:c>
      <x:c r="DC112" s="180" t="str">
        <x:f>IF(DB112="","",ROUND(DB112/14*10,1))</x:f>
      </x:c>
      <x:c r="DD112" s="174"/>
      <x:c r="DE112" s="175" t="str">
        <x:f>IF(L112="","",IF(DC112="","Pending",IF(DD112="Yes","CONDITIONAL — safety override",IF(DC112&gt;=8,"HIGH",IF(DC112&gt;=5,"CONDITIONAL","LOW")))))</x:f>
      </x:c>
      <x:c r="DF112" s="174"/>
      <x:c r="DG112" s="174"/>
      <x:c r="DH112" s="174"/>
      <x:c r="DI112" s="174"/>
      <x:c r="DJ112" s="174"/>
      <x:c r="DK112" s="174"/>
      <x:c r="DL112" s="174"/>
      <x:c r="DM112" s="174"/>
      <x:c r="DN112" s="174"/>
      <x:c r="DO112" s="174"/>
      <x:c r="DP112" s="174"/>
      <x:c r="DQ112" s="174"/>
      <x:c r="DR112" s="174"/>
      <x:c r="DS112" s="174"/>
      <x:c r="DT112" s="174"/>
      <x:c r="DU112" s="174"/>
      <x:c r="DV112" s="174"/>
      <x:c r="DW112" s="174"/>
      <x:c r="DX112" s="174"/>
      <x:c r="DY112" s="174"/>
      <x:c r="DZ112" s="174"/>
      <x:c r="EA112" s="174"/>
      <x:c r="EB112" s="175" t="str">
        <x:f>IF(L112="","",IF(AND(F112="Claim-ready",CJ112="Yes",CL112="Yes",DZ112&lt;&gt;""),"Yes","No / Pending"))</x:f>
      </x:c>
      <x:c r="EC112" s="174"/>
      <x:c r="ED112" s="174"/>
      <x:c r="EE112" s="174"/>
      <x:c r="EF112" s="174"/>
      <x:c r="EG112" s="174"/>
      <x:c r="EH112" s="177"/>
      <x:c r="EI112" s="174"/>
      <x:c r="EJ112" s="174"/>
      <x:c r="EK112" s="174"/>
      <x:c r="EL112" s="177"/>
      <x:c r="EM112" s="174"/>
      <x:c r="EN112" s="181" t="str">
        <x:f>IF(L112="","",(IF(N112&lt;&gt;"",1,0)+IF(O112&lt;&gt;"",1,0)+IF(AJ112&lt;&gt;"",1,0)+IF(AU112&lt;&gt;"",1,0)+IF(BE112&lt;&gt;"",1,0)+IF(CF112&lt;&gt;"",1,0)+IF(CJ112="Yes",1,0)+IF(CL112="Yes",1,0)+IF(DE112&lt;&gt;"Pending",1,0)+IF(F112&lt;&gt;"",1,0)+IF(DZ112&lt;&gt;"",1,0)+IF(EI112&lt;&gt;"",1,0))/12)</x:f>
      </x:c>
    </x:row>
    <x:row r="113">
      <x:c r="A113" s="175" t="str">
        <x:f>IF(L113="","","EV-"&amp;TEXT(ROW()-3,"0000"))</x:f>
      </x:c>
      <x:c r="B113" s="174"/>
      <x:c r="C113" s="175" t="str">
        <x:f>IF(L113="","",IF(OR(CM113="Retracted",CN113="Retracted",F113="Not used"),"🔴 Do not use for conclusion",IF(OR(R113="Official / Institutional",I113="Official / contextual"),"🔵 Official / contextual",IF(OR(I113="Definition",I113="Framework",I113="Paradigm shift"),"🟣 Conceptual key source",IF(AND(CJ113="Yes",CL113="Yes",OR(CG113="High",CG113="Moderate"),CH113&lt;&gt;"High",CH113&lt;&gt;"Critical",F113="Claim-ready"),"🟢 Claim-ready","🟡 Caution / context")))))</x:f>
      </x:c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6"/>
      <x:c r="P113" s="174"/>
      <x:c r="Q113" s="174"/>
      <x:c r="R113" s="174"/>
      <x:c r="S113" s="174"/>
      <x:c r="T113" s="174"/>
      <x:c r="U113" s="174"/>
      <x:c r="V113" s="174"/>
      <x:c r="W113" s="175" t="str">
        <x:f>IF(V113="","",LOWER(SUBSTITUTE(SUBSTITUTE(SUBSTITUTE(SUBSTITUTE(TRIM(V113),"https://doi.org/",""),"http://doi.org/",""),"https://dx.doi.org/",""),"doi:","")))</x:f>
      </x:c>
      <x:c r="X113" s="174"/>
      <x:c r="Y113" s="174"/>
      <x:c r="Z113" s="174"/>
      <x:c r="AA113" s="174"/>
      <x:c r="AB113" s="174"/>
      <x:c r="AC113" s="174"/>
      <x:c r="AD113" s="177"/>
      <x:c r="AE113" s="177"/>
      <x:c r="AF113" s="174"/>
      <x:c r="AG113" s="174"/>
      <x:c r="AH113" s="174"/>
      <x:c r="AI113" s="174"/>
      <x:c r="AJ113" s="174"/>
      <x:c r="AK113" s="175" t="str">
        <x:f>IF(AJ113="","",IF(OR(LOWER(AJ113)="brazil",LOWER(AJ113)="brasil"),"Yes","No"))</x:f>
      </x:c>
      <x:c r="AL113" s="174"/>
      <x:c r="AM113" s="174"/>
      <x:c r="AN113" s="174"/>
      <x:c r="AO113" s="178"/>
      <x:c r="AP113" s="174"/>
      <x:c r="AQ113" s="174"/>
      <x:c r="AR113" s="174"/>
      <x:c r="AS113" s="174"/>
      <x:c r="AT113" s="174"/>
      <x:c r="AU113" s="174"/>
      <x:c r="AV113" s="174"/>
      <x:c r="AW113" s="174"/>
      <x:c r="AX113" s="174"/>
      <x:c r="AY113" s="174"/>
      <x:c r="AZ113" s="174"/>
      <x:c r="BA113" s="174"/>
      <x:c r="BB113" s="174"/>
      <x:c r="BC113" s="174"/>
      <x:c r="BD113" s="174"/>
      <x:c r="BE113" s="174"/>
      <x:c r="BF113" s="174"/>
      <x:c r="BG113" s="174"/>
      <x:c r="BH113" s="174"/>
      <x:c r="BI113" s="174"/>
      <x:c r="BJ113" s="174"/>
      <x:c r="BK113" s="174"/>
      <x:c r="BL113" s="174"/>
      <x:c r="BM113" s="174"/>
      <x:c r="BN113" s="174"/>
      <x:c r="BO113" s="174"/>
      <x:c r="BP113" s="174"/>
      <x:c r="BQ113" s="174"/>
      <x:c r="BR113" s="174"/>
      <x:c r="BS113" s="174"/>
      <x:c r="BT113" s="174"/>
      <x:c r="BU113" s="174"/>
      <x:c r="BV113" s="174"/>
      <x:c r="BW113" s="174"/>
      <x:c r="BX113" s="174"/>
      <x:c r="BY113" s="174"/>
      <x:c r="BZ113" s="174"/>
      <x:c r="CA113" s="174"/>
      <x:c r="CB113" s="174"/>
      <x:c r="CC113" s="174"/>
      <x:c r="CD113" s="174"/>
      <x:c r="CE113" s="174"/>
      <x:c r="CF113" s="174"/>
      <x:c r="CG113" s="174"/>
      <x:c r="CH113" s="174"/>
      <x:c r="CI113" s="179"/>
      <x:c r="CJ113" s="174"/>
      <x:c r="CK113" s="174"/>
      <x:c r="CL113" s="174"/>
      <x:c r="CM113" s="174"/>
      <x:c r="CN113" s="174"/>
      <x:c r="CO113" s="177"/>
      <x:c r="CP113" s="174"/>
      <x:c r="CQ113" s="174"/>
      <x:c r="CR113" s="174"/>
      <x:c r="CS113" s="174"/>
      <x:c r="CT113" s="174"/>
      <x:c r="CU113" s="176"/>
      <x:c r="CV113" s="176"/>
      <x:c r="CW113" s="176"/>
      <x:c r="CX113" s="176"/>
      <x:c r="CY113" s="176"/>
      <x:c r="CZ113" s="176"/>
      <x:c r="DA113" s="176"/>
      <x:c r="DB113" s="175" t="str">
        <x:f>IF(L113="","",IF(COUNT(CU113:DA113)&lt;7,"",SUM(CU113:DA113)))</x:f>
      </x:c>
      <x:c r="DC113" s="180" t="str">
        <x:f>IF(DB113="","",ROUND(DB113/14*10,1))</x:f>
      </x:c>
      <x:c r="DD113" s="174"/>
      <x:c r="DE113" s="175" t="str">
        <x:f>IF(L113="","",IF(DC113="","Pending",IF(DD113="Yes","CONDITIONAL — safety override",IF(DC113&gt;=8,"HIGH",IF(DC113&gt;=5,"CONDITIONAL","LOW")))))</x:f>
      </x:c>
      <x:c r="DF113" s="174"/>
      <x:c r="DG113" s="174"/>
      <x:c r="DH113" s="174"/>
      <x:c r="DI113" s="174"/>
      <x:c r="DJ113" s="174"/>
      <x:c r="DK113" s="174"/>
      <x:c r="DL113" s="174"/>
      <x:c r="DM113" s="174"/>
      <x:c r="DN113" s="174"/>
      <x:c r="DO113" s="174"/>
      <x:c r="DP113" s="174"/>
      <x:c r="DQ113" s="174"/>
      <x:c r="DR113" s="174"/>
      <x:c r="DS113" s="174"/>
      <x:c r="DT113" s="174"/>
      <x:c r="DU113" s="174"/>
      <x:c r="DV113" s="174"/>
      <x:c r="DW113" s="174"/>
      <x:c r="DX113" s="174"/>
      <x:c r="DY113" s="174"/>
      <x:c r="DZ113" s="174"/>
      <x:c r="EA113" s="174"/>
      <x:c r="EB113" s="175" t="str">
        <x:f>IF(L113="","",IF(AND(F113="Claim-ready",CJ113="Yes",CL113="Yes",DZ113&lt;&gt;""),"Yes","No / Pending"))</x:f>
      </x:c>
      <x:c r="EC113" s="174"/>
      <x:c r="ED113" s="174"/>
      <x:c r="EE113" s="174"/>
      <x:c r="EF113" s="174"/>
      <x:c r="EG113" s="174"/>
      <x:c r="EH113" s="177"/>
      <x:c r="EI113" s="174"/>
      <x:c r="EJ113" s="174"/>
      <x:c r="EK113" s="174"/>
      <x:c r="EL113" s="177"/>
      <x:c r="EM113" s="174"/>
      <x:c r="EN113" s="181" t="str">
        <x:f>IF(L113="","",(IF(N113&lt;&gt;"",1,0)+IF(O113&lt;&gt;"",1,0)+IF(AJ113&lt;&gt;"",1,0)+IF(AU113&lt;&gt;"",1,0)+IF(BE113&lt;&gt;"",1,0)+IF(CF113&lt;&gt;"",1,0)+IF(CJ113="Yes",1,0)+IF(CL113="Yes",1,0)+IF(DE113&lt;&gt;"Pending",1,0)+IF(F113&lt;&gt;"",1,0)+IF(DZ113&lt;&gt;"",1,0)+IF(EI113&lt;&gt;"",1,0))/12)</x:f>
      </x:c>
    </x:row>
    <x:row r="114">
      <x:c r="A114" s="175" t="str">
        <x:f>IF(L114="","","EV-"&amp;TEXT(ROW()-3,"0000"))</x:f>
      </x:c>
      <x:c r="B114" s="174"/>
      <x:c r="C114" s="175" t="str">
        <x:f>IF(L114="","",IF(OR(CM114="Retracted",CN114="Retracted",F114="Not used"),"🔴 Do not use for conclusion",IF(OR(R114="Official / Institutional",I114="Official / contextual"),"🔵 Official / contextual",IF(OR(I114="Definition",I114="Framework",I114="Paradigm shift"),"🟣 Conceptual key source",IF(AND(CJ114="Yes",CL114="Yes",OR(CG114="High",CG114="Moderate"),CH114&lt;&gt;"High",CH114&lt;&gt;"Critical",F114="Claim-ready"),"🟢 Claim-ready","🟡 Caution / context")))))</x:f>
      </x:c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6"/>
      <x:c r="P114" s="174"/>
      <x:c r="Q114" s="174"/>
      <x:c r="R114" s="174"/>
      <x:c r="S114" s="174"/>
      <x:c r="T114" s="174"/>
      <x:c r="U114" s="174"/>
      <x:c r="V114" s="174"/>
      <x:c r="W114" s="175" t="str">
        <x:f>IF(V114="","",LOWER(SUBSTITUTE(SUBSTITUTE(SUBSTITUTE(SUBSTITUTE(TRIM(V114),"https://doi.org/",""),"http://doi.org/",""),"https://dx.doi.org/",""),"doi:","")))</x:f>
      </x:c>
      <x:c r="X114" s="174"/>
      <x:c r="Y114" s="174"/>
      <x:c r="Z114" s="174"/>
      <x:c r="AA114" s="174"/>
      <x:c r="AB114" s="174"/>
      <x:c r="AC114" s="174"/>
      <x:c r="AD114" s="177"/>
      <x:c r="AE114" s="177"/>
      <x:c r="AF114" s="174"/>
      <x:c r="AG114" s="174"/>
      <x:c r="AH114" s="174"/>
      <x:c r="AI114" s="174"/>
      <x:c r="AJ114" s="174"/>
      <x:c r="AK114" s="175" t="str">
        <x:f>IF(AJ114="","",IF(OR(LOWER(AJ114)="brazil",LOWER(AJ114)="brasil"),"Yes","No"))</x:f>
      </x:c>
      <x:c r="AL114" s="174"/>
      <x:c r="AM114" s="174"/>
      <x:c r="AN114" s="174"/>
      <x:c r="AO114" s="178"/>
      <x:c r="AP114" s="174"/>
      <x:c r="AQ114" s="174"/>
      <x:c r="AR114" s="174"/>
      <x:c r="AS114" s="174"/>
      <x:c r="AT114" s="174"/>
      <x:c r="AU114" s="174"/>
      <x:c r="AV114" s="174"/>
      <x:c r="AW114" s="174"/>
      <x:c r="AX114" s="174"/>
      <x:c r="AY114" s="174"/>
      <x:c r="AZ114" s="174"/>
      <x:c r="BA114" s="174"/>
      <x:c r="BB114" s="174"/>
      <x:c r="BC114" s="174"/>
      <x:c r="BD114" s="174"/>
      <x:c r="BE114" s="174"/>
      <x:c r="BF114" s="174"/>
      <x:c r="BG114" s="174"/>
      <x:c r="BH114" s="174"/>
      <x:c r="BI114" s="174"/>
      <x:c r="BJ114" s="174"/>
      <x:c r="BK114" s="174"/>
      <x:c r="BL114" s="174"/>
      <x:c r="BM114" s="174"/>
      <x:c r="BN114" s="174"/>
      <x:c r="BO114" s="174"/>
      <x:c r="BP114" s="174"/>
      <x:c r="BQ114" s="174"/>
      <x:c r="BR114" s="174"/>
      <x:c r="BS114" s="174"/>
      <x:c r="BT114" s="174"/>
      <x:c r="BU114" s="174"/>
      <x:c r="BV114" s="174"/>
      <x:c r="BW114" s="174"/>
      <x:c r="BX114" s="174"/>
      <x:c r="BY114" s="174"/>
      <x:c r="BZ114" s="174"/>
      <x:c r="CA114" s="174"/>
      <x:c r="CB114" s="174"/>
      <x:c r="CC114" s="174"/>
      <x:c r="CD114" s="174"/>
      <x:c r="CE114" s="174"/>
      <x:c r="CF114" s="174"/>
      <x:c r="CG114" s="174"/>
      <x:c r="CH114" s="174"/>
      <x:c r="CI114" s="179"/>
      <x:c r="CJ114" s="174"/>
      <x:c r="CK114" s="174"/>
      <x:c r="CL114" s="174"/>
      <x:c r="CM114" s="174"/>
      <x:c r="CN114" s="174"/>
      <x:c r="CO114" s="177"/>
      <x:c r="CP114" s="174"/>
      <x:c r="CQ114" s="174"/>
      <x:c r="CR114" s="174"/>
      <x:c r="CS114" s="174"/>
      <x:c r="CT114" s="174"/>
      <x:c r="CU114" s="176"/>
      <x:c r="CV114" s="176"/>
      <x:c r="CW114" s="176"/>
      <x:c r="CX114" s="176"/>
      <x:c r="CY114" s="176"/>
      <x:c r="CZ114" s="176"/>
      <x:c r="DA114" s="176"/>
      <x:c r="DB114" s="175" t="str">
        <x:f>IF(L114="","",IF(COUNT(CU114:DA114)&lt;7,"",SUM(CU114:DA114)))</x:f>
      </x:c>
      <x:c r="DC114" s="180" t="str">
        <x:f>IF(DB114="","",ROUND(DB114/14*10,1))</x:f>
      </x:c>
      <x:c r="DD114" s="174"/>
      <x:c r="DE114" s="175" t="str">
        <x:f>IF(L114="","",IF(DC114="","Pending",IF(DD114="Yes","CONDITIONAL — safety override",IF(DC114&gt;=8,"HIGH",IF(DC114&gt;=5,"CONDITIONAL","LOW")))))</x:f>
      </x:c>
      <x:c r="DF114" s="174"/>
      <x:c r="DG114" s="174"/>
      <x:c r="DH114" s="174"/>
      <x:c r="DI114" s="174"/>
      <x:c r="DJ114" s="174"/>
      <x:c r="DK114" s="174"/>
      <x:c r="DL114" s="174"/>
      <x:c r="DM114" s="174"/>
      <x:c r="DN114" s="174"/>
      <x:c r="DO114" s="174"/>
      <x:c r="DP114" s="174"/>
      <x:c r="DQ114" s="174"/>
      <x:c r="DR114" s="174"/>
      <x:c r="DS114" s="174"/>
      <x:c r="DT114" s="174"/>
      <x:c r="DU114" s="174"/>
      <x:c r="DV114" s="174"/>
      <x:c r="DW114" s="174"/>
      <x:c r="DX114" s="174"/>
      <x:c r="DY114" s="174"/>
      <x:c r="DZ114" s="174"/>
      <x:c r="EA114" s="174"/>
      <x:c r="EB114" s="175" t="str">
        <x:f>IF(L114="","",IF(AND(F114="Claim-ready",CJ114="Yes",CL114="Yes",DZ114&lt;&gt;""),"Yes","No / Pending"))</x:f>
      </x:c>
      <x:c r="EC114" s="174"/>
      <x:c r="ED114" s="174"/>
      <x:c r="EE114" s="174"/>
      <x:c r="EF114" s="174"/>
      <x:c r="EG114" s="174"/>
      <x:c r="EH114" s="177"/>
      <x:c r="EI114" s="174"/>
      <x:c r="EJ114" s="174"/>
      <x:c r="EK114" s="174"/>
      <x:c r="EL114" s="177"/>
      <x:c r="EM114" s="174"/>
      <x:c r="EN114" s="181" t="str">
        <x:f>IF(L114="","",(IF(N114&lt;&gt;"",1,0)+IF(O114&lt;&gt;"",1,0)+IF(AJ114&lt;&gt;"",1,0)+IF(AU114&lt;&gt;"",1,0)+IF(BE114&lt;&gt;"",1,0)+IF(CF114&lt;&gt;"",1,0)+IF(CJ114="Yes",1,0)+IF(CL114="Yes",1,0)+IF(DE114&lt;&gt;"Pending",1,0)+IF(F114&lt;&gt;"",1,0)+IF(DZ114&lt;&gt;"",1,0)+IF(EI114&lt;&gt;"",1,0))/12)</x:f>
      </x:c>
    </x:row>
    <x:row r="115">
      <x:c r="A115" s="175" t="str">
        <x:f>IF(L115="","","EV-"&amp;TEXT(ROW()-3,"0000"))</x:f>
      </x:c>
      <x:c r="B115" s="174"/>
      <x:c r="C115" s="175" t="str">
        <x:f>IF(L115="","",IF(OR(CM115="Retracted",CN115="Retracted",F115="Not used"),"🔴 Do not use for conclusion",IF(OR(R115="Official / Institutional",I115="Official / contextual"),"🔵 Official / contextual",IF(OR(I115="Definition",I115="Framework",I115="Paradigm shift"),"🟣 Conceptual key source",IF(AND(CJ115="Yes",CL115="Yes",OR(CG115="High",CG115="Moderate"),CH115&lt;&gt;"High",CH115&lt;&gt;"Critical",F115="Claim-ready"),"🟢 Claim-ready","🟡 Caution / context")))))</x:f>
      </x:c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6"/>
      <x:c r="P115" s="174"/>
      <x:c r="Q115" s="174"/>
      <x:c r="R115" s="174"/>
      <x:c r="S115" s="174"/>
      <x:c r="T115" s="174"/>
      <x:c r="U115" s="174"/>
      <x:c r="V115" s="174"/>
      <x:c r="W115" s="175" t="str">
        <x:f>IF(V115="","",LOWER(SUBSTITUTE(SUBSTITUTE(SUBSTITUTE(SUBSTITUTE(TRIM(V115),"https://doi.org/",""),"http://doi.org/",""),"https://dx.doi.org/",""),"doi:","")))</x:f>
      </x:c>
      <x:c r="X115" s="174"/>
      <x:c r="Y115" s="174"/>
      <x:c r="Z115" s="174"/>
      <x:c r="AA115" s="174"/>
      <x:c r="AB115" s="174"/>
      <x:c r="AC115" s="174"/>
      <x:c r="AD115" s="177"/>
      <x:c r="AE115" s="177"/>
      <x:c r="AF115" s="174"/>
      <x:c r="AG115" s="174"/>
      <x:c r="AH115" s="174"/>
      <x:c r="AI115" s="174"/>
      <x:c r="AJ115" s="174"/>
      <x:c r="AK115" s="175" t="str">
        <x:f>IF(AJ115="","",IF(OR(LOWER(AJ115)="brazil",LOWER(AJ115)="brasil"),"Yes","No"))</x:f>
      </x:c>
      <x:c r="AL115" s="174"/>
      <x:c r="AM115" s="174"/>
      <x:c r="AN115" s="174"/>
      <x:c r="AO115" s="178"/>
      <x:c r="AP115" s="174"/>
      <x:c r="AQ115" s="174"/>
      <x:c r="AR115" s="174"/>
      <x:c r="AS115" s="174"/>
      <x:c r="AT115" s="174"/>
      <x:c r="AU115" s="174"/>
      <x:c r="AV115" s="174"/>
      <x:c r="AW115" s="174"/>
      <x:c r="AX115" s="174"/>
      <x:c r="AY115" s="174"/>
      <x:c r="AZ115" s="174"/>
      <x:c r="BA115" s="174"/>
      <x:c r="BB115" s="174"/>
      <x:c r="BC115" s="174"/>
      <x:c r="BD115" s="174"/>
      <x:c r="BE115" s="174"/>
      <x:c r="BF115" s="174"/>
      <x:c r="BG115" s="174"/>
      <x:c r="BH115" s="174"/>
      <x:c r="BI115" s="174"/>
      <x:c r="BJ115" s="174"/>
      <x:c r="BK115" s="174"/>
      <x:c r="BL115" s="174"/>
      <x:c r="BM115" s="174"/>
      <x:c r="BN115" s="174"/>
      <x:c r="BO115" s="174"/>
      <x:c r="BP115" s="174"/>
      <x:c r="BQ115" s="174"/>
      <x:c r="BR115" s="174"/>
      <x:c r="BS115" s="174"/>
      <x:c r="BT115" s="174"/>
      <x:c r="BU115" s="174"/>
      <x:c r="BV115" s="174"/>
      <x:c r="BW115" s="174"/>
      <x:c r="BX115" s="174"/>
      <x:c r="BY115" s="174"/>
      <x:c r="BZ115" s="174"/>
      <x:c r="CA115" s="174"/>
      <x:c r="CB115" s="174"/>
      <x:c r="CC115" s="174"/>
      <x:c r="CD115" s="174"/>
      <x:c r="CE115" s="174"/>
      <x:c r="CF115" s="174"/>
      <x:c r="CG115" s="174"/>
      <x:c r="CH115" s="174"/>
      <x:c r="CI115" s="179"/>
      <x:c r="CJ115" s="174"/>
      <x:c r="CK115" s="174"/>
      <x:c r="CL115" s="174"/>
      <x:c r="CM115" s="174"/>
      <x:c r="CN115" s="174"/>
      <x:c r="CO115" s="177"/>
      <x:c r="CP115" s="174"/>
      <x:c r="CQ115" s="174"/>
      <x:c r="CR115" s="174"/>
      <x:c r="CS115" s="174"/>
      <x:c r="CT115" s="174"/>
      <x:c r="CU115" s="176"/>
      <x:c r="CV115" s="176"/>
      <x:c r="CW115" s="176"/>
      <x:c r="CX115" s="176"/>
      <x:c r="CY115" s="176"/>
      <x:c r="CZ115" s="176"/>
      <x:c r="DA115" s="176"/>
      <x:c r="DB115" s="175" t="str">
        <x:f>IF(L115="","",IF(COUNT(CU115:DA115)&lt;7,"",SUM(CU115:DA115)))</x:f>
      </x:c>
      <x:c r="DC115" s="180" t="str">
        <x:f>IF(DB115="","",ROUND(DB115/14*10,1))</x:f>
      </x:c>
      <x:c r="DD115" s="174"/>
      <x:c r="DE115" s="175" t="str">
        <x:f>IF(L115="","",IF(DC115="","Pending",IF(DD115="Yes","CONDITIONAL — safety override",IF(DC115&gt;=8,"HIGH",IF(DC115&gt;=5,"CONDITIONAL","LOW")))))</x:f>
      </x:c>
      <x:c r="DF115" s="174"/>
      <x:c r="DG115" s="174"/>
      <x:c r="DH115" s="174"/>
      <x:c r="DI115" s="174"/>
      <x:c r="DJ115" s="174"/>
      <x:c r="DK115" s="174"/>
      <x:c r="DL115" s="174"/>
      <x:c r="DM115" s="174"/>
      <x:c r="DN115" s="174"/>
      <x:c r="DO115" s="174"/>
      <x:c r="DP115" s="174"/>
      <x:c r="DQ115" s="174"/>
      <x:c r="DR115" s="174"/>
      <x:c r="DS115" s="174"/>
      <x:c r="DT115" s="174"/>
      <x:c r="DU115" s="174"/>
      <x:c r="DV115" s="174"/>
      <x:c r="DW115" s="174"/>
      <x:c r="DX115" s="174"/>
      <x:c r="DY115" s="174"/>
      <x:c r="DZ115" s="174"/>
      <x:c r="EA115" s="174"/>
      <x:c r="EB115" s="175" t="str">
        <x:f>IF(L115="","",IF(AND(F115="Claim-ready",CJ115="Yes",CL115="Yes",DZ115&lt;&gt;""),"Yes","No / Pending"))</x:f>
      </x:c>
      <x:c r="EC115" s="174"/>
      <x:c r="ED115" s="174"/>
      <x:c r="EE115" s="174"/>
      <x:c r="EF115" s="174"/>
      <x:c r="EG115" s="174"/>
      <x:c r="EH115" s="177"/>
      <x:c r="EI115" s="174"/>
      <x:c r="EJ115" s="174"/>
      <x:c r="EK115" s="174"/>
      <x:c r="EL115" s="177"/>
      <x:c r="EM115" s="174"/>
      <x:c r="EN115" s="181" t="str">
        <x:f>IF(L115="","",(IF(N115&lt;&gt;"",1,0)+IF(O115&lt;&gt;"",1,0)+IF(AJ115&lt;&gt;"",1,0)+IF(AU115&lt;&gt;"",1,0)+IF(BE115&lt;&gt;"",1,0)+IF(CF115&lt;&gt;"",1,0)+IF(CJ115="Yes",1,0)+IF(CL115="Yes",1,0)+IF(DE115&lt;&gt;"Pending",1,0)+IF(F115&lt;&gt;"",1,0)+IF(DZ115&lt;&gt;"",1,0)+IF(EI115&lt;&gt;"",1,0))/12)</x:f>
      </x:c>
    </x:row>
    <x:row r="116">
      <x:c r="A116" s="175" t="str">
        <x:f>IF(L116="","","EV-"&amp;TEXT(ROW()-3,"0000"))</x:f>
      </x:c>
      <x:c r="B116" s="174"/>
      <x:c r="C116" s="175" t="str">
        <x:f>IF(L116="","",IF(OR(CM116="Retracted",CN116="Retracted",F116="Not used"),"🔴 Do not use for conclusion",IF(OR(R116="Official / Institutional",I116="Official / contextual"),"🔵 Official / contextual",IF(OR(I116="Definition",I116="Framework",I116="Paradigm shift"),"🟣 Conceptual key source",IF(AND(CJ116="Yes",CL116="Yes",OR(CG116="High",CG116="Moderate"),CH116&lt;&gt;"High",CH116&lt;&gt;"Critical",F116="Claim-ready"),"🟢 Claim-ready","🟡 Caution / context")))))</x:f>
      </x:c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6"/>
      <x:c r="P116" s="174"/>
      <x:c r="Q116" s="174"/>
      <x:c r="R116" s="174"/>
      <x:c r="S116" s="174"/>
      <x:c r="T116" s="174"/>
      <x:c r="U116" s="174"/>
      <x:c r="V116" s="174"/>
      <x:c r="W116" s="175" t="str">
        <x:f>IF(V116="","",LOWER(SUBSTITUTE(SUBSTITUTE(SUBSTITUTE(SUBSTITUTE(TRIM(V116),"https://doi.org/",""),"http://doi.org/",""),"https://dx.doi.org/",""),"doi:","")))</x:f>
      </x:c>
      <x:c r="X116" s="174"/>
      <x:c r="Y116" s="174"/>
      <x:c r="Z116" s="174"/>
      <x:c r="AA116" s="174"/>
      <x:c r="AB116" s="174"/>
      <x:c r="AC116" s="174"/>
      <x:c r="AD116" s="177"/>
      <x:c r="AE116" s="177"/>
      <x:c r="AF116" s="174"/>
      <x:c r="AG116" s="174"/>
      <x:c r="AH116" s="174"/>
      <x:c r="AI116" s="174"/>
      <x:c r="AJ116" s="174"/>
      <x:c r="AK116" s="175" t="str">
        <x:f>IF(AJ116="","",IF(OR(LOWER(AJ116)="brazil",LOWER(AJ116)="brasil"),"Yes","No"))</x:f>
      </x:c>
      <x:c r="AL116" s="174"/>
      <x:c r="AM116" s="174"/>
      <x:c r="AN116" s="174"/>
      <x:c r="AO116" s="178"/>
      <x:c r="AP116" s="174"/>
      <x:c r="AQ116" s="174"/>
      <x:c r="AR116" s="174"/>
      <x:c r="AS116" s="174"/>
      <x:c r="AT116" s="174"/>
      <x:c r="AU116" s="174"/>
      <x:c r="AV116" s="174"/>
      <x:c r="AW116" s="174"/>
      <x:c r="AX116" s="174"/>
      <x:c r="AY116" s="174"/>
      <x:c r="AZ116" s="174"/>
      <x:c r="BA116" s="174"/>
      <x:c r="BB116" s="174"/>
      <x:c r="BC116" s="174"/>
      <x:c r="BD116" s="174"/>
      <x:c r="BE116" s="174"/>
      <x:c r="BF116" s="174"/>
      <x:c r="BG116" s="174"/>
      <x:c r="BH116" s="174"/>
      <x:c r="BI116" s="174"/>
      <x:c r="BJ116" s="174"/>
      <x:c r="BK116" s="174"/>
      <x:c r="BL116" s="174"/>
      <x:c r="BM116" s="174"/>
      <x:c r="BN116" s="174"/>
      <x:c r="BO116" s="174"/>
      <x:c r="BP116" s="174"/>
      <x:c r="BQ116" s="174"/>
      <x:c r="BR116" s="174"/>
      <x:c r="BS116" s="174"/>
      <x:c r="BT116" s="174"/>
      <x:c r="BU116" s="174"/>
      <x:c r="BV116" s="174"/>
      <x:c r="BW116" s="174"/>
      <x:c r="BX116" s="174"/>
      <x:c r="BY116" s="174"/>
      <x:c r="BZ116" s="174"/>
      <x:c r="CA116" s="174"/>
      <x:c r="CB116" s="174"/>
      <x:c r="CC116" s="174"/>
      <x:c r="CD116" s="174"/>
      <x:c r="CE116" s="174"/>
      <x:c r="CF116" s="174"/>
      <x:c r="CG116" s="174"/>
      <x:c r="CH116" s="174"/>
      <x:c r="CI116" s="179"/>
      <x:c r="CJ116" s="174"/>
      <x:c r="CK116" s="174"/>
      <x:c r="CL116" s="174"/>
      <x:c r="CM116" s="174"/>
      <x:c r="CN116" s="174"/>
      <x:c r="CO116" s="177"/>
      <x:c r="CP116" s="174"/>
      <x:c r="CQ116" s="174"/>
      <x:c r="CR116" s="174"/>
      <x:c r="CS116" s="174"/>
      <x:c r="CT116" s="174"/>
      <x:c r="CU116" s="176"/>
      <x:c r="CV116" s="176"/>
      <x:c r="CW116" s="176"/>
      <x:c r="CX116" s="176"/>
      <x:c r="CY116" s="176"/>
      <x:c r="CZ116" s="176"/>
      <x:c r="DA116" s="176"/>
      <x:c r="DB116" s="175" t="str">
        <x:f>IF(L116="","",IF(COUNT(CU116:DA116)&lt;7,"",SUM(CU116:DA116)))</x:f>
      </x:c>
      <x:c r="DC116" s="180" t="str">
        <x:f>IF(DB116="","",ROUND(DB116/14*10,1))</x:f>
      </x:c>
      <x:c r="DD116" s="174"/>
      <x:c r="DE116" s="175" t="str">
        <x:f>IF(L116="","",IF(DC116="","Pending",IF(DD116="Yes","CONDITIONAL — safety override",IF(DC116&gt;=8,"HIGH",IF(DC116&gt;=5,"CONDITIONAL","LOW")))))</x:f>
      </x:c>
      <x:c r="DF116" s="174"/>
      <x:c r="DG116" s="174"/>
      <x:c r="DH116" s="174"/>
      <x:c r="DI116" s="174"/>
      <x:c r="DJ116" s="174"/>
      <x:c r="DK116" s="174"/>
      <x:c r="DL116" s="174"/>
      <x:c r="DM116" s="174"/>
      <x:c r="DN116" s="174"/>
      <x:c r="DO116" s="174"/>
      <x:c r="DP116" s="174"/>
      <x:c r="DQ116" s="174"/>
      <x:c r="DR116" s="174"/>
      <x:c r="DS116" s="174"/>
      <x:c r="DT116" s="174"/>
      <x:c r="DU116" s="174"/>
      <x:c r="DV116" s="174"/>
      <x:c r="DW116" s="174"/>
      <x:c r="DX116" s="174"/>
      <x:c r="DY116" s="174"/>
      <x:c r="DZ116" s="174"/>
      <x:c r="EA116" s="174"/>
      <x:c r="EB116" s="175" t="str">
        <x:f>IF(L116="","",IF(AND(F116="Claim-ready",CJ116="Yes",CL116="Yes",DZ116&lt;&gt;""),"Yes","No / Pending"))</x:f>
      </x:c>
      <x:c r="EC116" s="174"/>
      <x:c r="ED116" s="174"/>
      <x:c r="EE116" s="174"/>
      <x:c r="EF116" s="174"/>
      <x:c r="EG116" s="174"/>
      <x:c r="EH116" s="177"/>
      <x:c r="EI116" s="174"/>
      <x:c r="EJ116" s="174"/>
      <x:c r="EK116" s="174"/>
      <x:c r="EL116" s="177"/>
      <x:c r="EM116" s="174"/>
      <x:c r="EN116" s="181" t="str">
        <x:f>IF(L116="","",(IF(N116&lt;&gt;"",1,0)+IF(O116&lt;&gt;"",1,0)+IF(AJ116&lt;&gt;"",1,0)+IF(AU116&lt;&gt;"",1,0)+IF(BE116&lt;&gt;"",1,0)+IF(CF116&lt;&gt;"",1,0)+IF(CJ116="Yes",1,0)+IF(CL116="Yes",1,0)+IF(DE116&lt;&gt;"Pending",1,0)+IF(F116&lt;&gt;"",1,0)+IF(DZ116&lt;&gt;"",1,0)+IF(EI116&lt;&gt;"",1,0))/12)</x:f>
      </x:c>
    </x:row>
    <x:row r="117">
      <x:c r="A117" s="175" t="str">
        <x:f>IF(L117="","","EV-"&amp;TEXT(ROW()-3,"0000"))</x:f>
      </x:c>
      <x:c r="B117" s="174"/>
      <x:c r="C117" s="175" t="str">
        <x:f>IF(L117="","",IF(OR(CM117="Retracted",CN117="Retracted",F117="Not used"),"🔴 Do not use for conclusion",IF(OR(R117="Official / Institutional",I117="Official / contextual"),"🔵 Official / contextual",IF(OR(I117="Definition",I117="Framework",I117="Paradigm shift"),"🟣 Conceptual key source",IF(AND(CJ117="Yes",CL117="Yes",OR(CG117="High",CG117="Moderate"),CH117&lt;&gt;"High",CH117&lt;&gt;"Critical",F117="Claim-ready"),"🟢 Claim-ready","🟡 Caution / context")))))</x:f>
      </x:c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6"/>
      <x:c r="P117" s="174"/>
      <x:c r="Q117" s="174"/>
      <x:c r="R117" s="174"/>
      <x:c r="S117" s="174"/>
      <x:c r="T117" s="174"/>
      <x:c r="U117" s="174"/>
      <x:c r="V117" s="174"/>
      <x:c r="W117" s="175" t="str">
        <x:f>IF(V117="","",LOWER(SUBSTITUTE(SUBSTITUTE(SUBSTITUTE(SUBSTITUTE(TRIM(V117),"https://doi.org/",""),"http://doi.org/",""),"https://dx.doi.org/",""),"doi:","")))</x:f>
      </x:c>
      <x:c r="X117" s="174"/>
      <x:c r="Y117" s="174"/>
      <x:c r="Z117" s="174"/>
      <x:c r="AA117" s="174"/>
      <x:c r="AB117" s="174"/>
      <x:c r="AC117" s="174"/>
      <x:c r="AD117" s="177"/>
      <x:c r="AE117" s="177"/>
      <x:c r="AF117" s="174"/>
      <x:c r="AG117" s="174"/>
      <x:c r="AH117" s="174"/>
      <x:c r="AI117" s="174"/>
      <x:c r="AJ117" s="174"/>
      <x:c r="AK117" s="175" t="str">
        <x:f>IF(AJ117="","",IF(OR(LOWER(AJ117)="brazil",LOWER(AJ117)="brasil"),"Yes","No"))</x:f>
      </x:c>
      <x:c r="AL117" s="174"/>
      <x:c r="AM117" s="174"/>
      <x:c r="AN117" s="174"/>
      <x:c r="AO117" s="178"/>
      <x:c r="AP117" s="174"/>
      <x:c r="AQ117" s="174"/>
      <x:c r="AR117" s="174"/>
      <x:c r="AS117" s="174"/>
      <x:c r="AT117" s="174"/>
      <x:c r="AU117" s="174"/>
      <x:c r="AV117" s="174"/>
      <x:c r="AW117" s="174"/>
      <x:c r="AX117" s="174"/>
      <x:c r="AY117" s="174"/>
      <x:c r="AZ117" s="174"/>
      <x:c r="BA117" s="174"/>
      <x:c r="BB117" s="174"/>
      <x:c r="BC117" s="174"/>
      <x:c r="BD117" s="174"/>
      <x:c r="BE117" s="174"/>
      <x:c r="BF117" s="174"/>
      <x:c r="BG117" s="174"/>
      <x:c r="BH117" s="174"/>
      <x:c r="BI117" s="174"/>
      <x:c r="BJ117" s="174"/>
      <x:c r="BK117" s="174"/>
      <x:c r="BL117" s="174"/>
      <x:c r="BM117" s="174"/>
      <x:c r="BN117" s="174"/>
      <x:c r="BO117" s="174"/>
      <x:c r="BP117" s="174"/>
      <x:c r="BQ117" s="174"/>
      <x:c r="BR117" s="174"/>
      <x:c r="BS117" s="174"/>
      <x:c r="BT117" s="174"/>
      <x:c r="BU117" s="174"/>
      <x:c r="BV117" s="174"/>
      <x:c r="BW117" s="174"/>
      <x:c r="BX117" s="174"/>
      <x:c r="BY117" s="174"/>
      <x:c r="BZ117" s="174"/>
      <x:c r="CA117" s="174"/>
      <x:c r="CB117" s="174"/>
      <x:c r="CC117" s="174"/>
      <x:c r="CD117" s="174"/>
      <x:c r="CE117" s="174"/>
      <x:c r="CF117" s="174"/>
      <x:c r="CG117" s="174"/>
      <x:c r="CH117" s="174"/>
      <x:c r="CI117" s="179"/>
      <x:c r="CJ117" s="174"/>
      <x:c r="CK117" s="174"/>
      <x:c r="CL117" s="174"/>
      <x:c r="CM117" s="174"/>
      <x:c r="CN117" s="174"/>
      <x:c r="CO117" s="177"/>
      <x:c r="CP117" s="174"/>
      <x:c r="CQ117" s="174"/>
      <x:c r="CR117" s="174"/>
      <x:c r="CS117" s="174"/>
      <x:c r="CT117" s="174"/>
      <x:c r="CU117" s="176"/>
      <x:c r="CV117" s="176"/>
      <x:c r="CW117" s="176"/>
      <x:c r="CX117" s="176"/>
      <x:c r="CY117" s="176"/>
      <x:c r="CZ117" s="176"/>
      <x:c r="DA117" s="176"/>
      <x:c r="DB117" s="175" t="str">
        <x:f>IF(L117="","",IF(COUNT(CU117:DA117)&lt;7,"",SUM(CU117:DA117)))</x:f>
      </x:c>
      <x:c r="DC117" s="180" t="str">
        <x:f>IF(DB117="","",ROUND(DB117/14*10,1))</x:f>
      </x:c>
      <x:c r="DD117" s="174"/>
      <x:c r="DE117" s="175" t="str">
        <x:f>IF(L117="","",IF(DC117="","Pending",IF(DD117="Yes","CONDITIONAL — safety override",IF(DC117&gt;=8,"HIGH",IF(DC117&gt;=5,"CONDITIONAL","LOW")))))</x:f>
      </x:c>
      <x:c r="DF117" s="174"/>
      <x:c r="DG117" s="174"/>
      <x:c r="DH117" s="174"/>
      <x:c r="DI117" s="174"/>
      <x:c r="DJ117" s="174"/>
      <x:c r="DK117" s="174"/>
      <x:c r="DL117" s="174"/>
      <x:c r="DM117" s="174"/>
      <x:c r="DN117" s="174"/>
      <x:c r="DO117" s="174"/>
      <x:c r="DP117" s="174"/>
      <x:c r="DQ117" s="174"/>
      <x:c r="DR117" s="174"/>
      <x:c r="DS117" s="174"/>
      <x:c r="DT117" s="174"/>
      <x:c r="DU117" s="174"/>
      <x:c r="DV117" s="174"/>
      <x:c r="DW117" s="174"/>
      <x:c r="DX117" s="174"/>
      <x:c r="DY117" s="174"/>
      <x:c r="DZ117" s="174"/>
      <x:c r="EA117" s="174"/>
      <x:c r="EB117" s="175" t="str">
        <x:f>IF(L117="","",IF(AND(F117="Claim-ready",CJ117="Yes",CL117="Yes",DZ117&lt;&gt;""),"Yes","No / Pending"))</x:f>
      </x:c>
      <x:c r="EC117" s="174"/>
      <x:c r="ED117" s="174"/>
      <x:c r="EE117" s="174"/>
      <x:c r="EF117" s="174"/>
      <x:c r="EG117" s="174"/>
      <x:c r="EH117" s="177"/>
      <x:c r="EI117" s="174"/>
      <x:c r="EJ117" s="174"/>
      <x:c r="EK117" s="174"/>
      <x:c r="EL117" s="177"/>
      <x:c r="EM117" s="174"/>
      <x:c r="EN117" s="181" t="str">
        <x:f>IF(L117="","",(IF(N117&lt;&gt;"",1,0)+IF(O117&lt;&gt;"",1,0)+IF(AJ117&lt;&gt;"",1,0)+IF(AU117&lt;&gt;"",1,0)+IF(BE117&lt;&gt;"",1,0)+IF(CF117&lt;&gt;"",1,0)+IF(CJ117="Yes",1,0)+IF(CL117="Yes",1,0)+IF(DE117&lt;&gt;"Pending",1,0)+IF(F117&lt;&gt;"",1,0)+IF(DZ117&lt;&gt;"",1,0)+IF(EI117&lt;&gt;"",1,0))/12)</x:f>
      </x:c>
    </x:row>
    <x:row r="118">
      <x:c r="A118" s="175" t="str">
        <x:f>IF(L118="","","EV-"&amp;TEXT(ROW()-3,"0000"))</x:f>
      </x:c>
      <x:c r="B118" s="174"/>
      <x:c r="C118" s="175" t="str">
        <x:f>IF(L118="","",IF(OR(CM118="Retracted",CN118="Retracted",F118="Not used"),"🔴 Do not use for conclusion",IF(OR(R118="Official / Institutional",I118="Official / contextual"),"🔵 Official / contextual",IF(OR(I118="Definition",I118="Framework",I118="Paradigm shift"),"🟣 Conceptual key source",IF(AND(CJ118="Yes",CL118="Yes",OR(CG118="High",CG118="Moderate"),CH118&lt;&gt;"High",CH118&lt;&gt;"Critical",F118="Claim-ready"),"🟢 Claim-ready","🟡 Caution / context")))))</x:f>
      </x:c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6"/>
      <x:c r="P118" s="174"/>
      <x:c r="Q118" s="174"/>
      <x:c r="R118" s="174"/>
      <x:c r="S118" s="174"/>
      <x:c r="T118" s="174"/>
      <x:c r="U118" s="174"/>
      <x:c r="V118" s="174"/>
      <x:c r="W118" s="175" t="str">
        <x:f>IF(V118="","",LOWER(SUBSTITUTE(SUBSTITUTE(SUBSTITUTE(SUBSTITUTE(TRIM(V118),"https://doi.org/",""),"http://doi.org/",""),"https://dx.doi.org/",""),"doi:","")))</x:f>
      </x:c>
      <x:c r="X118" s="174"/>
      <x:c r="Y118" s="174"/>
      <x:c r="Z118" s="174"/>
      <x:c r="AA118" s="174"/>
      <x:c r="AB118" s="174"/>
      <x:c r="AC118" s="174"/>
      <x:c r="AD118" s="177"/>
      <x:c r="AE118" s="177"/>
      <x:c r="AF118" s="174"/>
      <x:c r="AG118" s="174"/>
      <x:c r="AH118" s="174"/>
      <x:c r="AI118" s="174"/>
      <x:c r="AJ118" s="174"/>
      <x:c r="AK118" s="175" t="str">
        <x:f>IF(AJ118="","",IF(OR(LOWER(AJ118)="brazil",LOWER(AJ118)="brasil"),"Yes","No"))</x:f>
      </x:c>
      <x:c r="AL118" s="174"/>
      <x:c r="AM118" s="174"/>
      <x:c r="AN118" s="174"/>
      <x:c r="AO118" s="178"/>
      <x:c r="AP118" s="174"/>
      <x:c r="AQ118" s="174"/>
      <x:c r="AR118" s="174"/>
      <x:c r="AS118" s="174"/>
      <x:c r="AT118" s="174"/>
      <x:c r="AU118" s="174"/>
      <x:c r="AV118" s="174"/>
      <x:c r="AW118" s="174"/>
      <x:c r="AX118" s="174"/>
      <x:c r="AY118" s="174"/>
      <x:c r="AZ118" s="174"/>
      <x:c r="BA118" s="174"/>
      <x:c r="BB118" s="174"/>
      <x:c r="BC118" s="174"/>
      <x:c r="BD118" s="174"/>
      <x:c r="BE118" s="174"/>
      <x:c r="BF118" s="174"/>
      <x:c r="BG118" s="174"/>
      <x:c r="BH118" s="174"/>
      <x:c r="BI118" s="174"/>
      <x:c r="BJ118" s="174"/>
      <x:c r="BK118" s="174"/>
      <x:c r="BL118" s="174"/>
      <x:c r="BM118" s="174"/>
      <x:c r="BN118" s="174"/>
      <x:c r="BO118" s="174"/>
      <x:c r="BP118" s="174"/>
      <x:c r="BQ118" s="174"/>
      <x:c r="BR118" s="174"/>
      <x:c r="BS118" s="174"/>
      <x:c r="BT118" s="174"/>
      <x:c r="BU118" s="174"/>
      <x:c r="BV118" s="174"/>
      <x:c r="BW118" s="174"/>
      <x:c r="BX118" s="174"/>
      <x:c r="BY118" s="174"/>
      <x:c r="BZ118" s="174"/>
      <x:c r="CA118" s="174"/>
      <x:c r="CB118" s="174"/>
      <x:c r="CC118" s="174"/>
      <x:c r="CD118" s="174"/>
      <x:c r="CE118" s="174"/>
      <x:c r="CF118" s="174"/>
      <x:c r="CG118" s="174"/>
      <x:c r="CH118" s="174"/>
      <x:c r="CI118" s="179"/>
      <x:c r="CJ118" s="174"/>
      <x:c r="CK118" s="174"/>
      <x:c r="CL118" s="174"/>
      <x:c r="CM118" s="174"/>
      <x:c r="CN118" s="174"/>
      <x:c r="CO118" s="177"/>
      <x:c r="CP118" s="174"/>
      <x:c r="CQ118" s="174"/>
      <x:c r="CR118" s="174"/>
      <x:c r="CS118" s="174"/>
      <x:c r="CT118" s="174"/>
      <x:c r="CU118" s="176"/>
      <x:c r="CV118" s="176"/>
      <x:c r="CW118" s="176"/>
      <x:c r="CX118" s="176"/>
      <x:c r="CY118" s="176"/>
      <x:c r="CZ118" s="176"/>
      <x:c r="DA118" s="176"/>
      <x:c r="DB118" s="175" t="str">
        <x:f>IF(L118="","",IF(COUNT(CU118:DA118)&lt;7,"",SUM(CU118:DA118)))</x:f>
      </x:c>
      <x:c r="DC118" s="180" t="str">
        <x:f>IF(DB118="","",ROUND(DB118/14*10,1))</x:f>
      </x:c>
      <x:c r="DD118" s="174"/>
      <x:c r="DE118" s="175" t="str">
        <x:f>IF(L118="","",IF(DC118="","Pending",IF(DD118="Yes","CONDITIONAL — safety override",IF(DC118&gt;=8,"HIGH",IF(DC118&gt;=5,"CONDITIONAL","LOW")))))</x:f>
      </x:c>
      <x:c r="DF118" s="174"/>
      <x:c r="DG118" s="174"/>
      <x:c r="DH118" s="174"/>
      <x:c r="DI118" s="174"/>
      <x:c r="DJ118" s="174"/>
      <x:c r="DK118" s="174"/>
      <x:c r="DL118" s="174"/>
      <x:c r="DM118" s="174"/>
      <x:c r="DN118" s="174"/>
      <x:c r="DO118" s="174"/>
      <x:c r="DP118" s="174"/>
      <x:c r="DQ118" s="174"/>
      <x:c r="DR118" s="174"/>
      <x:c r="DS118" s="174"/>
      <x:c r="DT118" s="174"/>
      <x:c r="DU118" s="174"/>
      <x:c r="DV118" s="174"/>
      <x:c r="DW118" s="174"/>
      <x:c r="DX118" s="174"/>
      <x:c r="DY118" s="174"/>
      <x:c r="DZ118" s="174"/>
      <x:c r="EA118" s="174"/>
      <x:c r="EB118" s="175" t="str">
        <x:f>IF(L118="","",IF(AND(F118="Claim-ready",CJ118="Yes",CL118="Yes",DZ118&lt;&gt;""),"Yes","No / Pending"))</x:f>
      </x:c>
      <x:c r="EC118" s="174"/>
      <x:c r="ED118" s="174"/>
      <x:c r="EE118" s="174"/>
      <x:c r="EF118" s="174"/>
      <x:c r="EG118" s="174"/>
      <x:c r="EH118" s="177"/>
      <x:c r="EI118" s="174"/>
      <x:c r="EJ118" s="174"/>
      <x:c r="EK118" s="174"/>
      <x:c r="EL118" s="177"/>
      <x:c r="EM118" s="174"/>
      <x:c r="EN118" s="181" t="str">
        <x:f>IF(L118="","",(IF(N118&lt;&gt;"",1,0)+IF(O118&lt;&gt;"",1,0)+IF(AJ118&lt;&gt;"",1,0)+IF(AU118&lt;&gt;"",1,0)+IF(BE118&lt;&gt;"",1,0)+IF(CF118&lt;&gt;"",1,0)+IF(CJ118="Yes",1,0)+IF(CL118="Yes",1,0)+IF(DE118&lt;&gt;"Pending",1,0)+IF(F118&lt;&gt;"",1,0)+IF(DZ118&lt;&gt;"",1,0)+IF(EI118&lt;&gt;"",1,0))/12)</x:f>
      </x:c>
    </x:row>
    <x:row r="119">
      <x:c r="A119" s="175" t="str">
        <x:f>IF(L119="","","EV-"&amp;TEXT(ROW()-3,"0000"))</x:f>
      </x:c>
      <x:c r="B119" s="174"/>
      <x:c r="C119" s="175" t="str">
        <x:f>IF(L119="","",IF(OR(CM119="Retracted",CN119="Retracted",F119="Not used"),"🔴 Do not use for conclusion",IF(OR(R119="Official / Institutional",I119="Official / contextual"),"🔵 Official / contextual",IF(OR(I119="Definition",I119="Framework",I119="Paradigm shift"),"🟣 Conceptual key source",IF(AND(CJ119="Yes",CL119="Yes",OR(CG119="High",CG119="Moderate"),CH119&lt;&gt;"High",CH119&lt;&gt;"Critical",F119="Claim-ready"),"🟢 Claim-ready","🟡 Caution / context")))))</x:f>
      </x:c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6"/>
      <x:c r="P119" s="174"/>
      <x:c r="Q119" s="174"/>
      <x:c r="R119" s="174"/>
      <x:c r="S119" s="174"/>
      <x:c r="T119" s="174"/>
      <x:c r="U119" s="174"/>
      <x:c r="V119" s="174"/>
      <x:c r="W119" s="175" t="str">
        <x:f>IF(V119="","",LOWER(SUBSTITUTE(SUBSTITUTE(SUBSTITUTE(SUBSTITUTE(TRIM(V119),"https://doi.org/",""),"http://doi.org/",""),"https://dx.doi.org/",""),"doi:","")))</x:f>
      </x:c>
      <x:c r="X119" s="174"/>
      <x:c r="Y119" s="174"/>
      <x:c r="Z119" s="174"/>
      <x:c r="AA119" s="174"/>
      <x:c r="AB119" s="174"/>
      <x:c r="AC119" s="174"/>
      <x:c r="AD119" s="177"/>
      <x:c r="AE119" s="177"/>
      <x:c r="AF119" s="174"/>
      <x:c r="AG119" s="174"/>
      <x:c r="AH119" s="174"/>
      <x:c r="AI119" s="174"/>
      <x:c r="AJ119" s="174"/>
      <x:c r="AK119" s="175" t="str">
        <x:f>IF(AJ119="","",IF(OR(LOWER(AJ119)="brazil",LOWER(AJ119)="brasil"),"Yes","No"))</x:f>
      </x:c>
      <x:c r="AL119" s="174"/>
      <x:c r="AM119" s="174"/>
      <x:c r="AN119" s="174"/>
      <x:c r="AO119" s="178"/>
      <x:c r="AP119" s="174"/>
      <x:c r="AQ119" s="174"/>
      <x:c r="AR119" s="174"/>
      <x:c r="AS119" s="174"/>
      <x:c r="AT119" s="174"/>
      <x:c r="AU119" s="174"/>
      <x:c r="AV119" s="174"/>
      <x:c r="AW119" s="174"/>
      <x:c r="AX119" s="174"/>
      <x:c r="AY119" s="174"/>
      <x:c r="AZ119" s="174"/>
      <x:c r="BA119" s="174"/>
      <x:c r="BB119" s="174"/>
      <x:c r="BC119" s="174"/>
      <x:c r="BD119" s="174"/>
      <x:c r="BE119" s="174"/>
      <x:c r="BF119" s="174"/>
      <x:c r="BG119" s="174"/>
      <x:c r="BH119" s="174"/>
      <x:c r="BI119" s="174"/>
      <x:c r="BJ119" s="174"/>
      <x:c r="BK119" s="174"/>
      <x:c r="BL119" s="174"/>
      <x:c r="BM119" s="174"/>
      <x:c r="BN119" s="174"/>
      <x:c r="BO119" s="174"/>
      <x:c r="BP119" s="174"/>
      <x:c r="BQ119" s="174"/>
      <x:c r="BR119" s="174"/>
      <x:c r="BS119" s="174"/>
      <x:c r="BT119" s="174"/>
      <x:c r="BU119" s="174"/>
      <x:c r="BV119" s="174"/>
      <x:c r="BW119" s="174"/>
      <x:c r="BX119" s="174"/>
      <x:c r="BY119" s="174"/>
      <x:c r="BZ119" s="174"/>
      <x:c r="CA119" s="174"/>
      <x:c r="CB119" s="174"/>
      <x:c r="CC119" s="174"/>
      <x:c r="CD119" s="174"/>
      <x:c r="CE119" s="174"/>
      <x:c r="CF119" s="174"/>
      <x:c r="CG119" s="174"/>
      <x:c r="CH119" s="174"/>
      <x:c r="CI119" s="179"/>
      <x:c r="CJ119" s="174"/>
      <x:c r="CK119" s="174"/>
      <x:c r="CL119" s="174"/>
      <x:c r="CM119" s="174"/>
      <x:c r="CN119" s="174"/>
      <x:c r="CO119" s="177"/>
      <x:c r="CP119" s="174"/>
      <x:c r="CQ119" s="174"/>
      <x:c r="CR119" s="174"/>
      <x:c r="CS119" s="174"/>
      <x:c r="CT119" s="174"/>
      <x:c r="CU119" s="176"/>
      <x:c r="CV119" s="176"/>
      <x:c r="CW119" s="176"/>
      <x:c r="CX119" s="176"/>
      <x:c r="CY119" s="176"/>
      <x:c r="CZ119" s="176"/>
      <x:c r="DA119" s="176"/>
      <x:c r="DB119" s="175" t="str">
        <x:f>IF(L119="","",IF(COUNT(CU119:DA119)&lt;7,"",SUM(CU119:DA119)))</x:f>
      </x:c>
      <x:c r="DC119" s="180" t="str">
        <x:f>IF(DB119="","",ROUND(DB119/14*10,1))</x:f>
      </x:c>
      <x:c r="DD119" s="174"/>
      <x:c r="DE119" s="175" t="str">
        <x:f>IF(L119="","",IF(DC119="","Pending",IF(DD119="Yes","CONDITIONAL — safety override",IF(DC119&gt;=8,"HIGH",IF(DC119&gt;=5,"CONDITIONAL","LOW")))))</x:f>
      </x:c>
      <x:c r="DF119" s="174"/>
      <x:c r="DG119" s="174"/>
      <x:c r="DH119" s="174"/>
      <x:c r="DI119" s="174"/>
      <x:c r="DJ119" s="174"/>
      <x:c r="DK119" s="174"/>
      <x:c r="DL119" s="174"/>
      <x:c r="DM119" s="174"/>
      <x:c r="DN119" s="174"/>
      <x:c r="DO119" s="174"/>
      <x:c r="DP119" s="174"/>
      <x:c r="DQ119" s="174"/>
      <x:c r="DR119" s="174"/>
      <x:c r="DS119" s="174"/>
      <x:c r="DT119" s="174"/>
      <x:c r="DU119" s="174"/>
      <x:c r="DV119" s="174"/>
      <x:c r="DW119" s="174"/>
      <x:c r="DX119" s="174"/>
      <x:c r="DY119" s="174"/>
      <x:c r="DZ119" s="174"/>
      <x:c r="EA119" s="174"/>
      <x:c r="EB119" s="175" t="str">
        <x:f>IF(L119="","",IF(AND(F119="Claim-ready",CJ119="Yes",CL119="Yes",DZ119&lt;&gt;""),"Yes","No / Pending"))</x:f>
      </x:c>
      <x:c r="EC119" s="174"/>
      <x:c r="ED119" s="174"/>
      <x:c r="EE119" s="174"/>
      <x:c r="EF119" s="174"/>
      <x:c r="EG119" s="174"/>
      <x:c r="EH119" s="177"/>
      <x:c r="EI119" s="174"/>
      <x:c r="EJ119" s="174"/>
      <x:c r="EK119" s="174"/>
      <x:c r="EL119" s="177"/>
      <x:c r="EM119" s="174"/>
      <x:c r="EN119" s="181" t="str">
        <x:f>IF(L119="","",(IF(N119&lt;&gt;"",1,0)+IF(O119&lt;&gt;"",1,0)+IF(AJ119&lt;&gt;"",1,0)+IF(AU119&lt;&gt;"",1,0)+IF(BE119&lt;&gt;"",1,0)+IF(CF119&lt;&gt;"",1,0)+IF(CJ119="Yes",1,0)+IF(CL119="Yes",1,0)+IF(DE119&lt;&gt;"Pending",1,0)+IF(F119&lt;&gt;"",1,0)+IF(DZ119&lt;&gt;"",1,0)+IF(EI119&lt;&gt;"",1,0))/12)</x:f>
      </x:c>
    </x:row>
    <x:row r="120">
      <x:c r="A120" s="175" t="str">
        <x:f>IF(L120="","","EV-"&amp;TEXT(ROW()-3,"0000"))</x:f>
      </x:c>
      <x:c r="B120" s="174"/>
      <x:c r="C120" s="175" t="str">
        <x:f>IF(L120="","",IF(OR(CM120="Retracted",CN120="Retracted",F120="Not used"),"🔴 Do not use for conclusion",IF(OR(R120="Official / Institutional",I120="Official / contextual"),"🔵 Official / contextual",IF(OR(I120="Definition",I120="Framework",I120="Paradigm shift"),"🟣 Conceptual key source",IF(AND(CJ120="Yes",CL120="Yes",OR(CG120="High",CG120="Moderate"),CH120&lt;&gt;"High",CH120&lt;&gt;"Critical",F120="Claim-ready"),"🟢 Claim-ready","🟡 Caution / context")))))</x:f>
      </x:c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6"/>
      <x:c r="P120" s="174"/>
      <x:c r="Q120" s="174"/>
      <x:c r="R120" s="174"/>
      <x:c r="S120" s="174"/>
      <x:c r="T120" s="174"/>
      <x:c r="U120" s="174"/>
      <x:c r="V120" s="174"/>
      <x:c r="W120" s="175" t="str">
        <x:f>IF(V120="","",LOWER(SUBSTITUTE(SUBSTITUTE(SUBSTITUTE(SUBSTITUTE(TRIM(V120),"https://doi.org/",""),"http://doi.org/",""),"https://dx.doi.org/",""),"doi:","")))</x:f>
      </x:c>
      <x:c r="X120" s="174"/>
      <x:c r="Y120" s="174"/>
      <x:c r="Z120" s="174"/>
      <x:c r="AA120" s="174"/>
      <x:c r="AB120" s="174"/>
      <x:c r="AC120" s="174"/>
      <x:c r="AD120" s="177"/>
      <x:c r="AE120" s="177"/>
      <x:c r="AF120" s="174"/>
      <x:c r="AG120" s="174"/>
      <x:c r="AH120" s="174"/>
      <x:c r="AI120" s="174"/>
      <x:c r="AJ120" s="174"/>
      <x:c r="AK120" s="175" t="str">
        <x:f>IF(AJ120="","",IF(OR(LOWER(AJ120)="brazil",LOWER(AJ120)="brasil"),"Yes","No"))</x:f>
      </x:c>
      <x:c r="AL120" s="174"/>
      <x:c r="AM120" s="174"/>
      <x:c r="AN120" s="174"/>
      <x:c r="AO120" s="178"/>
      <x:c r="AP120" s="174"/>
      <x:c r="AQ120" s="174"/>
      <x:c r="AR120" s="174"/>
      <x:c r="AS120" s="174"/>
      <x:c r="AT120" s="174"/>
      <x:c r="AU120" s="174"/>
      <x:c r="AV120" s="174"/>
      <x:c r="AW120" s="174"/>
      <x:c r="AX120" s="174"/>
      <x:c r="AY120" s="174"/>
      <x:c r="AZ120" s="174"/>
      <x:c r="BA120" s="174"/>
      <x:c r="BB120" s="174"/>
      <x:c r="BC120" s="174"/>
      <x:c r="BD120" s="174"/>
      <x:c r="BE120" s="174"/>
      <x:c r="BF120" s="174"/>
      <x:c r="BG120" s="174"/>
      <x:c r="BH120" s="174"/>
      <x:c r="BI120" s="174"/>
      <x:c r="BJ120" s="174"/>
      <x:c r="BK120" s="174"/>
      <x:c r="BL120" s="174"/>
      <x:c r="BM120" s="174"/>
      <x:c r="BN120" s="174"/>
      <x:c r="BO120" s="174"/>
      <x:c r="BP120" s="174"/>
      <x:c r="BQ120" s="174"/>
      <x:c r="BR120" s="174"/>
      <x:c r="BS120" s="174"/>
      <x:c r="BT120" s="174"/>
      <x:c r="BU120" s="174"/>
      <x:c r="BV120" s="174"/>
      <x:c r="BW120" s="174"/>
      <x:c r="BX120" s="174"/>
      <x:c r="BY120" s="174"/>
      <x:c r="BZ120" s="174"/>
      <x:c r="CA120" s="174"/>
      <x:c r="CB120" s="174"/>
      <x:c r="CC120" s="174"/>
      <x:c r="CD120" s="174"/>
      <x:c r="CE120" s="174"/>
      <x:c r="CF120" s="174"/>
      <x:c r="CG120" s="174"/>
      <x:c r="CH120" s="174"/>
      <x:c r="CI120" s="179"/>
      <x:c r="CJ120" s="174"/>
      <x:c r="CK120" s="174"/>
      <x:c r="CL120" s="174"/>
      <x:c r="CM120" s="174"/>
      <x:c r="CN120" s="174"/>
      <x:c r="CO120" s="177"/>
      <x:c r="CP120" s="174"/>
      <x:c r="CQ120" s="174"/>
      <x:c r="CR120" s="174"/>
      <x:c r="CS120" s="174"/>
      <x:c r="CT120" s="174"/>
      <x:c r="CU120" s="176"/>
      <x:c r="CV120" s="176"/>
      <x:c r="CW120" s="176"/>
      <x:c r="CX120" s="176"/>
      <x:c r="CY120" s="176"/>
      <x:c r="CZ120" s="176"/>
      <x:c r="DA120" s="176"/>
      <x:c r="DB120" s="175" t="str">
        <x:f>IF(L120="","",IF(COUNT(CU120:DA120)&lt;7,"",SUM(CU120:DA120)))</x:f>
      </x:c>
      <x:c r="DC120" s="180" t="str">
        <x:f>IF(DB120="","",ROUND(DB120/14*10,1))</x:f>
      </x:c>
      <x:c r="DD120" s="174"/>
      <x:c r="DE120" s="175" t="str">
        <x:f>IF(L120="","",IF(DC120="","Pending",IF(DD120="Yes","CONDITIONAL — safety override",IF(DC120&gt;=8,"HIGH",IF(DC120&gt;=5,"CONDITIONAL","LOW")))))</x:f>
      </x:c>
      <x:c r="DF120" s="174"/>
      <x:c r="DG120" s="174"/>
      <x:c r="DH120" s="174"/>
      <x:c r="DI120" s="174"/>
      <x:c r="DJ120" s="174"/>
      <x:c r="DK120" s="174"/>
      <x:c r="DL120" s="174"/>
      <x:c r="DM120" s="174"/>
      <x:c r="DN120" s="174"/>
      <x:c r="DO120" s="174"/>
      <x:c r="DP120" s="174"/>
      <x:c r="DQ120" s="174"/>
      <x:c r="DR120" s="174"/>
      <x:c r="DS120" s="174"/>
      <x:c r="DT120" s="174"/>
      <x:c r="DU120" s="174"/>
      <x:c r="DV120" s="174"/>
      <x:c r="DW120" s="174"/>
      <x:c r="DX120" s="174"/>
      <x:c r="DY120" s="174"/>
      <x:c r="DZ120" s="174"/>
      <x:c r="EA120" s="174"/>
      <x:c r="EB120" s="175" t="str">
        <x:f>IF(L120="","",IF(AND(F120="Claim-ready",CJ120="Yes",CL120="Yes",DZ120&lt;&gt;""),"Yes","No / Pending"))</x:f>
      </x:c>
      <x:c r="EC120" s="174"/>
      <x:c r="ED120" s="174"/>
      <x:c r="EE120" s="174"/>
      <x:c r="EF120" s="174"/>
      <x:c r="EG120" s="174"/>
      <x:c r="EH120" s="177"/>
      <x:c r="EI120" s="174"/>
      <x:c r="EJ120" s="174"/>
      <x:c r="EK120" s="174"/>
      <x:c r="EL120" s="177"/>
      <x:c r="EM120" s="174"/>
      <x:c r="EN120" s="181" t="str">
        <x:f>IF(L120="","",(IF(N120&lt;&gt;"",1,0)+IF(O120&lt;&gt;"",1,0)+IF(AJ120&lt;&gt;"",1,0)+IF(AU120&lt;&gt;"",1,0)+IF(BE120&lt;&gt;"",1,0)+IF(CF120&lt;&gt;"",1,0)+IF(CJ120="Yes",1,0)+IF(CL120="Yes",1,0)+IF(DE120&lt;&gt;"Pending",1,0)+IF(F120&lt;&gt;"",1,0)+IF(DZ120&lt;&gt;"",1,0)+IF(EI120&lt;&gt;"",1,0))/12)</x:f>
      </x:c>
    </x:row>
    <x:row r="121">
      <x:c r="A121" s="175" t="str">
        <x:f>IF(L121="","","EV-"&amp;TEXT(ROW()-3,"0000"))</x:f>
      </x:c>
      <x:c r="B121" s="174"/>
      <x:c r="C121" s="175" t="str">
        <x:f>IF(L121="","",IF(OR(CM121="Retracted",CN121="Retracted",F121="Not used"),"🔴 Do not use for conclusion",IF(OR(R121="Official / Institutional",I121="Official / contextual"),"🔵 Official / contextual",IF(OR(I121="Definition",I121="Framework",I121="Paradigm shift"),"🟣 Conceptual key source",IF(AND(CJ121="Yes",CL121="Yes",OR(CG121="High",CG121="Moderate"),CH121&lt;&gt;"High",CH121&lt;&gt;"Critical",F121="Claim-ready"),"🟢 Claim-ready","🟡 Caution / context")))))</x:f>
      </x:c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6"/>
      <x:c r="P121" s="174"/>
      <x:c r="Q121" s="174"/>
      <x:c r="R121" s="174"/>
      <x:c r="S121" s="174"/>
      <x:c r="T121" s="174"/>
      <x:c r="U121" s="174"/>
      <x:c r="V121" s="174"/>
      <x:c r="W121" s="175" t="str">
        <x:f>IF(V121="","",LOWER(SUBSTITUTE(SUBSTITUTE(SUBSTITUTE(SUBSTITUTE(TRIM(V121),"https://doi.org/",""),"http://doi.org/",""),"https://dx.doi.org/",""),"doi:","")))</x:f>
      </x:c>
      <x:c r="X121" s="174"/>
      <x:c r="Y121" s="174"/>
      <x:c r="Z121" s="174"/>
      <x:c r="AA121" s="174"/>
      <x:c r="AB121" s="174"/>
      <x:c r="AC121" s="174"/>
      <x:c r="AD121" s="177"/>
      <x:c r="AE121" s="177"/>
      <x:c r="AF121" s="174"/>
      <x:c r="AG121" s="174"/>
      <x:c r="AH121" s="174"/>
      <x:c r="AI121" s="174"/>
      <x:c r="AJ121" s="174"/>
      <x:c r="AK121" s="175" t="str">
        <x:f>IF(AJ121="","",IF(OR(LOWER(AJ121)="brazil",LOWER(AJ121)="brasil"),"Yes","No"))</x:f>
      </x:c>
      <x:c r="AL121" s="174"/>
      <x:c r="AM121" s="174"/>
      <x:c r="AN121" s="174"/>
      <x:c r="AO121" s="178"/>
      <x:c r="AP121" s="174"/>
      <x:c r="AQ121" s="174"/>
      <x:c r="AR121" s="174"/>
      <x:c r="AS121" s="174"/>
      <x:c r="AT121" s="174"/>
      <x:c r="AU121" s="174"/>
      <x:c r="AV121" s="174"/>
      <x:c r="AW121" s="174"/>
      <x:c r="AX121" s="174"/>
      <x:c r="AY121" s="174"/>
      <x:c r="AZ121" s="174"/>
      <x:c r="BA121" s="174"/>
      <x:c r="BB121" s="174"/>
      <x:c r="BC121" s="174"/>
      <x:c r="BD121" s="174"/>
      <x:c r="BE121" s="174"/>
      <x:c r="BF121" s="174"/>
      <x:c r="BG121" s="174"/>
      <x:c r="BH121" s="174"/>
      <x:c r="BI121" s="174"/>
      <x:c r="BJ121" s="174"/>
      <x:c r="BK121" s="174"/>
      <x:c r="BL121" s="174"/>
      <x:c r="BM121" s="174"/>
      <x:c r="BN121" s="174"/>
      <x:c r="BO121" s="174"/>
      <x:c r="BP121" s="174"/>
      <x:c r="BQ121" s="174"/>
      <x:c r="BR121" s="174"/>
      <x:c r="BS121" s="174"/>
      <x:c r="BT121" s="174"/>
      <x:c r="BU121" s="174"/>
      <x:c r="BV121" s="174"/>
      <x:c r="BW121" s="174"/>
      <x:c r="BX121" s="174"/>
      <x:c r="BY121" s="174"/>
      <x:c r="BZ121" s="174"/>
      <x:c r="CA121" s="174"/>
      <x:c r="CB121" s="174"/>
      <x:c r="CC121" s="174"/>
      <x:c r="CD121" s="174"/>
      <x:c r="CE121" s="174"/>
      <x:c r="CF121" s="174"/>
      <x:c r="CG121" s="174"/>
      <x:c r="CH121" s="174"/>
      <x:c r="CI121" s="179"/>
      <x:c r="CJ121" s="174"/>
      <x:c r="CK121" s="174"/>
      <x:c r="CL121" s="174"/>
      <x:c r="CM121" s="174"/>
      <x:c r="CN121" s="174"/>
      <x:c r="CO121" s="177"/>
      <x:c r="CP121" s="174"/>
      <x:c r="CQ121" s="174"/>
      <x:c r="CR121" s="174"/>
      <x:c r="CS121" s="174"/>
      <x:c r="CT121" s="174"/>
      <x:c r="CU121" s="176"/>
      <x:c r="CV121" s="176"/>
      <x:c r="CW121" s="176"/>
      <x:c r="CX121" s="176"/>
      <x:c r="CY121" s="176"/>
      <x:c r="CZ121" s="176"/>
      <x:c r="DA121" s="176"/>
      <x:c r="DB121" s="175" t="str">
        <x:f>IF(L121="","",IF(COUNT(CU121:DA121)&lt;7,"",SUM(CU121:DA121)))</x:f>
      </x:c>
      <x:c r="DC121" s="180" t="str">
        <x:f>IF(DB121="","",ROUND(DB121/14*10,1))</x:f>
      </x:c>
      <x:c r="DD121" s="174"/>
      <x:c r="DE121" s="175" t="str">
        <x:f>IF(L121="","",IF(DC121="","Pending",IF(DD121="Yes","CONDITIONAL — safety override",IF(DC121&gt;=8,"HIGH",IF(DC121&gt;=5,"CONDITIONAL","LOW")))))</x:f>
      </x:c>
      <x:c r="DF121" s="174"/>
      <x:c r="DG121" s="174"/>
      <x:c r="DH121" s="174"/>
      <x:c r="DI121" s="174"/>
      <x:c r="DJ121" s="174"/>
      <x:c r="DK121" s="174"/>
      <x:c r="DL121" s="174"/>
      <x:c r="DM121" s="174"/>
      <x:c r="DN121" s="174"/>
      <x:c r="DO121" s="174"/>
      <x:c r="DP121" s="174"/>
      <x:c r="DQ121" s="174"/>
      <x:c r="DR121" s="174"/>
      <x:c r="DS121" s="174"/>
      <x:c r="DT121" s="174"/>
      <x:c r="DU121" s="174"/>
      <x:c r="DV121" s="174"/>
      <x:c r="DW121" s="174"/>
      <x:c r="DX121" s="174"/>
      <x:c r="DY121" s="174"/>
      <x:c r="DZ121" s="174"/>
      <x:c r="EA121" s="174"/>
      <x:c r="EB121" s="175" t="str">
        <x:f>IF(L121="","",IF(AND(F121="Claim-ready",CJ121="Yes",CL121="Yes",DZ121&lt;&gt;""),"Yes","No / Pending"))</x:f>
      </x:c>
      <x:c r="EC121" s="174"/>
      <x:c r="ED121" s="174"/>
      <x:c r="EE121" s="174"/>
      <x:c r="EF121" s="174"/>
      <x:c r="EG121" s="174"/>
      <x:c r="EH121" s="177"/>
      <x:c r="EI121" s="174"/>
      <x:c r="EJ121" s="174"/>
      <x:c r="EK121" s="174"/>
      <x:c r="EL121" s="177"/>
      <x:c r="EM121" s="174"/>
      <x:c r="EN121" s="181" t="str">
        <x:f>IF(L121="","",(IF(N121&lt;&gt;"",1,0)+IF(O121&lt;&gt;"",1,0)+IF(AJ121&lt;&gt;"",1,0)+IF(AU121&lt;&gt;"",1,0)+IF(BE121&lt;&gt;"",1,0)+IF(CF121&lt;&gt;"",1,0)+IF(CJ121="Yes",1,0)+IF(CL121="Yes",1,0)+IF(DE121&lt;&gt;"Pending",1,0)+IF(F121&lt;&gt;"",1,0)+IF(DZ121&lt;&gt;"",1,0)+IF(EI121&lt;&gt;"",1,0))/12)</x:f>
      </x:c>
    </x:row>
    <x:row r="122">
      <x:c r="A122" s="175" t="str">
        <x:f>IF(L122="","","EV-"&amp;TEXT(ROW()-3,"0000"))</x:f>
      </x:c>
      <x:c r="B122" s="174"/>
      <x:c r="C122" s="175" t="str">
        <x:f>IF(L122="","",IF(OR(CM122="Retracted",CN122="Retracted",F122="Not used"),"🔴 Do not use for conclusion",IF(OR(R122="Official / Institutional",I122="Official / contextual"),"🔵 Official / contextual",IF(OR(I122="Definition",I122="Framework",I122="Paradigm shift"),"🟣 Conceptual key source",IF(AND(CJ122="Yes",CL122="Yes",OR(CG122="High",CG122="Moderate"),CH122&lt;&gt;"High",CH122&lt;&gt;"Critical",F122="Claim-ready"),"🟢 Claim-ready","🟡 Caution / context")))))</x:f>
      </x:c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6"/>
      <x:c r="P122" s="174"/>
      <x:c r="Q122" s="174"/>
      <x:c r="R122" s="174"/>
      <x:c r="S122" s="174"/>
      <x:c r="T122" s="174"/>
      <x:c r="U122" s="174"/>
      <x:c r="V122" s="174"/>
      <x:c r="W122" s="175" t="str">
        <x:f>IF(V122="","",LOWER(SUBSTITUTE(SUBSTITUTE(SUBSTITUTE(SUBSTITUTE(TRIM(V122),"https://doi.org/",""),"http://doi.org/",""),"https://dx.doi.org/",""),"doi:","")))</x:f>
      </x:c>
      <x:c r="X122" s="174"/>
      <x:c r="Y122" s="174"/>
      <x:c r="Z122" s="174"/>
      <x:c r="AA122" s="174"/>
      <x:c r="AB122" s="174"/>
      <x:c r="AC122" s="174"/>
      <x:c r="AD122" s="177"/>
      <x:c r="AE122" s="177"/>
      <x:c r="AF122" s="174"/>
      <x:c r="AG122" s="174"/>
      <x:c r="AH122" s="174"/>
      <x:c r="AI122" s="174"/>
      <x:c r="AJ122" s="174"/>
      <x:c r="AK122" s="175" t="str">
        <x:f>IF(AJ122="","",IF(OR(LOWER(AJ122)="brazil",LOWER(AJ122)="brasil"),"Yes","No"))</x:f>
      </x:c>
      <x:c r="AL122" s="174"/>
      <x:c r="AM122" s="174"/>
      <x:c r="AN122" s="174"/>
      <x:c r="AO122" s="178"/>
      <x:c r="AP122" s="174"/>
      <x:c r="AQ122" s="174"/>
      <x:c r="AR122" s="174"/>
      <x:c r="AS122" s="174"/>
      <x:c r="AT122" s="174"/>
      <x:c r="AU122" s="174"/>
      <x:c r="AV122" s="174"/>
      <x:c r="AW122" s="174"/>
      <x:c r="AX122" s="174"/>
      <x:c r="AY122" s="174"/>
      <x:c r="AZ122" s="174"/>
      <x:c r="BA122" s="174"/>
      <x:c r="BB122" s="174"/>
      <x:c r="BC122" s="174"/>
      <x:c r="BD122" s="174"/>
      <x:c r="BE122" s="174"/>
      <x:c r="BF122" s="174"/>
      <x:c r="BG122" s="174"/>
      <x:c r="BH122" s="174"/>
      <x:c r="BI122" s="174"/>
      <x:c r="BJ122" s="174"/>
      <x:c r="BK122" s="174"/>
      <x:c r="BL122" s="174"/>
      <x:c r="BM122" s="174"/>
      <x:c r="BN122" s="174"/>
      <x:c r="BO122" s="174"/>
      <x:c r="BP122" s="174"/>
      <x:c r="BQ122" s="174"/>
      <x:c r="BR122" s="174"/>
      <x:c r="BS122" s="174"/>
      <x:c r="BT122" s="174"/>
      <x:c r="BU122" s="174"/>
      <x:c r="BV122" s="174"/>
      <x:c r="BW122" s="174"/>
      <x:c r="BX122" s="174"/>
      <x:c r="BY122" s="174"/>
      <x:c r="BZ122" s="174"/>
      <x:c r="CA122" s="174"/>
      <x:c r="CB122" s="174"/>
      <x:c r="CC122" s="174"/>
      <x:c r="CD122" s="174"/>
      <x:c r="CE122" s="174"/>
      <x:c r="CF122" s="174"/>
      <x:c r="CG122" s="174"/>
      <x:c r="CH122" s="174"/>
      <x:c r="CI122" s="179"/>
      <x:c r="CJ122" s="174"/>
      <x:c r="CK122" s="174"/>
      <x:c r="CL122" s="174"/>
      <x:c r="CM122" s="174"/>
      <x:c r="CN122" s="174"/>
      <x:c r="CO122" s="177"/>
      <x:c r="CP122" s="174"/>
      <x:c r="CQ122" s="174"/>
      <x:c r="CR122" s="174"/>
      <x:c r="CS122" s="174"/>
      <x:c r="CT122" s="174"/>
      <x:c r="CU122" s="176"/>
      <x:c r="CV122" s="176"/>
      <x:c r="CW122" s="176"/>
      <x:c r="CX122" s="176"/>
      <x:c r="CY122" s="176"/>
      <x:c r="CZ122" s="176"/>
      <x:c r="DA122" s="176"/>
      <x:c r="DB122" s="175" t="str">
        <x:f>IF(L122="","",IF(COUNT(CU122:DA122)&lt;7,"",SUM(CU122:DA122)))</x:f>
      </x:c>
      <x:c r="DC122" s="180" t="str">
        <x:f>IF(DB122="","",ROUND(DB122/14*10,1))</x:f>
      </x:c>
      <x:c r="DD122" s="174"/>
      <x:c r="DE122" s="175" t="str">
        <x:f>IF(L122="","",IF(DC122="","Pending",IF(DD122="Yes","CONDITIONAL — safety override",IF(DC122&gt;=8,"HIGH",IF(DC122&gt;=5,"CONDITIONAL","LOW")))))</x:f>
      </x:c>
      <x:c r="DF122" s="174"/>
      <x:c r="DG122" s="174"/>
      <x:c r="DH122" s="174"/>
      <x:c r="DI122" s="174"/>
      <x:c r="DJ122" s="174"/>
      <x:c r="DK122" s="174"/>
      <x:c r="DL122" s="174"/>
      <x:c r="DM122" s="174"/>
      <x:c r="DN122" s="174"/>
      <x:c r="DO122" s="174"/>
      <x:c r="DP122" s="174"/>
      <x:c r="DQ122" s="174"/>
      <x:c r="DR122" s="174"/>
      <x:c r="DS122" s="174"/>
      <x:c r="DT122" s="174"/>
      <x:c r="DU122" s="174"/>
      <x:c r="DV122" s="174"/>
      <x:c r="DW122" s="174"/>
      <x:c r="DX122" s="174"/>
      <x:c r="DY122" s="174"/>
      <x:c r="DZ122" s="174"/>
      <x:c r="EA122" s="174"/>
      <x:c r="EB122" s="175" t="str">
        <x:f>IF(L122="","",IF(AND(F122="Claim-ready",CJ122="Yes",CL122="Yes",DZ122&lt;&gt;""),"Yes","No / Pending"))</x:f>
      </x:c>
      <x:c r="EC122" s="174"/>
      <x:c r="ED122" s="174"/>
      <x:c r="EE122" s="174"/>
      <x:c r="EF122" s="174"/>
      <x:c r="EG122" s="174"/>
      <x:c r="EH122" s="177"/>
      <x:c r="EI122" s="174"/>
      <x:c r="EJ122" s="174"/>
      <x:c r="EK122" s="174"/>
      <x:c r="EL122" s="177"/>
      <x:c r="EM122" s="174"/>
      <x:c r="EN122" s="181" t="str">
        <x:f>IF(L122="","",(IF(N122&lt;&gt;"",1,0)+IF(O122&lt;&gt;"",1,0)+IF(AJ122&lt;&gt;"",1,0)+IF(AU122&lt;&gt;"",1,0)+IF(BE122&lt;&gt;"",1,0)+IF(CF122&lt;&gt;"",1,0)+IF(CJ122="Yes",1,0)+IF(CL122="Yes",1,0)+IF(DE122&lt;&gt;"Pending",1,0)+IF(F122&lt;&gt;"",1,0)+IF(DZ122&lt;&gt;"",1,0)+IF(EI122&lt;&gt;"",1,0))/12)</x:f>
      </x:c>
    </x:row>
    <x:row r="123">
      <x:c r="A123" s="175" t="str">
        <x:f>IF(L123="","","EV-"&amp;TEXT(ROW()-3,"0000"))</x:f>
      </x:c>
      <x:c r="B123" s="174"/>
      <x:c r="C123" s="175" t="str">
        <x:f>IF(L123="","",IF(OR(CM123="Retracted",CN123="Retracted",F123="Not used"),"🔴 Do not use for conclusion",IF(OR(R123="Official / Institutional",I123="Official / contextual"),"🔵 Official / contextual",IF(OR(I123="Definition",I123="Framework",I123="Paradigm shift"),"🟣 Conceptual key source",IF(AND(CJ123="Yes",CL123="Yes",OR(CG123="High",CG123="Moderate"),CH123&lt;&gt;"High",CH123&lt;&gt;"Critical",F123="Claim-ready"),"🟢 Claim-ready","🟡 Caution / context")))))</x:f>
      </x:c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6"/>
      <x:c r="P123" s="174"/>
      <x:c r="Q123" s="174"/>
      <x:c r="R123" s="174"/>
      <x:c r="S123" s="174"/>
      <x:c r="T123" s="174"/>
      <x:c r="U123" s="174"/>
      <x:c r="V123" s="174"/>
      <x:c r="W123" s="175" t="str">
        <x:f>IF(V123="","",LOWER(SUBSTITUTE(SUBSTITUTE(SUBSTITUTE(SUBSTITUTE(TRIM(V123),"https://doi.org/",""),"http://doi.org/",""),"https://dx.doi.org/",""),"doi:","")))</x:f>
      </x:c>
      <x:c r="X123" s="174"/>
      <x:c r="Y123" s="174"/>
      <x:c r="Z123" s="174"/>
      <x:c r="AA123" s="174"/>
      <x:c r="AB123" s="174"/>
      <x:c r="AC123" s="174"/>
      <x:c r="AD123" s="177"/>
      <x:c r="AE123" s="177"/>
      <x:c r="AF123" s="174"/>
      <x:c r="AG123" s="174"/>
      <x:c r="AH123" s="174"/>
      <x:c r="AI123" s="174"/>
      <x:c r="AJ123" s="174"/>
      <x:c r="AK123" s="175" t="str">
        <x:f>IF(AJ123="","",IF(OR(LOWER(AJ123)="brazil",LOWER(AJ123)="brasil"),"Yes","No"))</x:f>
      </x:c>
      <x:c r="AL123" s="174"/>
      <x:c r="AM123" s="174"/>
      <x:c r="AN123" s="174"/>
      <x:c r="AO123" s="178"/>
      <x:c r="AP123" s="174"/>
      <x:c r="AQ123" s="174"/>
      <x:c r="AR123" s="174"/>
      <x:c r="AS123" s="174"/>
      <x:c r="AT123" s="174"/>
      <x:c r="AU123" s="174"/>
      <x:c r="AV123" s="174"/>
      <x:c r="AW123" s="174"/>
      <x:c r="AX123" s="174"/>
      <x:c r="AY123" s="174"/>
      <x:c r="AZ123" s="174"/>
      <x:c r="BA123" s="174"/>
      <x:c r="BB123" s="174"/>
      <x:c r="BC123" s="174"/>
      <x:c r="BD123" s="174"/>
      <x:c r="BE123" s="174"/>
      <x:c r="BF123" s="174"/>
      <x:c r="BG123" s="174"/>
      <x:c r="BH123" s="174"/>
      <x:c r="BI123" s="174"/>
      <x:c r="BJ123" s="174"/>
      <x:c r="BK123" s="174"/>
      <x:c r="BL123" s="174"/>
      <x:c r="BM123" s="174"/>
      <x:c r="BN123" s="174"/>
      <x:c r="BO123" s="174"/>
      <x:c r="BP123" s="174"/>
      <x:c r="BQ123" s="174"/>
      <x:c r="BR123" s="174"/>
      <x:c r="BS123" s="174"/>
      <x:c r="BT123" s="174"/>
      <x:c r="BU123" s="174"/>
      <x:c r="BV123" s="174"/>
      <x:c r="BW123" s="174"/>
      <x:c r="BX123" s="174"/>
      <x:c r="BY123" s="174"/>
      <x:c r="BZ123" s="174"/>
      <x:c r="CA123" s="174"/>
      <x:c r="CB123" s="174"/>
      <x:c r="CC123" s="174"/>
      <x:c r="CD123" s="174"/>
      <x:c r="CE123" s="174"/>
      <x:c r="CF123" s="174"/>
      <x:c r="CG123" s="174"/>
      <x:c r="CH123" s="174"/>
      <x:c r="CI123" s="179"/>
      <x:c r="CJ123" s="174"/>
      <x:c r="CK123" s="174"/>
      <x:c r="CL123" s="174"/>
      <x:c r="CM123" s="174"/>
      <x:c r="CN123" s="174"/>
      <x:c r="CO123" s="177"/>
      <x:c r="CP123" s="174"/>
      <x:c r="CQ123" s="174"/>
      <x:c r="CR123" s="174"/>
      <x:c r="CS123" s="174"/>
      <x:c r="CT123" s="174"/>
      <x:c r="CU123" s="176"/>
      <x:c r="CV123" s="176"/>
      <x:c r="CW123" s="176"/>
      <x:c r="CX123" s="176"/>
      <x:c r="CY123" s="176"/>
      <x:c r="CZ123" s="176"/>
      <x:c r="DA123" s="176"/>
      <x:c r="DB123" s="175" t="str">
        <x:f>IF(L123="","",IF(COUNT(CU123:DA123)&lt;7,"",SUM(CU123:DA123)))</x:f>
      </x:c>
      <x:c r="DC123" s="180" t="str">
        <x:f>IF(DB123="","",ROUND(DB123/14*10,1))</x:f>
      </x:c>
      <x:c r="DD123" s="174"/>
      <x:c r="DE123" s="175" t="str">
        <x:f>IF(L123="","",IF(DC123="","Pending",IF(DD123="Yes","CONDITIONAL — safety override",IF(DC123&gt;=8,"HIGH",IF(DC123&gt;=5,"CONDITIONAL","LOW")))))</x:f>
      </x:c>
      <x:c r="DF123" s="174"/>
      <x:c r="DG123" s="174"/>
      <x:c r="DH123" s="174"/>
      <x:c r="DI123" s="174"/>
      <x:c r="DJ123" s="174"/>
      <x:c r="DK123" s="174"/>
      <x:c r="DL123" s="174"/>
      <x:c r="DM123" s="174"/>
      <x:c r="DN123" s="174"/>
      <x:c r="DO123" s="174"/>
      <x:c r="DP123" s="174"/>
      <x:c r="DQ123" s="174"/>
      <x:c r="DR123" s="174"/>
      <x:c r="DS123" s="174"/>
      <x:c r="DT123" s="174"/>
      <x:c r="DU123" s="174"/>
      <x:c r="DV123" s="174"/>
      <x:c r="DW123" s="174"/>
      <x:c r="DX123" s="174"/>
      <x:c r="DY123" s="174"/>
      <x:c r="DZ123" s="174"/>
      <x:c r="EA123" s="174"/>
      <x:c r="EB123" s="175" t="str">
        <x:f>IF(L123="","",IF(AND(F123="Claim-ready",CJ123="Yes",CL123="Yes",DZ123&lt;&gt;""),"Yes","No / Pending"))</x:f>
      </x:c>
      <x:c r="EC123" s="174"/>
      <x:c r="ED123" s="174"/>
      <x:c r="EE123" s="174"/>
      <x:c r="EF123" s="174"/>
      <x:c r="EG123" s="174"/>
      <x:c r="EH123" s="177"/>
      <x:c r="EI123" s="174"/>
      <x:c r="EJ123" s="174"/>
      <x:c r="EK123" s="174"/>
      <x:c r="EL123" s="177"/>
      <x:c r="EM123" s="174"/>
      <x:c r="EN123" s="181" t="str">
        <x:f>IF(L123="","",(IF(N123&lt;&gt;"",1,0)+IF(O123&lt;&gt;"",1,0)+IF(AJ123&lt;&gt;"",1,0)+IF(AU123&lt;&gt;"",1,0)+IF(BE123&lt;&gt;"",1,0)+IF(CF123&lt;&gt;"",1,0)+IF(CJ123="Yes",1,0)+IF(CL123="Yes",1,0)+IF(DE123&lt;&gt;"Pending",1,0)+IF(F123&lt;&gt;"",1,0)+IF(DZ123&lt;&gt;"",1,0)+IF(EI123&lt;&gt;"",1,0))/12)</x:f>
      </x:c>
    </x:row>
    <x:row r="124">
      <x:c r="A124" s="175" t="str">
        <x:f>IF(L124="","","EV-"&amp;TEXT(ROW()-3,"0000"))</x:f>
      </x:c>
      <x:c r="B124" s="174"/>
      <x:c r="C124" s="175" t="str">
        <x:f>IF(L124="","",IF(OR(CM124="Retracted",CN124="Retracted",F124="Not used"),"🔴 Do not use for conclusion",IF(OR(R124="Official / Institutional",I124="Official / contextual"),"🔵 Official / contextual",IF(OR(I124="Definition",I124="Framework",I124="Paradigm shift"),"🟣 Conceptual key source",IF(AND(CJ124="Yes",CL124="Yes",OR(CG124="High",CG124="Moderate"),CH124&lt;&gt;"High",CH124&lt;&gt;"Critical",F124="Claim-ready"),"🟢 Claim-ready","🟡 Caution / context")))))</x:f>
      </x:c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6"/>
      <x:c r="P124" s="174"/>
      <x:c r="Q124" s="174"/>
      <x:c r="R124" s="174"/>
      <x:c r="S124" s="174"/>
      <x:c r="T124" s="174"/>
      <x:c r="U124" s="174"/>
      <x:c r="V124" s="174"/>
      <x:c r="W124" s="175" t="str">
        <x:f>IF(V124="","",LOWER(SUBSTITUTE(SUBSTITUTE(SUBSTITUTE(SUBSTITUTE(TRIM(V124),"https://doi.org/",""),"http://doi.org/",""),"https://dx.doi.org/",""),"doi:","")))</x:f>
      </x:c>
      <x:c r="X124" s="174"/>
      <x:c r="Y124" s="174"/>
      <x:c r="Z124" s="174"/>
      <x:c r="AA124" s="174"/>
      <x:c r="AB124" s="174"/>
      <x:c r="AC124" s="174"/>
      <x:c r="AD124" s="177"/>
      <x:c r="AE124" s="177"/>
      <x:c r="AF124" s="174"/>
      <x:c r="AG124" s="174"/>
      <x:c r="AH124" s="174"/>
      <x:c r="AI124" s="174"/>
      <x:c r="AJ124" s="174"/>
      <x:c r="AK124" s="175" t="str">
        <x:f>IF(AJ124="","",IF(OR(LOWER(AJ124)="brazil",LOWER(AJ124)="brasil"),"Yes","No"))</x:f>
      </x:c>
      <x:c r="AL124" s="174"/>
      <x:c r="AM124" s="174"/>
      <x:c r="AN124" s="174"/>
      <x:c r="AO124" s="178"/>
      <x:c r="AP124" s="174"/>
      <x:c r="AQ124" s="174"/>
      <x:c r="AR124" s="174"/>
      <x:c r="AS124" s="174"/>
      <x:c r="AT124" s="174"/>
      <x:c r="AU124" s="174"/>
      <x:c r="AV124" s="174"/>
      <x:c r="AW124" s="174"/>
      <x:c r="AX124" s="174"/>
      <x:c r="AY124" s="174"/>
      <x:c r="AZ124" s="174"/>
      <x:c r="BA124" s="174"/>
      <x:c r="BB124" s="174"/>
      <x:c r="BC124" s="174"/>
      <x:c r="BD124" s="174"/>
      <x:c r="BE124" s="174"/>
      <x:c r="BF124" s="174"/>
      <x:c r="BG124" s="174"/>
      <x:c r="BH124" s="174"/>
      <x:c r="BI124" s="174"/>
      <x:c r="BJ124" s="174"/>
      <x:c r="BK124" s="174"/>
      <x:c r="BL124" s="174"/>
      <x:c r="BM124" s="174"/>
      <x:c r="BN124" s="174"/>
      <x:c r="BO124" s="174"/>
      <x:c r="BP124" s="174"/>
      <x:c r="BQ124" s="174"/>
      <x:c r="BR124" s="174"/>
      <x:c r="BS124" s="174"/>
      <x:c r="BT124" s="174"/>
      <x:c r="BU124" s="174"/>
      <x:c r="BV124" s="174"/>
      <x:c r="BW124" s="174"/>
      <x:c r="BX124" s="174"/>
      <x:c r="BY124" s="174"/>
      <x:c r="BZ124" s="174"/>
      <x:c r="CA124" s="174"/>
      <x:c r="CB124" s="174"/>
      <x:c r="CC124" s="174"/>
      <x:c r="CD124" s="174"/>
      <x:c r="CE124" s="174"/>
      <x:c r="CF124" s="174"/>
      <x:c r="CG124" s="174"/>
      <x:c r="CH124" s="174"/>
      <x:c r="CI124" s="179"/>
      <x:c r="CJ124" s="174"/>
      <x:c r="CK124" s="174"/>
      <x:c r="CL124" s="174"/>
      <x:c r="CM124" s="174"/>
      <x:c r="CN124" s="174"/>
      <x:c r="CO124" s="177"/>
      <x:c r="CP124" s="174"/>
      <x:c r="CQ124" s="174"/>
      <x:c r="CR124" s="174"/>
      <x:c r="CS124" s="174"/>
      <x:c r="CT124" s="174"/>
      <x:c r="CU124" s="176"/>
      <x:c r="CV124" s="176"/>
      <x:c r="CW124" s="176"/>
      <x:c r="CX124" s="176"/>
      <x:c r="CY124" s="176"/>
      <x:c r="CZ124" s="176"/>
      <x:c r="DA124" s="176"/>
      <x:c r="DB124" s="175" t="str">
        <x:f>IF(L124="","",IF(COUNT(CU124:DA124)&lt;7,"",SUM(CU124:DA124)))</x:f>
      </x:c>
      <x:c r="DC124" s="180" t="str">
        <x:f>IF(DB124="","",ROUND(DB124/14*10,1))</x:f>
      </x:c>
      <x:c r="DD124" s="174"/>
      <x:c r="DE124" s="175" t="str">
        <x:f>IF(L124="","",IF(DC124="","Pending",IF(DD124="Yes","CONDITIONAL — safety override",IF(DC124&gt;=8,"HIGH",IF(DC124&gt;=5,"CONDITIONAL","LOW")))))</x:f>
      </x:c>
      <x:c r="DF124" s="174"/>
      <x:c r="DG124" s="174"/>
      <x:c r="DH124" s="174"/>
      <x:c r="DI124" s="174"/>
      <x:c r="DJ124" s="174"/>
      <x:c r="DK124" s="174"/>
      <x:c r="DL124" s="174"/>
      <x:c r="DM124" s="174"/>
      <x:c r="DN124" s="174"/>
      <x:c r="DO124" s="174"/>
      <x:c r="DP124" s="174"/>
      <x:c r="DQ124" s="174"/>
      <x:c r="DR124" s="174"/>
      <x:c r="DS124" s="174"/>
      <x:c r="DT124" s="174"/>
      <x:c r="DU124" s="174"/>
      <x:c r="DV124" s="174"/>
      <x:c r="DW124" s="174"/>
      <x:c r="DX124" s="174"/>
      <x:c r="DY124" s="174"/>
      <x:c r="DZ124" s="174"/>
      <x:c r="EA124" s="174"/>
      <x:c r="EB124" s="175" t="str">
        <x:f>IF(L124="","",IF(AND(F124="Claim-ready",CJ124="Yes",CL124="Yes",DZ124&lt;&gt;""),"Yes","No / Pending"))</x:f>
      </x:c>
      <x:c r="EC124" s="174"/>
      <x:c r="ED124" s="174"/>
      <x:c r="EE124" s="174"/>
      <x:c r="EF124" s="174"/>
      <x:c r="EG124" s="174"/>
      <x:c r="EH124" s="177"/>
      <x:c r="EI124" s="174"/>
      <x:c r="EJ124" s="174"/>
      <x:c r="EK124" s="174"/>
      <x:c r="EL124" s="177"/>
      <x:c r="EM124" s="174"/>
      <x:c r="EN124" s="181" t="str">
        <x:f>IF(L124="","",(IF(N124&lt;&gt;"",1,0)+IF(O124&lt;&gt;"",1,0)+IF(AJ124&lt;&gt;"",1,0)+IF(AU124&lt;&gt;"",1,0)+IF(BE124&lt;&gt;"",1,0)+IF(CF124&lt;&gt;"",1,0)+IF(CJ124="Yes",1,0)+IF(CL124="Yes",1,0)+IF(DE124&lt;&gt;"Pending",1,0)+IF(F124&lt;&gt;"",1,0)+IF(DZ124&lt;&gt;"",1,0)+IF(EI124&lt;&gt;"",1,0))/12)</x:f>
      </x:c>
    </x:row>
    <x:row r="125">
      <x:c r="A125" s="175" t="str">
        <x:f>IF(L125="","","EV-"&amp;TEXT(ROW()-3,"0000"))</x:f>
      </x:c>
      <x:c r="B125" s="174"/>
      <x:c r="C125" s="175" t="str">
        <x:f>IF(L125="","",IF(OR(CM125="Retracted",CN125="Retracted",F125="Not used"),"🔴 Do not use for conclusion",IF(OR(R125="Official / Institutional",I125="Official / contextual"),"🔵 Official / contextual",IF(OR(I125="Definition",I125="Framework",I125="Paradigm shift"),"🟣 Conceptual key source",IF(AND(CJ125="Yes",CL125="Yes",OR(CG125="High",CG125="Moderate"),CH125&lt;&gt;"High",CH125&lt;&gt;"Critical",F125="Claim-ready"),"🟢 Claim-ready","🟡 Caution / context")))))</x:f>
      </x:c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6"/>
      <x:c r="P125" s="174"/>
      <x:c r="Q125" s="174"/>
      <x:c r="R125" s="174"/>
      <x:c r="S125" s="174"/>
      <x:c r="T125" s="174"/>
      <x:c r="U125" s="174"/>
      <x:c r="V125" s="174"/>
      <x:c r="W125" s="175" t="str">
        <x:f>IF(V125="","",LOWER(SUBSTITUTE(SUBSTITUTE(SUBSTITUTE(SUBSTITUTE(TRIM(V125),"https://doi.org/",""),"http://doi.org/",""),"https://dx.doi.org/",""),"doi:","")))</x:f>
      </x:c>
      <x:c r="X125" s="174"/>
      <x:c r="Y125" s="174"/>
      <x:c r="Z125" s="174"/>
      <x:c r="AA125" s="174"/>
      <x:c r="AB125" s="174"/>
      <x:c r="AC125" s="174"/>
      <x:c r="AD125" s="177"/>
      <x:c r="AE125" s="177"/>
      <x:c r="AF125" s="174"/>
      <x:c r="AG125" s="174"/>
      <x:c r="AH125" s="174"/>
      <x:c r="AI125" s="174"/>
      <x:c r="AJ125" s="174"/>
      <x:c r="AK125" s="175" t="str">
        <x:f>IF(AJ125="","",IF(OR(LOWER(AJ125)="brazil",LOWER(AJ125)="brasil"),"Yes","No"))</x:f>
      </x:c>
      <x:c r="AL125" s="174"/>
      <x:c r="AM125" s="174"/>
      <x:c r="AN125" s="174"/>
      <x:c r="AO125" s="178"/>
      <x:c r="AP125" s="174"/>
      <x:c r="AQ125" s="174"/>
      <x:c r="AR125" s="174"/>
      <x:c r="AS125" s="174"/>
      <x:c r="AT125" s="174"/>
      <x:c r="AU125" s="174"/>
      <x:c r="AV125" s="174"/>
      <x:c r="AW125" s="174"/>
      <x:c r="AX125" s="174"/>
      <x:c r="AY125" s="174"/>
      <x:c r="AZ125" s="174"/>
      <x:c r="BA125" s="174"/>
      <x:c r="BB125" s="174"/>
      <x:c r="BC125" s="174"/>
      <x:c r="BD125" s="174"/>
      <x:c r="BE125" s="174"/>
      <x:c r="BF125" s="174"/>
      <x:c r="BG125" s="174"/>
      <x:c r="BH125" s="174"/>
      <x:c r="BI125" s="174"/>
      <x:c r="BJ125" s="174"/>
      <x:c r="BK125" s="174"/>
      <x:c r="BL125" s="174"/>
      <x:c r="BM125" s="174"/>
      <x:c r="BN125" s="174"/>
      <x:c r="BO125" s="174"/>
      <x:c r="BP125" s="174"/>
      <x:c r="BQ125" s="174"/>
      <x:c r="BR125" s="174"/>
      <x:c r="BS125" s="174"/>
      <x:c r="BT125" s="174"/>
      <x:c r="BU125" s="174"/>
      <x:c r="BV125" s="174"/>
      <x:c r="BW125" s="174"/>
      <x:c r="BX125" s="174"/>
      <x:c r="BY125" s="174"/>
      <x:c r="BZ125" s="174"/>
      <x:c r="CA125" s="174"/>
      <x:c r="CB125" s="174"/>
      <x:c r="CC125" s="174"/>
      <x:c r="CD125" s="174"/>
      <x:c r="CE125" s="174"/>
      <x:c r="CF125" s="174"/>
      <x:c r="CG125" s="174"/>
      <x:c r="CH125" s="174"/>
      <x:c r="CI125" s="179"/>
      <x:c r="CJ125" s="174"/>
      <x:c r="CK125" s="174"/>
      <x:c r="CL125" s="174"/>
      <x:c r="CM125" s="174"/>
      <x:c r="CN125" s="174"/>
      <x:c r="CO125" s="177"/>
      <x:c r="CP125" s="174"/>
      <x:c r="CQ125" s="174"/>
      <x:c r="CR125" s="174"/>
      <x:c r="CS125" s="174"/>
      <x:c r="CT125" s="174"/>
      <x:c r="CU125" s="176"/>
      <x:c r="CV125" s="176"/>
      <x:c r="CW125" s="176"/>
      <x:c r="CX125" s="176"/>
      <x:c r="CY125" s="176"/>
      <x:c r="CZ125" s="176"/>
      <x:c r="DA125" s="176"/>
      <x:c r="DB125" s="175" t="str">
        <x:f>IF(L125="","",IF(COUNT(CU125:DA125)&lt;7,"",SUM(CU125:DA125)))</x:f>
      </x:c>
      <x:c r="DC125" s="180" t="str">
        <x:f>IF(DB125="","",ROUND(DB125/14*10,1))</x:f>
      </x:c>
      <x:c r="DD125" s="174"/>
      <x:c r="DE125" s="175" t="str">
        <x:f>IF(L125="","",IF(DC125="","Pending",IF(DD125="Yes","CONDITIONAL — safety override",IF(DC125&gt;=8,"HIGH",IF(DC125&gt;=5,"CONDITIONAL","LOW")))))</x:f>
      </x:c>
      <x:c r="DF125" s="174"/>
      <x:c r="DG125" s="174"/>
      <x:c r="DH125" s="174"/>
      <x:c r="DI125" s="174"/>
      <x:c r="DJ125" s="174"/>
      <x:c r="DK125" s="174"/>
      <x:c r="DL125" s="174"/>
      <x:c r="DM125" s="174"/>
      <x:c r="DN125" s="174"/>
      <x:c r="DO125" s="174"/>
      <x:c r="DP125" s="174"/>
      <x:c r="DQ125" s="174"/>
      <x:c r="DR125" s="174"/>
      <x:c r="DS125" s="174"/>
      <x:c r="DT125" s="174"/>
      <x:c r="DU125" s="174"/>
      <x:c r="DV125" s="174"/>
      <x:c r="DW125" s="174"/>
      <x:c r="DX125" s="174"/>
      <x:c r="DY125" s="174"/>
      <x:c r="DZ125" s="174"/>
      <x:c r="EA125" s="174"/>
      <x:c r="EB125" s="175" t="str">
        <x:f>IF(L125="","",IF(AND(F125="Claim-ready",CJ125="Yes",CL125="Yes",DZ125&lt;&gt;""),"Yes","No / Pending"))</x:f>
      </x:c>
      <x:c r="EC125" s="174"/>
      <x:c r="ED125" s="174"/>
      <x:c r="EE125" s="174"/>
      <x:c r="EF125" s="174"/>
      <x:c r="EG125" s="174"/>
      <x:c r="EH125" s="177"/>
      <x:c r="EI125" s="174"/>
      <x:c r="EJ125" s="174"/>
      <x:c r="EK125" s="174"/>
      <x:c r="EL125" s="177"/>
      <x:c r="EM125" s="174"/>
      <x:c r="EN125" s="181" t="str">
        <x:f>IF(L125="","",(IF(N125&lt;&gt;"",1,0)+IF(O125&lt;&gt;"",1,0)+IF(AJ125&lt;&gt;"",1,0)+IF(AU125&lt;&gt;"",1,0)+IF(BE125&lt;&gt;"",1,0)+IF(CF125&lt;&gt;"",1,0)+IF(CJ125="Yes",1,0)+IF(CL125="Yes",1,0)+IF(DE125&lt;&gt;"Pending",1,0)+IF(F125&lt;&gt;"",1,0)+IF(DZ125&lt;&gt;"",1,0)+IF(EI125&lt;&gt;"",1,0))/12)</x:f>
      </x:c>
    </x:row>
    <x:row r="126">
      <x:c r="A126" s="175" t="str">
        <x:f>IF(L126="","","EV-"&amp;TEXT(ROW()-3,"0000"))</x:f>
      </x:c>
      <x:c r="B126" s="174"/>
      <x:c r="C126" s="175" t="str">
        <x:f>IF(L126="","",IF(OR(CM126="Retracted",CN126="Retracted",F126="Not used"),"🔴 Do not use for conclusion",IF(OR(R126="Official / Institutional",I126="Official / contextual"),"🔵 Official / contextual",IF(OR(I126="Definition",I126="Framework",I126="Paradigm shift"),"🟣 Conceptual key source",IF(AND(CJ126="Yes",CL126="Yes",OR(CG126="High",CG126="Moderate"),CH126&lt;&gt;"High",CH126&lt;&gt;"Critical",F126="Claim-ready"),"🟢 Claim-ready","🟡 Caution / context")))))</x:f>
      </x:c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6"/>
      <x:c r="P126" s="174"/>
      <x:c r="Q126" s="174"/>
      <x:c r="R126" s="174"/>
      <x:c r="S126" s="174"/>
      <x:c r="T126" s="174"/>
      <x:c r="U126" s="174"/>
      <x:c r="V126" s="174"/>
      <x:c r="W126" s="175" t="str">
        <x:f>IF(V126="","",LOWER(SUBSTITUTE(SUBSTITUTE(SUBSTITUTE(SUBSTITUTE(TRIM(V126),"https://doi.org/",""),"http://doi.org/",""),"https://dx.doi.org/",""),"doi:","")))</x:f>
      </x:c>
      <x:c r="X126" s="174"/>
      <x:c r="Y126" s="174"/>
      <x:c r="Z126" s="174"/>
      <x:c r="AA126" s="174"/>
      <x:c r="AB126" s="174"/>
      <x:c r="AC126" s="174"/>
      <x:c r="AD126" s="177"/>
      <x:c r="AE126" s="177"/>
      <x:c r="AF126" s="174"/>
      <x:c r="AG126" s="174"/>
      <x:c r="AH126" s="174"/>
      <x:c r="AI126" s="174"/>
      <x:c r="AJ126" s="174"/>
      <x:c r="AK126" s="175" t="str">
        <x:f>IF(AJ126="","",IF(OR(LOWER(AJ126)="brazil",LOWER(AJ126)="brasil"),"Yes","No"))</x:f>
      </x:c>
      <x:c r="AL126" s="174"/>
      <x:c r="AM126" s="174"/>
      <x:c r="AN126" s="174"/>
      <x:c r="AO126" s="178"/>
      <x:c r="AP126" s="174"/>
      <x:c r="AQ126" s="174"/>
      <x:c r="AR126" s="174"/>
      <x:c r="AS126" s="174"/>
      <x:c r="AT126" s="174"/>
      <x:c r="AU126" s="174"/>
      <x:c r="AV126" s="174"/>
      <x:c r="AW126" s="174"/>
      <x:c r="AX126" s="174"/>
      <x:c r="AY126" s="174"/>
      <x:c r="AZ126" s="174"/>
      <x:c r="BA126" s="174"/>
      <x:c r="BB126" s="174"/>
      <x:c r="BC126" s="174"/>
      <x:c r="BD126" s="174"/>
      <x:c r="BE126" s="174"/>
      <x:c r="BF126" s="174"/>
      <x:c r="BG126" s="174"/>
      <x:c r="BH126" s="174"/>
      <x:c r="BI126" s="174"/>
      <x:c r="BJ126" s="174"/>
      <x:c r="BK126" s="174"/>
      <x:c r="BL126" s="174"/>
      <x:c r="BM126" s="174"/>
      <x:c r="BN126" s="174"/>
      <x:c r="BO126" s="174"/>
      <x:c r="BP126" s="174"/>
      <x:c r="BQ126" s="174"/>
      <x:c r="BR126" s="174"/>
      <x:c r="BS126" s="174"/>
      <x:c r="BT126" s="174"/>
      <x:c r="BU126" s="174"/>
      <x:c r="BV126" s="174"/>
      <x:c r="BW126" s="174"/>
      <x:c r="BX126" s="174"/>
      <x:c r="BY126" s="174"/>
      <x:c r="BZ126" s="174"/>
      <x:c r="CA126" s="174"/>
      <x:c r="CB126" s="174"/>
      <x:c r="CC126" s="174"/>
      <x:c r="CD126" s="174"/>
      <x:c r="CE126" s="174"/>
      <x:c r="CF126" s="174"/>
      <x:c r="CG126" s="174"/>
      <x:c r="CH126" s="174"/>
      <x:c r="CI126" s="179"/>
      <x:c r="CJ126" s="174"/>
      <x:c r="CK126" s="174"/>
      <x:c r="CL126" s="174"/>
      <x:c r="CM126" s="174"/>
      <x:c r="CN126" s="174"/>
      <x:c r="CO126" s="177"/>
      <x:c r="CP126" s="174"/>
      <x:c r="CQ126" s="174"/>
      <x:c r="CR126" s="174"/>
      <x:c r="CS126" s="174"/>
      <x:c r="CT126" s="174"/>
      <x:c r="CU126" s="176"/>
      <x:c r="CV126" s="176"/>
      <x:c r="CW126" s="176"/>
      <x:c r="CX126" s="176"/>
      <x:c r="CY126" s="176"/>
      <x:c r="CZ126" s="176"/>
      <x:c r="DA126" s="176"/>
      <x:c r="DB126" s="175" t="str">
        <x:f>IF(L126="","",IF(COUNT(CU126:DA126)&lt;7,"",SUM(CU126:DA126)))</x:f>
      </x:c>
      <x:c r="DC126" s="180" t="str">
        <x:f>IF(DB126="","",ROUND(DB126/14*10,1))</x:f>
      </x:c>
      <x:c r="DD126" s="174"/>
      <x:c r="DE126" s="175" t="str">
        <x:f>IF(L126="","",IF(DC126="","Pending",IF(DD126="Yes","CONDITIONAL — safety override",IF(DC126&gt;=8,"HIGH",IF(DC126&gt;=5,"CONDITIONAL","LOW")))))</x:f>
      </x:c>
      <x:c r="DF126" s="174"/>
      <x:c r="DG126" s="174"/>
      <x:c r="DH126" s="174"/>
      <x:c r="DI126" s="174"/>
      <x:c r="DJ126" s="174"/>
      <x:c r="DK126" s="174"/>
      <x:c r="DL126" s="174"/>
      <x:c r="DM126" s="174"/>
      <x:c r="DN126" s="174"/>
      <x:c r="DO126" s="174"/>
      <x:c r="DP126" s="174"/>
      <x:c r="DQ126" s="174"/>
      <x:c r="DR126" s="174"/>
      <x:c r="DS126" s="174"/>
      <x:c r="DT126" s="174"/>
      <x:c r="DU126" s="174"/>
      <x:c r="DV126" s="174"/>
      <x:c r="DW126" s="174"/>
      <x:c r="DX126" s="174"/>
      <x:c r="DY126" s="174"/>
      <x:c r="DZ126" s="174"/>
      <x:c r="EA126" s="174"/>
      <x:c r="EB126" s="175" t="str">
        <x:f>IF(L126="","",IF(AND(F126="Claim-ready",CJ126="Yes",CL126="Yes",DZ126&lt;&gt;""),"Yes","No / Pending"))</x:f>
      </x:c>
      <x:c r="EC126" s="174"/>
      <x:c r="ED126" s="174"/>
      <x:c r="EE126" s="174"/>
      <x:c r="EF126" s="174"/>
      <x:c r="EG126" s="174"/>
      <x:c r="EH126" s="177"/>
      <x:c r="EI126" s="174"/>
      <x:c r="EJ126" s="174"/>
      <x:c r="EK126" s="174"/>
      <x:c r="EL126" s="177"/>
      <x:c r="EM126" s="174"/>
      <x:c r="EN126" s="181" t="str">
        <x:f>IF(L126="","",(IF(N126&lt;&gt;"",1,0)+IF(O126&lt;&gt;"",1,0)+IF(AJ126&lt;&gt;"",1,0)+IF(AU126&lt;&gt;"",1,0)+IF(BE126&lt;&gt;"",1,0)+IF(CF126&lt;&gt;"",1,0)+IF(CJ126="Yes",1,0)+IF(CL126="Yes",1,0)+IF(DE126&lt;&gt;"Pending",1,0)+IF(F126&lt;&gt;"",1,0)+IF(DZ126&lt;&gt;"",1,0)+IF(EI126&lt;&gt;"",1,0))/12)</x:f>
      </x:c>
    </x:row>
    <x:row r="127">
      <x:c r="A127" s="175" t="str">
        <x:f>IF(L127="","","EV-"&amp;TEXT(ROW()-3,"0000"))</x:f>
      </x:c>
      <x:c r="B127" s="174"/>
      <x:c r="C127" s="175" t="str">
        <x:f>IF(L127="","",IF(OR(CM127="Retracted",CN127="Retracted",F127="Not used"),"🔴 Do not use for conclusion",IF(OR(R127="Official / Institutional",I127="Official / contextual"),"🔵 Official / contextual",IF(OR(I127="Definition",I127="Framework",I127="Paradigm shift"),"🟣 Conceptual key source",IF(AND(CJ127="Yes",CL127="Yes",OR(CG127="High",CG127="Moderate"),CH127&lt;&gt;"High",CH127&lt;&gt;"Critical",F127="Claim-ready"),"🟢 Claim-ready","🟡 Caution / context")))))</x:f>
      </x:c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6"/>
      <x:c r="P127" s="174"/>
      <x:c r="Q127" s="174"/>
      <x:c r="R127" s="174"/>
      <x:c r="S127" s="174"/>
      <x:c r="T127" s="174"/>
      <x:c r="U127" s="174"/>
      <x:c r="V127" s="174"/>
      <x:c r="W127" s="175" t="str">
        <x:f>IF(V127="","",LOWER(SUBSTITUTE(SUBSTITUTE(SUBSTITUTE(SUBSTITUTE(TRIM(V127),"https://doi.org/",""),"http://doi.org/",""),"https://dx.doi.org/",""),"doi:","")))</x:f>
      </x:c>
      <x:c r="X127" s="174"/>
      <x:c r="Y127" s="174"/>
      <x:c r="Z127" s="174"/>
      <x:c r="AA127" s="174"/>
      <x:c r="AB127" s="174"/>
      <x:c r="AC127" s="174"/>
      <x:c r="AD127" s="177"/>
      <x:c r="AE127" s="177"/>
      <x:c r="AF127" s="174"/>
      <x:c r="AG127" s="174"/>
      <x:c r="AH127" s="174"/>
      <x:c r="AI127" s="174"/>
      <x:c r="AJ127" s="174"/>
      <x:c r="AK127" s="175" t="str">
        <x:f>IF(AJ127="","",IF(OR(LOWER(AJ127)="brazil",LOWER(AJ127)="brasil"),"Yes","No"))</x:f>
      </x:c>
      <x:c r="AL127" s="174"/>
      <x:c r="AM127" s="174"/>
      <x:c r="AN127" s="174"/>
      <x:c r="AO127" s="178"/>
      <x:c r="AP127" s="174"/>
      <x:c r="AQ127" s="174"/>
      <x:c r="AR127" s="174"/>
      <x:c r="AS127" s="174"/>
      <x:c r="AT127" s="174"/>
      <x:c r="AU127" s="174"/>
      <x:c r="AV127" s="174"/>
      <x:c r="AW127" s="174"/>
      <x:c r="AX127" s="174"/>
      <x:c r="AY127" s="174"/>
      <x:c r="AZ127" s="174"/>
      <x:c r="BA127" s="174"/>
      <x:c r="BB127" s="174"/>
      <x:c r="BC127" s="174"/>
      <x:c r="BD127" s="174"/>
      <x:c r="BE127" s="174"/>
      <x:c r="BF127" s="174"/>
      <x:c r="BG127" s="174"/>
      <x:c r="BH127" s="174"/>
      <x:c r="BI127" s="174"/>
      <x:c r="BJ127" s="174"/>
      <x:c r="BK127" s="174"/>
      <x:c r="BL127" s="174"/>
      <x:c r="BM127" s="174"/>
      <x:c r="BN127" s="174"/>
      <x:c r="BO127" s="174"/>
      <x:c r="BP127" s="174"/>
      <x:c r="BQ127" s="174"/>
      <x:c r="BR127" s="174"/>
      <x:c r="BS127" s="174"/>
      <x:c r="BT127" s="174"/>
      <x:c r="BU127" s="174"/>
      <x:c r="BV127" s="174"/>
      <x:c r="BW127" s="174"/>
      <x:c r="BX127" s="174"/>
      <x:c r="BY127" s="174"/>
      <x:c r="BZ127" s="174"/>
      <x:c r="CA127" s="174"/>
      <x:c r="CB127" s="174"/>
      <x:c r="CC127" s="174"/>
      <x:c r="CD127" s="174"/>
      <x:c r="CE127" s="174"/>
      <x:c r="CF127" s="174"/>
      <x:c r="CG127" s="174"/>
      <x:c r="CH127" s="174"/>
      <x:c r="CI127" s="179"/>
      <x:c r="CJ127" s="174"/>
      <x:c r="CK127" s="174"/>
      <x:c r="CL127" s="174"/>
      <x:c r="CM127" s="174"/>
      <x:c r="CN127" s="174"/>
      <x:c r="CO127" s="177"/>
      <x:c r="CP127" s="174"/>
      <x:c r="CQ127" s="174"/>
      <x:c r="CR127" s="174"/>
      <x:c r="CS127" s="174"/>
      <x:c r="CT127" s="174"/>
      <x:c r="CU127" s="176"/>
      <x:c r="CV127" s="176"/>
      <x:c r="CW127" s="176"/>
      <x:c r="CX127" s="176"/>
      <x:c r="CY127" s="176"/>
      <x:c r="CZ127" s="176"/>
      <x:c r="DA127" s="176"/>
      <x:c r="DB127" s="175" t="str">
        <x:f>IF(L127="","",IF(COUNT(CU127:DA127)&lt;7,"",SUM(CU127:DA127)))</x:f>
      </x:c>
      <x:c r="DC127" s="180" t="str">
        <x:f>IF(DB127="","",ROUND(DB127/14*10,1))</x:f>
      </x:c>
      <x:c r="DD127" s="174"/>
      <x:c r="DE127" s="175" t="str">
        <x:f>IF(L127="","",IF(DC127="","Pending",IF(DD127="Yes","CONDITIONAL — safety override",IF(DC127&gt;=8,"HIGH",IF(DC127&gt;=5,"CONDITIONAL","LOW")))))</x:f>
      </x:c>
      <x:c r="DF127" s="174"/>
      <x:c r="DG127" s="174"/>
      <x:c r="DH127" s="174"/>
      <x:c r="DI127" s="174"/>
      <x:c r="DJ127" s="174"/>
      <x:c r="DK127" s="174"/>
      <x:c r="DL127" s="174"/>
      <x:c r="DM127" s="174"/>
      <x:c r="DN127" s="174"/>
      <x:c r="DO127" s="174"/>
      <x:c r="DP127" s="174"/>
      <x:c r="DQ127" s="174"/>
      <x:c r="DR127" s="174"/>
      <x:c r="DS127" s="174"/>
      <x:c r="DT127" s="174"/>
      <x:c r="DU127" s="174"/>
      <x:c r="DV127" s="174"/>
      <x:c r="DW127" s="174"/>
      <x:c r="DX127" s="174"/>
      <x:c r="DY127" s="174"/>
      <x:c r="DZ127" s="174"/>
      <x:c r="EA127" s="174"/>
      <x:c r="EB127" s="175" t="str">
        <x:f>IF(L127="","",IF(AND(F127="Claim-ready",CJ127="Yes",CL127="Yes",DZ127&lt;&gt;""),"Yes","No / Pending"))</x:f>
      </x:c>
      <x:c r="EC127" s="174"/>
      <x:c r="ED127" s="174"/>
      <x:c r="EE127" s="174"/>
      <x:c r="EF127" s="174"/>
      <x:c r="EG127" s="174"/>
      <x:c r="EH127" s="177"/>
      <x:c r="EI127" s="174"/>
      <x:c r="EJ127" s="174"/>
      <x:c r="EK127" s="174"/>
      <x:c r="EL127" s="177"/>
      <x:c r="EM127" s="174"/>
      <x:c r="EN127" s="181" t="str">
        <x:f>IF(L127="","",(IF(N127&lt;&gt;"",1,0)+IF(O127&lt;&gt;"",1,0)+IF(AJ127&lt;&gt;"",1,0)+IF(AU127&lt;&gt;"",1,0)+IF(BE127&lt;&gt;"",1,0)+IF(CF127&lt;&gt;"",1,0)+IF(CJ127="Yes",1,0)+IF(CL127="Yes",1,0)+IF(DE127&lt;&gt;"Pending",1,0)+IF(F127&lt;&gt;"",1,0)+IF(DZ127&lt;&gt;"",1,0)+IF(EI127&lt;&gt;"",1,0))/12)</x:f>
      </x:c>
    </x:row>
    <x:row r="128">
      <x:c r="A128" s="175" t="str">
        <x:f>IF(L128="","","EV-"&amp;TEXT(ROW()-3,"0000"))</x:f>
      </x:c>
      <x:c r="B128" s="174"/>
      <x:c r="C128" s="175" t="str">
        <x:f>IF(L128="","",IF(OR(CM128="Retracted",CN128="Retracted",F128="Not used"),"🔴 Do not use for conclusion",IF(OR(R128="Official / Institutional",I128="Official / contextual"),"🔵 Official / contextual",IF(OR(I128="Definition",I128="Framework",I128="Paradigm shift"),"🟣 Conceptual key source",IF(AND(CJ128="Yes",CL128="Yes",OR(CG128="High",CG128="Moderate"),CH128&lt;&gt;"High",CH128&lt;&gt;"Critical",F128="Claim-ready"),"🟢 Claim-ready","🟡 Caution / context")))))</x:f>
      </x:c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6"/>
      <x:c r="P128" s="174"/>
      <x:c r="Q128" s="174"/>
      <x:c r="R128" s="174"/>
      <x:c r="S128" s="174"/>
      <x:c r="T128" s="174"/>
      <x:c r="U128" s="174"/>
      <x:c r="V128" s="174"/>
      <x:c r="W128" s="175" t="str">
        <x:f>IF(V128="","",LOWER(SUBSTITUTE(SUBSTITUTE(SUBSTITUTE(SUBSTITUTE(TRIM(V128),"https://doi.org/",""),"http://doi.org/",""),"https://dx.doi.org/",""),"doi:","")))</x:f>
      </x:c>
      <x:c r="X128" s="174"/>
      <x:c r="Y128" s="174"/>
      <x:c r="Z128" s="174"/>
      <x:c r="AA128" s="174"/>
      <x:c r="AB128" s="174"/>
      <x:c r="AC128" s="174"/>
      <x:c r="AD128" s="177"/>
      <x:c r="AE128" s="177"/>
      <x:c r="AF128" s="174"/>
      <x:c r="AG128" s="174"/>
      <x:c r="AH128" s="174"/>
      <x:c r="AI128" s="174"/>
      <x:c r="AJ128" s="174"/>
      <x:c r="AK128" s="175" t="str">
        <x:f>IF(AJ128="","",IF(OR(LOWER(AJ128)="brazil",LOWER(AJ128)="brasil"),"Yes","No"))</x:f>
      </x:c>
      <x:c r="AL128" s="174"/>
      <x:c r="AM128" s="174"/>
      <x:c r="AN128" s="174"/>
      <x:c r="AO128" s="178"/>
      <x:c r="AP128" s="174"/>
      <x:c r="AQ128" s="174"/>
      <x:c r="AR128" s="174"/>
      <x:c r="AS128" s="174"/>
      <x:c r="AT128" s="174"/>
      <x:c r="AU128" s="174"/>
      <x:c r="AV128" s="174"/>
      <x:c r="AW128" s="174"/>
      <x:c r="AX128" s="174"/>
      <x:c r="AY128" s="174"/>
      <x:c r="AZ128" s="174"/>
      <x:c r="BA128" s="174"/>
      <x:c r="BB128" s="174"/>
      <x:c r="BC128" s="174"/>
      <x:c r="BD128" s="174"/>
      <x:c r="BE128" s="174"/>
      <x:c r="BF128" s="174"/>
      <x:c r="BG128" s="174"/>
      <x:c r="BH128" s="174"/>
      <x:c r="BI128" s="174"/>
      <x:c r="BJ128" s="174"/>
      <x:c r="BK128" s="174"/>
      <x:c r="BL128" s="174"/>
      <x:c r="BM128" s="174"/>
      <x:c r="BN128" s="174"/>
      <x:c r="BO128" s="174"/>
      <x:c r="BP128" s="174"/>
      <x:c r="BQ128" s="174"/>
      <x:c r="BR128" s="174"/>
      <x:c r="BS128" s="174"/>
      <x:c r="BT128" s="174"/>
      <x:c r="BU128" s="174"/>
      <x:c r="BV128" s="174"/>
      <x:c r="BW128" s="174"/>
      <x:c r="BX128" s="174"/>
      <x:c r="BY128" s="174"/>
      <x:c r="BZ128" s="174"/>
      <x:c r="CA128" s="174"/>
      <x:c r="CB128" s="174"/>
      <x:c r="CC128" s="174"/>
      <x:c r="CD128" s="174"/>
      <x:c r="CE128" s="174"/>
      <x:c r="CF128" s="174"/>
      <x:c r="CG128" s="174"/>
      <x:c r="CH128" s="174"/>
      <x:c r="CI128" s="179"/>
      <x:c r="CJ128" s="174"/>
      <x:c r="CK128" s="174"/>
      <x:c r="CL128" s="174"/>
      <x:c r="CM128" s="174"/>
      <x:c r="CN128" s="174"/>
      <x:c r="CO128" s="177"/>
      <x:c r="CP128" s="174"/>
      <x:c r="CQ128" s="174"/>
      <x:c r="CR128" s="174"/>
      <x:c r="CS128" s="174"/>
      <x:c r="CT128" s="174"/>
      <x:c r="CU128" s="176"/>
      <x:c r="CV128" s="176"/>
      <x:c r="CW128" s="176"/>
      <x:c r="CX128" s="176"/>
      <x:c r="CY128" s="176"/>
      <x:c r="CZ128" s="176"/>
      <x:c r="DA128" s="176"/>
      <x:c r="DB128" s="175" t="str">
        <x:f>IF(L128="","",IF(COUNT(CU128:DA128)&lt;7,"",SUM(CU128:DA128)))</x:f>
      </x:c>
      <x:c r="DC128" s="180" t="str">
        <x:f>IF(DB128="","",ROUND(DB128/14*10,1))</x:f>
      </x:c>
      <x:c r="DD128" s="174"/>
      <x:c r="DE128" s="175" t="str">
        <x:f>IF(L128="","",IF(DC128="","Pending",IF(DD128="Yes","CONDITIONAL — safety override",IF(DC128&gt;=8,"HIGH",IF(DC128&gt;=5,"CONDITIONAL","LOW")))))</x:f>
      </x:c>
      <x:c r="DF128" s="174"/>
      <x:c r="DG128" s="174"/>
      <x:c r="DH128" s="174"/>
      <x:c r="DI128" s="174"/>
      <x:c r="DJ128" s="174"/>
      <x:c r="DK128" s="174"/>
      <x:c r="DL128" s="174"/>
      <x:c r="DM128" s="174"/>
      <x:c r="DN128" s="174"/>
      <x:c r="DO128" s="174"/>
      <x:c r="DP128" s="174"/>
      <x:c r="DQ128" s="174"/>
      <x:c r="DR128" s="174"/>
      <x:c r="DS128" s="174"/>
      <x:c r="DT128" s="174"/>
      <x:c r="DU128" s="174"/>
      <x:c r="DV128" s="174"/>
      <x:c r="DW128" s="174"/>
      <x:c r="DX128" s="174"/>
      <x:c r="DY128" s="174"/>
      <x:c r="DZ128" s="174"/>
      <x:c r="EA128" s="174"/>
      <x:c r="EB128" s="175" t="str">
        <x:f>IF(L128="","",IF(AND(F128="Claim-ready",CJ128="Yes",CL128="Yes",DZ128&lt;&gt;""),"Yes","No / Pending"))</x:f>
      </x:c>
      <x:c r="EC128" s="174"/>
      <x:c r="ED128" s="174"/>
      <x:c r="EE128" s="174"/>
      <x:c r="EF128" s="174"/>
      <x:c r="EG128" s="174"/>
      <x:c r="EH128" s="177"/>
      <x:c r="EI128" s="174"/>
      <x:c r="EJ128" s="174"/>
      <x:c r="EK128" s="174"/>
      <x:c r="EL128" s="177"/>
      <x:c r="EM128" s="174"/>
      <x:c r="EN128" s="181" t="str">
        <x:f>IF(L128="","",(IF(N128&lt;&gt;"",1,0)+IF(O128&lt;&gt;"",1,0)+IF(AJ128&lt;&gt;"",1,0)+IF(AU128&lt;&gt;"",1,0)+IF(BE128&lt;&gt;"",1,0)+IF(CF128&lt;&gt;"",1,0)+IF(CJ128="Yes",1,0)+IF(CL128="Yes",1,0)+IF(DE128&lt;&gt;"Pending",1,0)+IF(F128&lt;&gt;"",1,0)+IF(DZ128&lt;&gt;"",1,0)+IF(EI128&lt;&gt;"",1,0))/12)</x:f>
      </x:c>
    </x:row>
    <x:row r="129">
      <x:c r="A129" s="175" t="str">
        <x:f>IF(L129="","","EV-"&amp;TEXT(ROW()-3,"0000"))</x:f>
      </x:c>
      <x:c r="B129" s="174"/>
      <x:c r="C129" s="175" t="str">
        <x:f>IF(L129="","",IF(OR(CM129="Retracted",CN129="Retracted",F129="Not used"),"🔴 Do not use for conclusion",IF(OR(R129="Official / Institutional",I129="Official / contextual"),"🔵 Official / contextual",IF(OR(I129="Definition",I129="Framework",I129="Paradigm shift"),"🟣 Conceptual key source",IF(AND(CJ129="Yes",CL129="Yes",OR(CG129="High",CG129="Moderate"),CH129&lt;&gt;"High",CH129&lt;&gt;"Critical",F129="Claim-ready"),"🟢 Claim-ready","🟡 Caution / context")))))</x:f>
      </x:c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6"/>
      <x:c r="P129" s="174"/>
      <x:c r="Q129" s="174"/>
      <x:c r="R129" s="174"/>
      <x:c r="S129" s="174"/>
      <x:c r="T129" s="174"/>
      <x:c r="U129" s="174"/>
      <x:c r="V129" s="174"/>
      <x:c r="W129" s="175" t="str">
        <x:f>IF(V129="","",LOWER(SUBSTITUTE(SUBSTITUTE(SUBSTITUTE(SUBSTITUTE(TRIM(V129),"https://doi.org/",""),"http://doi.org/",""),"https://dx.doi.org/",""),"doi:","")))</x:f>
      </x:c>
      <x:c r="X129" s="174"/>
      <x:c r="Y129" s="174"/>
      <x:c r="Z129" s="174"/>
      <x:c r="AA129" s="174"/>
      <x:c r="AB129" s="174"/>
      <x:c r="AC129" s="174"/>
      <x:c r="AD129" s="177"/>
      <x:c r="AE129" s="177"/>
      <x:c r="AF129" s="174"/>
      <x:c r="AG129" s="174"/>
      <x:c r="AH129" s="174"/>
      <x:c r="AI129" s="174"/>
      <x:c r="AJ129" s="174"/>
      <x:c r="AK129" s="175" t="str">
        <x:f>IF(AJ129="","",IF(OR(LOWER(AJ129)="brazil",LOWER(AJ129)="brasil"),"Yes","No"))</x:f>
      </x:c>
      <x:c r="AL129" s="174"/>
      <x:c r="AM129" s="174"/>
      <x:c r="AN129" s="174"/>
      <x:c r="AO129" s="178"/>
      <x:c r="AP129" s="174"/>
      <x:c r="AQ129" s="174"/>
      <x:c r="AR129" s="174"/>
      <x:c r="AS129" s="174"/>
      <x:c r="AT129" s="174"/>
      <x:c r="AU129" s="174"/>
      <x:c r="AV129" s="174"/>
      <x:c r="AW129" s="174"/>
      <x:c r="AX129" s="174"/>
      <x:c r="AY129" s="174"/>
      <x:c r="AZ129" s="174"/>
      <x:c r="BA129" s="174"/>
      <x:c r="BB129" s="174"/>
      <x:c r="BC129" s="174"/>
      <x:c r="BD129" s="174"/>
      <x:c r="BE129" s="174"/>
      <x:c r="BF129" s="174"/>
      <x:c r="BG129" s="174"/>
      <x:c r="BH129" s="174"/>
      <x:c r="BI129" s="174"/>
      <x:c r="BJ129" s="174"/>
      <x:c r="BK129" s="174"/>
      <x:c r="BL129" s="174"/>
      <x:c r="BM129" s="174"/>
      <x:c r="BN129" s="174"/>
      <x:c r="BO129" s="174"/>
      <x:c r="BP129" s="174"/>
      <x:c r="BQ129" s="174"/>
      <x:c r="BR129" s="174"/>
      <x:c r="BS129" s="174"/>
      <x:c r="BT129" s="174"/>
      <x:c r="BU129" s="174"/>
      <x:c r="BV129" s="174"/>
      <x:c r="BW129" s="174"/>
      <x:c r="BX129" s="174"/>
      <x:c r="BY129" s="174"/>
      <x:c r="BZ129" s="174"/>
      <x:c r="CA129" s="174"/>
      <x:c r="CB129" s="174"/>
      <x:c r="CC129" s="174"/>
      <x:c r="CD129" s="174"/>
      <x:c r="CE129" s="174"/>
      <x:c r="CF129" s="174"/>
      <x:c r="CG129" s="174"/>
      <x:c r="CH129" s="174"/>
      <x:c r="CI129" s="179"/>
      <x:c r="CJ129" s="174"/>
      <x:c r="CK129" s="174"/>
      <x:c r="CL129" s="174"/>
      <x:c r="CM129" s="174"/>
      <x:c r="CN129" s="174"/>
      <x:c r="CO129" s="177"/>
      <x:c r="CP129" s="174"/>
      <x:c r="CQ129" s="174"/>
      <x:c r="CR129" s="174"/>
      <x:c r="CS129" s="174"/>
      <x:c r="CT129" s="174"/>
      <x:c r="CU129" s="176"/>
      <x:c r="CV129" s="176"/>
      <x:c r="CW129" s="176"/>
      <x:c r="CX129" s="176"/>
      <x:c r="CY129" s="176"/>
      <x:c r="CZ129" s="176"/>
      <x:c r="DA129" s="176"/>
      <x:c r="DB129" s="175" t="str">
        <x:f>IF(L129="","",IF(COUNT(CU129:DA129)&lt;7,"",SUM(CU129:DA129)))</x:f>
      </x:c>
      <x:c r="DC129" s="180" t="str">
        <x:f>IF(DB129="","",ROUND(DB129/14*10,1))</x:f>
      </x:c>
      <x:c r="DD129" s="174"/>
      <x:c r="DE129" s="175" t="str">
        <x:f>IF(L129="","",IF(DC129="","Pending",IF(DD129="Yes","CONDITIONAL — safety override",IF(DC129&gt;=8,"HIGH",IF(DC129&gt;=5,"CONDITIONAL","LOW")))))</x:f>
      </x:c>
      <x:c r="DF129" s="174"/>
      <x:c r="DG129" s="174"/>
      <x:c r="DH129" s="174"/>
      <x:c r="DI129" s="174"/>
      <x:c r="DJ129" s="174"/>
      <x:c r="DK129" s="174"/>
      <x:c r="DL129" s="174"/>
      <x:c r="DM129" s="174"/>
      <x:c r="DN129" s="174"/>
      <x:c r="DO129" s="174"/>
      <x:c r="DP129" s="174"/>
      <x:c r="DQ129" s="174"/>
      <x:c r="DR129" s="174"/>
      <x:c r="DS129" s="174"/>
      <x:c r="DT129" s="174"/>
      <x:c r="DU129" s="174"/>
      <x:c r="DV129" s="174"/>
      <x:c r="DW129" s="174"/>
      <x:c r="DX129" s="174"/>
      <x:c r="DY129" s="174"/>
      <x:c r="DZ129" s="174"/>
      <x:c r="EA129" s="174"/>
      <x:c r="EB129" s="175" t="str">
        <x:f>IF(L129="","",IF(AND(F129="Claim-ready",CJ129="Yes",CL129="Yes",DZ129&lt;&gt;""),"Yes","No / Pending"))</x:f>
      </x:c>
      <x:c r="EC129" s="174"/>
      <x:c r="ED129" s="174"/>
      <x:c r="EE129" s="174"/>
      <x:c r="EF129" s="174"/>
      <x:c r="EG129" s="174"/>
      <x:c r="EH129" s="177"/>
      <x:c r="EI129" s="174"/>
      <x:c r="EJ129" s="174"/>
      <x:c r="EK129" s="174"/>
      <x:c r="EL129" s="177"/>
      <x:c r="EM129" s="174"/>
      <x:c r="EN129" s="181" t="str">
        <x:f>IF(L129="","",(IF(N129&lt;&gt;"",1,0)+IF(O129&lt;&gt;"",1,0)+IF(AJ129&lt;&gt;"",1,0)+IF(AU129&lt;&gt;"",1,0)+IF(BE129&lt;&gt;"",1,0)+IF(CF129&lt;&gt;"",1,0)+IF(CJ129="Yes",1,0)+IF(CL129="Yes",1,0)+IF(DE129&lt;&gt;"Pending",1,0)+IF(F129&lt;&gt;"",1,0)+IF(DZ129&lt;&gt;"",1,0)+IF(EI129&lt;&gt;"",1,0))/12)</x:f>
      </x:c>
    </x:row>
    <x:row r="130">
      <x:c r="A130" s="175" t="str">
        <x:f>IF(L130="","","EV-"&amp;TEXT(ROW()-3,"0000"))</x:f>
      </x:c>
      <x:c r="B130" s="174"/>
      <x:c r="C130" s="175" t="str">
        <x:f>IF(L130="","",IF(OR(CM130="Retracted",CN130="Retracted",F130="Not used"),"🔴 Do not use for conclusion",IF(OR(R130="Official / Institutional",I130="Official / contextual"),"🔵 Official / contextual",IF(OR(I130="Definition",I130="Framework",I130="Paradigm shift"),"🟣 Conceptual key source",IF(AND(CJ130="Yes",CL130="Yes",OR(CG130="High",CG130="Moderate"),CH130&lt;&gt;"High",CH130&lt;&gt;"Critical",F130="Claim-ready"),"🟢 Claim-ready","🟡 Caution / context")))))</x:f>
      </x:c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6"/>
      <x:c r="P130" s="174"/>
      <x:c r="Q130" s="174"/>
      <x:c r="R130" s="174"/>
      <x:c r="S130" s="174"/>
      <x:c r="T130" s="174"/>
      <x:c r="U130" s="174"/>
      <x:c r="V130" s="174"/>
      <x:c r="W130" s="175" t="str">
        <x:f>IF(V130="","",LOWER(SUBSTITUTE(SUBSTITUTE(SUBSTITUTE(SUBSTITUTE(TRIM(V130),"https://doi.org/",""),"http://doi.org/",""),"https://dx.doi.org/",""),"doi:","")))</x:f>
      </x:c>
      <x:c r="X130" s="174"/>
      <x:c r="Y130" s="174"/>
      <x:c r="Z130" s="174"/>
      <x:c r="AA130" s="174"/>
      <x:c r="AB130" s="174"/>
      <x:c r="AC130" s="174"/>
      <x:c r="AD130" s="177"/>
      <x:c r="AE130" s="177"/>
      <x:c r="AF130" s="174"/>
      <x:c r="AG130" s="174"/>
      <x:c r="AH130" s="174"/>
      <x:c r="AI130" s="174"/>
      <x:c r="AJ130" s="174"/>
      <x:c r="AK130" s="175" t="str">
        <x:f>IF(AJ130="","",IF(OR(LOWER(AJ130)="brazil",LOWER(AJ130)="brasil"),"Yes","No"))</x:f>
      </x:c>
      <x:c r="AL130" s="174"/>
      <x:c r="AM130" s="174"/>
      <x:c r="AN130" s="174"/>
      <x:c r="AO130" s="178"/>
      <x:c r="AP130" s="174"/>
      <x:c r="AQ130" s="174"/>
      <x:c r="AR130" s="174"/>
      <x:c r="AS130" s="174"/>
      <x:c r="AT130" s="174"/>
      <x:c r="AU130" s="174"/>
      <x:c r="AV130" s="174"/>
      <x:c r="AW130" s="174"/>
      <x:c r="AX130" s="174"/>
      <x:c r="AY130" s="174"/>
      <x:c r="AZ130" s="174"/>
      <x:c r="BA130" s="174"/>
      <x:c r="BB130" s="174"/>
      <x:c r="BC130" s="174"/>
      <x:c r="BD130" s="174"/>
      <x:c r="BE130" s="174"/>
      <x:c r="BF130" s="174"/>
      <x:c r="BG130" s="174"/>
      <x:c r="BH130" s="174"/>
      <x:c r="BI130" s="174"/>
      <x:c r="BJ130" s="174"/>
      <x:c r="BK130" s="174"/>
      <x:c r="BL130" s="174"/>
      <x:c r="BM130" s="174"/>
      <x:c r="BN130" s="174"/>
      <x:c r="BO130" s="174"/>
      <x:c r="BP130" s="174"/>
      <x:c r="BQ130" s="174"/>
      <x:c r="BR130" s="174"/>
      <x:c r="BS130" s="174"/>
      <x:c r="BT130" s="174"/>
      <x:c r="BU130" s="174"/>
      <x:c r="BV130" s="174"/>
      <x:c r="BW130" s="174"/>
      <x:c r="BX130" s="174"/>
      <x:c r="BY130" s="174"/>
      <x:c r="BZ130" s="174"/>
      <x:c r="CA130" s="174"/>
      <x:c r="CB130" s="174"/>
      <x:c r="CC130" s="174"/>
      <x:c r="CD130" s="174"/>
      <x:c r="CE130" s="174"/>
      <x:c r="CF130" s="174"/>
      <x:c r="CG130" s="174"/>
      <x:c r="CH130" s="174"/>
      <x:c r="CI130" s="179"/>
      <x:c r="CJ130" s="174"/>
      <x:c r="CK130" s="174"/>
      <x:c r="CL130" s="174"/>
      <x:c r="CM130" s="174"/>
      <x:c r="CN130" s="174"/>
      <x:c r="CO130" s="177"/>
      <x:c r="CP130" s="174"/>
      <x:c r="CQ130" s="174"/>
      <x:c r="CR130" s="174"/>
      <x:c r="CS130" s="174"/>
      <x:c r="CT130" s="174"/>
      <x:c r="CU130" s="176"/>
      <x:c r="CV130" s="176"/>
      <x:c r="CW130" s="176"/>
      <x:c r="CX130" s="176"/>
      <x:c r="CY130" s="176"/>
      <x:c r="CZ130" s="176"/>
      <x:c r="DA130" s="176"/>
      <x:c r="DB130" s="175" t="str">
        <x:f>IF(L130="","",IF(COUNT(CU130:DA130)&lt;7,"",SUM(CU130:DA130)))</x:f>
      </x:c>
      <x:c r="DC130" s="180" t="str">
        <x:f>IF(DB130="","",ROUND(DB130/14*10,1))</x:f>
      </x:c>
      <x:c r="DD130" s="174"/>
      <x:c r="DE130" s="175" t="str">
        <x:f>IF(L130="","",IF(DC130="","Pending",IF(DD130="Yes","CONDITIONAL — safety override",IF(DC130&gt;=8,"HIGH",IF(DC130&gt;=5,"CONDITIONAL","LOW")))))</x:f>
      </x:c>
      <x:c r="DF130" s="174"/>
      <x:c r="DG130" s="174"/>
      <x:c r="DH130" s="174"/>
      <x:c r="DI130" s="174"/>
      <x:c r="DJ130" s="174"/>
      <x:c r="DK130" s="174"/>
      <x:c r="DL130" s="174"/>
      <x:c r="DM130" s="174"/>
      <x:c r="DN130" s="174"/>
      <x:c r="DO130" s="174"/>
      <x:c r="DP130" s="174"/>
      <x:c r="DQ130" s="174"/>
      <x:c r="DR130" s="174"/>
      <x:c r="DS130" s="174"/>
      <x:c r="DT130" s="174"/>
      <x:c r="DU130" s="174"/>
      <x:c r="DV130" s="174"/>
      <x:c r="DW130" s="174"/>
      <x:c r="DX130" s="174"/>
      <x:c r="DY130" s="174"/>
      <x:c r="DZ130" s="174"/>
      <x:c r="EA130" s="174"/>
      <x:c r="EB130" s="175" t="str">
        <x:f>IF(L130="","",IF(AND(F130="Claim-ready",CJ130="Yes",CL130="Yes",DZ130&lt;&gt;""),"Yes","No / Pending"))</x:f>
      </x:c>
      <x:c r="EC130" s="174"/>
      <x:c r="ED130" s="174"/>
      <x:c r="EE130" s="174"/>
      <x:c r="EF130" s="174"/>
      <x:c r="EG130" s="174"/>
      <x:c r="EH130" s="177"/>
      <x:c r="EI130" s="174"/>
      <x:c r="EJ130" s="174"/>
      <x:c r="EK130" s="174"/>
      <x:c r="EL130" s="177"/>
      <x:c r="EM130" s="174"/>
      <x:c r="EN130" s="181" t="str">
        <x:f>IF(L130="","",(IF(N130&lt;&gt;"",1,0)+IF(O130&lt;&gt;"",1,0)+IF(AJ130&lt;&gt;"",1,0)+IF(AU130&lt;&gt;"",1,0)+IF(BE130&lt;&gt;"",1,0)+IF(CF130&lt;&gt;"",1,0)+IF(CJ130="Yes",1,0)+IF(CL130="Yes",1,0)+IF(DE130&lt;&gt;"Pending",1,0)+IF(F130&lt;&gt;"",1,0)+IF(DZ130&lt;&gt;"",1,0)+IF(EI130&lt;&gt;"",1,0))/12)</x:f>
      </x:c>
    </x:row>
    <x:row r="131">
      <x:c r="A131" s="175" t="str">
        <x:f>IF(L131="","","EV-"&amp;TEXT(ROW()-3,"0000"))</x:f>
      </x:c>
      <x:c r="B131" s="174"/>
      <x:c r="C131" s="175" t="str">
        <x:f>IF(L131="","",IF(OR(CM131="Retracted",CN131="Retracted",F131="Not used"),"🔴 Do not use for conclusion",IF(OR(R131="Official / Institutional",I131="Official / contextual"),"🔵 Official / contextual",IF(OR(I131="Definition",I131="Framework",I131="Paradigm shift"),"🟣 Conceptual key source",IF(AND(CJ131="Yes",CL131="Yes",OR(CG131="High",CG131="Moderate"),CH131&lt;&gt;"High",CH131&lt;&gt;"Critical",F131="Claim-ready"),"🟢 Claim-ready","🟡 Caution / context")))))</x:f>
      </x:c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6"/>
      <x:c r="P131" s="174"/>
      <x:c r="Q131" s="174"/>
      <x:c r="R131" s="174"/>
      <x:c r="S131" s="174"/>
      <x:c r="T131" s="174"/>
      <x:c r="U131" s="174"/>
      <x:c r="V131" s="174"/>
      <x:c r="W131" s="175" t="str">
        <x:f>IF(V131="","",LOWER(SUBSTITUTE(SUBSTITUTE(SUBSTITUTE(SUBSTITUTE(TRIM(V131),"https://doi.org/",""),"http://doi.org/",""),"https://dx.doi.org/",""),"doi:","")))</x:f>
      </x:c>
      <x:c r="X131" s="174"/>
      <x:c r="Y131" s="174"/>
      <x:c r="Z131" s="174"/>
      <x:c r="AA131" s="174"/>
      <x:c r="AB131" s="174"/>
      <x:c r="AC131" s="174"/>
      <x:c r="AD131" s="177"/>
      <x:c r="AE131" s="177"/>
      <x:c r="AF131" s="174"/>
      <x:c r="AG131" s="174"/>
      <x:c r="AH131" s="174"/>
      <x:c r="AI131" s="174"/>
      <x:c r="AJ131" s="174"/>
      <x:c r="AK131" s="175" t="str">
        <x:f>IF(AJ131="","",IF(OR(LOWER(AJ131)="brazil",LOWER(AJ131)="brasil"),"Yes","No"))</x:f>
      </x:c>
      <x:c r="AL131" s="174"/>
      <x:c r="AM131" s="174"/>
      <x:c r="AN131" s="174"/>
      <x:c r="AO131" s="178"/>
      <x:c r="AP131" s="174"/>
      <x:c r="AQ131" s="174"/>
      <x:c r="AR131" s="174"/>
      <x:c r="AS131" s="174"/>
      <x:c r="AT131" s="174"/>
      <x:c r="AU131" s="174"/>
      <x:c r="AV131" s="174"/>
      <x:c r="AW131" s="174"/>
      <x:c r="AX131" s="174"/>
      <x:c r="AY131" s="174"/>
      <x:c r="AZ131" s="174"/>
      <x:c r="BA131" s="174"/>
      <x:c r="BB131" s="174"/>
      <x:c r="BC131" s="174"/>
      <x:c r="BD131" s="174"/>
      <x:c r="BE131" s="174"/>
      <x:c r="BF131" s="174"/>
      <x:c r="BG131" s="174"/>
      <x:c r="BH131" s="174"/>
      <x:c r="BI131" s="174"/>
      <x:c r="BJ131" s="174"/>
      <x:c r="BK131" s="174"/>
      <x:c r="BL131" s="174"/>
      <x:c r="BM131" s="174"/>
      <x:c r="BN131" s="174"/>
      <x:c r="BO131" s="174"/>
      <x:c r="BP131" s="174"/>
      <x:c r="BQ131" s="174"/>
      <x:c r="BR131" s="174"/>
      <x:c r="BS131" s="174"/>
      <x:c r="BT131" s="174"/>
      <x:c r="BU131" s="174"/>
      <x:c r="BV131" s="174"/>
      <x:c r="BW131" s="174"/>
      <x:c r="BX131" s="174"/>
      <x:c r="BY131" s="174"/>
      <x:c r="BZ131" s="174"/>
      <x:c r="CA131" s="174"/>
      <x:c r="CB131" s="174"/>
      <x:c r="CC131" s="174"/>
      <x:c r="CD131" s="174"/>
      <x:c r="CE131" s="174"/>
      <x:c r="CF131" s="174"/>
      <x:c r="CG131" s="174"/>
      <x:c r="CH131" s="174"/>
      <x:c r="CI131" s="179"/>
      <x:c r="CJ131" s="174"/>
      <x:c r="CK131" s="174"/>
      <x:c r="CL131" s="174"/>
      <x:c r="CM131" s="174"/>
      <x:c r="CN131" s="174"/>
      <x:c r="CO131" s="177"/>
      <x:c r="CP131" s="174"/>
      <x:c r="CQ131" s="174"/>
      <x:c r="CR131" s="174"/>
      <x:c r="CS131" s="174"/>
      <x:c r="CT131" s="174"/>
      <x:c r="CU131" s="176"/>
      <x:c r="CV131" s="176"/>
      <x:c r="CW131" s="176"/>
      <x:c r="CX131" s="176"/>
      <x:c r="CY131" s="176"/>
      <x:c r="CZ131" s="176"/>
      <x:c r="DA131" s="176"/>
      <x:c r="DB131" s="175" t="str">
        <x:f>IF(L131="","",IF(COUNT(CU131:DA131)&lt;7,"",SUM(CU131:DA131)))</x:f>
      </x:c>
      <x:c r="DC131" s="180" t="str">
        <x:f>IF(DB131="","",ROUND(DB131/14*10,1))</x:f>
      </x:c>
      <x:c r="DD131" s="174"/>
      <x:c r="DE131" s="175" t="str">
        <x:f>IF(L131="","",IF(DC131="","Pending",IF(DD131="Yes","CONDITIONAL — safety override",IF(DC131&gt;=8,"HIGH",IF(DC131&gt;=5,"CONDITIONAL","LOW")))))</x:f>
      </x:c>
      <x:c r="DF131" s="174"/>
      <x:c r="DG131" s="174"/>
      <x:c r="DH131" s="174"/>
      <x:c r="DI131" s="174"/>
      <x:c r="DJ131" s="174"/>
      <x:c r="DK131" s="174"/>
      <x:c r="DL131" s="174"/>
      <x:c r="DM131" s="174"/>
      <x:c r="DN131" s="174"/>
      <x:c r="DO131" s="174"/>
      <x:c r="DP131" s="174"/>
      <x:c r="DQ131" s="174"/>
      <x:c r="DR131" s="174"/>
      <x:c r="DS131" s="174"/>
      <x:c r="DT131" s="174"/>
      <x:c r="DU131" s="174"/>
      <x:c r="DV131" s="174"/>
      <x:c r="DW131" s="174"/>
      <x:c r="DX131" s="174"/>
      <x:c r="DY131" s="174"/>
      <x:c r="DZ131" s="174"/>
      <x:c r="EA131" s="174"/>
      <x:c r="EB131" s="175" t="str">
        <x:f>IF(L131="","",IF(AND(F131="Claim-ready",CJ131="Yes",CL131="Yes",DZ131&lt;&gt;""),"Yes","No / Pending"))</x:f>
      </x:c>
      <x:c r="EC131" s="174"/>
      <x:c r="ED131" s="174"/>
      <x:c r="EE131" s="174"/>
      <x:c r="EF131" s="174"/>
      <x:c r="EG131" s="174"/>
      <x:c r="EH131" s="177"/>
      <x:c r="EI131" s="174"/>
      <x:c r="EJ131" s="174"/>
      <x:c r="EK131" s="174"/>
      <x:c r="EL131" s="177"/>
      <x:c r="EM131" s="174"/>
      <x:c r="EN131" s="181" t="str">
        <x:f>IF(L131="","",(IF(N131&lt;&gt;"",1,0)+IF(O131&lt;&gt;"",1,0)+IF(AJ131&lt;&gt;"",1,0)+IF(AU131&lt;&gt;"",1,0)+IF(BE131&lt;&gt;"",1,0)+IF(CF131&lt;&gt;"",1,0)+IF(CJ131="Yes",1,0)+IF(CL131="Yes",1,0)+IF(DE131&lt;&gt;"Pending",1,0)+IF(F131&lt;&gt;"",1,0)+IF(DZ131&lt;&gt;"",1,0)+IF(EI131&lt;&gt;"",1,0))/12)</x:f>
      </x:c>
    </x:row>
    <x:row r="132">
      <x:c r="A132" s="175" t="str">
        <x:f>IF(L132="","","EV-"&amp;TEXT(ROW()-3,"0000"))</x:f>
      </x:c>
      <x:c r="B132" s="174"/>
      <x:c r="C132" s="175" t="str">
        <x:f>IF(L132="","",IF(OR(CM132="Retracted",CN132="Retracted",F132="Not used"),"🔴 Do not use for conclusion",IF(OR(R132="Official / Institutional",I132="Official / contextual"),"🔵 Official / contextual",IF(OR(I132="Definition",I132="Framework",I132="Paradigm shift"),"🟣 Conceptual key source",IF(AND(CJ132="Yes",CL132="Yes",OR(CG132="High",CG132="Moderate"),CH132&lt;&gt;"High",CH132&lt;&gt;"Critical",F132="Claim-ready"),"🟢 Claim-ready","🟡 Caution / context")))))</x:f>
      </x:c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6"/>
      <x:c r="P132" s="174"/>
      <x:c r="Q132" s="174"/>
      <x:c r="R132" s="174"/>
      <x:c r="S132" s="174"/>
      <x:c r="T132" s="174"/>
      <x:c r="U132" s="174"/>
      <x:c r="V132" s="174"/>
      <x:c r="W132" s="175" t="str">
        <x:f>IF(V132="","",LOWER(SUBSTITUTE(SUBSTITUTE(SUBSTITUTE(SUBSTITUTE(TRIM(V132),"https://doi.org/",""),"http://doi.org/",""),"https://dx.doi.org/",""),"doi:","")))</x:f>
      </x:c>
      <x:c r="X132" s="174"/>
      <x:c r="Y132" s="174"/>
      <x:c r="Z132" s="174"/>
      <x:c r="AA132" s="174"/>
      <x:c r="AB132" s="174"/>
      <x:c r="AC132" s="174"/>
      <x:c r="AD132" s="177"/>
      <x:c r="AE132" s="177"/>
      <x:c r="AF132" s="174"/>
      <x:c r="AG132" s="174"/>
      <x:c r="AH132" s="174"/>
      <x:c r="AI132" s="174"/>
      <x:c r="AJ132" s="174"/>
      <x:c r="AK132" s="175" t="str">
        <x:f>IF(AJ132="","",IF(OR(LOWER(AJ132)="brazil",LOWER(AJ132)="brasil"),"Yes","No"))</x:f>
      </x:c>
      <x:c r="AL132" s="174"/>
      <x:c r="AM132" s="174"/>
      <x:c r="AN132" s="174"/>
      <x:c r="AO132" s="178"/>
      <x:c r="AP132" s="174"/>
      <x:c r="AQ132" s="174"/>
      <x:c r="AR132" s="174"/>
      <x:c r="AS132" s="174"/>
      <x:c r="AT132" s="174"/>
      <x:c r="AU132" s="174"/>
      <x:c r="AV132" s="174"/>
      <x:c r="AW132" s="174"/>
      <x:c r="AX132" s="174"/>
      <x:c r="AY132" s="174"/>
      <x:c r="AZ132" s="174"/>
      <x:c r="BA132" s="174"/>
      <x:c r="BB132" s="174"/>
      <x:c r="BC132" s="174"/>
      <x:c r="BD132" s="174"/>
      <x:c r="BE132" s="174"/>
      <x:c r="BF132" s="174"/>
      <x:c r="BG132" s="174"/>
      <x:c r="BH132" s="174"/>
      <x:c r="BI132" s="174"/>
      <x:c r="BJ132" s="174"/>
      <x:c r="BK132" s="174"/>
      <x:c r="BL132" s="174"/>
      <x:c r="BM132" s="174"/>
      <x:c r="BN132" s="174"/>
      <x:c r="BO132" s="174"/>
      <x:c r="BP132" s="174"/>
      <x:c r="BQ132" s="174"/>
      <x:c r="BR132" s="174"/>
      <x:c r="BS132" s="174"/>
      <x:c r="BT132" s="174"/>
      <x:c r="BU132" s="174"/>
      <x:c r="BV132" s="174"/>
      <x:c r="BW132" s="174"/>
      <x:c r="BX132" s="174"/>
      <x:c r="BY132" s="174"/>
      <x:c r="BZ132" s="174"/>
      <x:c r="CA132" s="174"/>
      <x:c r="CB132" s="174"/>
      <x:c r="CC132" s="174"/>
      <x:c r="CD132" s="174"/>
      <x:c r="CE132" s="174"/>
      <x:c r="CF132" s="174"/>
      <x:c r="CG132" s="174"/>
      <x:c r="CH132" s="174"/>
      <x:c r="CI132" s="179"/>
      <x:c r="CJ132" s="174"/>
      <x:c r="CK132" s="174"/>
      <x:c r="CL132" s="174"/>
      <x:c r="CM132" s="174"/>
      <x:c r="CN132" s="174"/>
      <x:c r="CO132" s="177"/>
      <x:c r="CP132" s="174"/>
      <x:c r="CQ132" s="174"/>
      <x:c r="CR132" s="174"/>
      <x:c r="CS132" s="174"/>
      <x:c r="CT132" s="174"/>
      <x:c r="CU132" s="176"/>
      <x:c r="CV132" s="176"/>
      <x:c r="CW132" s="176"/>
      <x:c r="CX132" s="176"/>
      <x:c r="CY132" s="176"/>
      <x:c r="CZ132" s="176"/>
      <x:c r="DA132" s="176"/>
      <x:c r="DB132" s="175" t="str">
        <x:f>IF(L132="","",IF(COUNT(CU132:DA132)&lt;7,"",SUM(CU132:DA132)))</x:f>
      </x:c>
      <x:c r="DC132" s="180" t="str">
        <x:f>IF(DB132="","",ROUND(DB132/14*10,1))</x:f>
      </x:c>
      <x:c r="DD132" s="174"/>
      <x:c r="DE132" s="175" t="str">
        <x:f>IF(L132="","",IF(DC132="","Pending",IF(DD132="Yes","CONDITIONAL — safety override",IF(DC132&gt;=8,"HIGH",IF(DC132&gt;=5,"CONDITIONAL","LOW")))))</x:f>
      </x:c>
      <x:c r="DF132" s="174"/>
      <x:c r="DG132" s="174"/>
      <x:c r="DH132" s="174"/>
      <x:c r="DI132" s="174"/>
      <x:c r="DJ132" s="174"/>
      <x:c r="DK132" s="174"/>
      <x:c r="DL132" s="174"/>
      <x:c r="DM132" s="174"/>
      <x:c r="DN132" s="174"/>
      <x:c r="DO132" s="174"/>
      <x:c r="DP132" s="174"/>
      <x:c r="DQ132" s="174"/>
      <x:c r="DR132" s="174"/>
      <x:c r="DS132" s="174"/>
      <x:c r="DT132" s="174"/>
      <x:c r="DU132" s="174"/>
      <x:c r="DV132" s="174"/>
      <x:c r="DW132" s="174"/>
      <x:c r="DX132" s="174"/>
      <x:c r="DY132" s="174"/>
      <x:c r="DZ132" s="174"/>
      <x:c r="EA132" s="174"/>
      <x:c r="EB132" s="175" t="str">
        <x:f>IF(L132="","",IF(AND(F132="Claim-ready",CJ132="Yes",CL132="Yes",DZ132&lt;&gt;""),"Yes","No / Pending"))</x:f>
      </x:c>
      <x:c r="EC132" s="174"/>
      <x:c r="ED132" s="174"/>
      <x:c r="EE132" s="174"/>
      <x:c r="EF132" s="174"/>
      <x:c r="EG132" s="174"/>
      <x:c r="EH132" s="177"/>
      <x:c r="EI132" s="174"/>
      <x:c r="EJ132" s="174"/>
      <x:c r="EK132" s="174"/>
      <x:c r="EL132" s="177"/>
      <x:c r="EM132" s="174"/>
      <x:c r="EN132" s="181" t="str">
        <x:f>IF(L132="","",(IF(N132&lt;&gt;"",1,0)+IF(O132&lt;&gt;"",1,0)+IF(AJ132&lt;&gt;"",1,0)+IF(AU132&lt;&gt;"",1,0)+IF(BE132&lt;&gt;"",1,0)+IF(CF132&lt;&gt;"",1,0)+IF(CJ132="Yes",1,0)+IF(CL132="Yes",1,0)+IF(DE132&lt;&gt;"Pending",1,0)+IF(F132&lt;&gt;"",1,0)+IF(DZ132&lt;&gt;"",1,0)+IF(EI132&lt;&gt;"",1,0))/12)</x:f>
      </x:c>
    </x:row>
    <x:row r="133">
      <x:c r="A133" s="175" t="str">
        <x:f>IF(L133="","","EV-"&amp;TEXT(ROW()-3,"0000"))</x:f>
      </x:c>
      <x:c r="B133" s="174"/>
      <x:c r="C133" s="175" t="str">
        <x:f>IF(L133="","",IF(OR(CM133="Retracted",CN133="Retracted",F133="Not used"),"🔴 Do not use for conclusion",IF(OR(R133="Official / Institutional",I133="Official / contextual"),"🔵 Official / contextual",IF(OR(I133="Definition",I133="Framework",I133="Paradigm shift"),"🟣 Conceptual key source",IF(AND(CJ133="Yes",CL133="Yes",OR(CG133="High",CG133="Moderate"),CH133&lt;&gt;"High",CH133&lt;&gt;"Critical",F133="Claim-ready"),"🟢 Claim-ready","🟡 Caution / context")))))</x:f>
      </x:c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6"/>
      <x:c r="P133" s="174"/>
      <x:c r="Q133" s="174"/>
      <x:c r="R133" s="174"/>
      <x:c r="S133" s="174"/>
      <x:c r="T133" s="174"/>
      <x:c r="U133" s="174"/>
      <x:c r="V133" s="174"/>
      <x:c r="W133" s="175" t="str">
        <x:f>IF(V133="","",LOWER(SUBSTITUTE(SUBSTITUTE(SUBSTITUTE(SUBSTITUTE(TRIM(V133),"https://doi.org/",""),"http://doi.org/",""),"https://dx.doi.org/",""),"doi:","")))</x:f>
      </x:c>
      <x:c r="X133" s="174"/>
      <x:c r="Y133" s="174"/>
      <x:c r="Z133" s="174"/>
      <x:c r="AA133" s="174"/>
      <x:c r="AB133" s="174"/>
      <x:c r="AC133" s="174"/>
      <x:c r="AD133" s="177"/>
      <x:c r="AE133" s="177"/>
      <x:c r="AF133" s="174"/>
      <x:c r="AG133" s="174"/>
      <x:c r="AH133" s="174"/>
      <x:c r="AI133" s="174"/>
      <x:c r="AJ133" s="174"/>
      <x:c r="AK133" s="175" t="str">
        <x:f>IF(AJ133="","",IF(OR(LOWER(AJ133)="brazil",LOWER(AJ133)="brasil"),"Yes","No"))</x:f>
      </x:c>
      <x:c r="AL133" s="174"/>
      <x:c r="AM133" s="174"/>
      <x:c r="AN133" s="174"/>
      <x:c r="AO133" s="178"/>
      <x:c r="AP133" s="174"/>
      <x:c r="AQ133" s="174"/>
      <x:c r="AR133" s="174"/>
      <x:c r="AS133" s="174"/>
      <x:c r="AT133" s="174"/>
      <x:c r="AU133" s="174"/>
      <x:c r="AV133" s="174"/>
      <x:c r="AW133" s="174"/>
      <x:c r="AX133" s="174"/>
      <x:c r="AY133" s="174"/>
      <x:c r="AZ133" s="174"/>
      <x:c r="BA133" s="174"/>
      <x:c r="BB133" s="174"/>
      <x:c r="BC133" s="174"/>
      <x:c r="BD133" s="174"/>
      <x:c r="BE133" s="174"/>
      <x:c r="BF133" s="174"/>
      <x:c r="BG133" s="174"/>
      <x:c r="BH133" s="174"/>
      <x:c r="BI133" s="174"/>
      <x:c r="BJ133" s="174"/>
      <x:c r="BK133" s="174"/>
      <x:c r="BL133" s="174"/>
      <x:c r="BM133" s="174"/>
      <x:c r="BN133" s="174"/>
      <x:c r="BO133" s="174"/>
      <x:c r="BP133" s="174"/>
      <x:c r="BQ133" s="174"/>
      <x:c r="BR133" s="174"/>
      <x:c r="BS133" s="174"/>
      <x:c r="BT133" s="174"/>
      <x:c r="BU133" s="174"/>
      <x:c r="BV133" s="174"/>
      <x:c r="BW133" s="174"/>
      <x:c r="BX133" s="174"/>
      <x:c r="BY133" s="174"/>
      <x:c r="BZ133" s="174"/>
      <x:c r="CA133" s="174"/>
      <x:c r="CB133" s="174"/>
      <x:c r="CC133" s="174"/>
      <x:c r="CD133" s="174"/>
      <x:c r="CE133" s="174"/>
      <x:c r="CF133" s="174"/>
      <x:c r="CG133" s="174"/>
      <x:c r="CH133" s="174"/>
      <x:c r="CI133" s="179"/>
      <x:c r="CJ133" s="174"/>
      <x:c r="CK133" s="174"/>
      <x:c r="CL133" s="174"/>
      <x:c r="CM133" s="174"/>
      <x:c r="CN133" s="174"/>
      <x:c r="CO133" s="177"/>
      <x:c r="CP133" s="174"/>
      <x:c r="CQ133" s="174"/>
      <x:c r="CR133" s="174"/>
      <x:c r="CS133" s="174"/>
      <x:c r="CT133" s="174"/>
      <x:c r="CU133" s="176"/>
      <x:c r="CV133" s="176"/>
      <x:c r="CW133" s="176"/>
      <x:c r="CX133" s="176"/>
      <x:c r="CY133" s="176"/>
      <x:c r="CZ133" s="176"/>
      <x:c r="DA133" s="176"/>
      <x:c r="DB133" s="175" t="str">
        <x:f>IF(L133="","",IF(COUNT(CU133:DA133)&lt;7,"",SUM(CU133:DA133)))</x:f>
      </x:c>
      <x:c r="DC133" s="180" t="str">
        <x:f>IF(DB133="","",ROUND(DB133/14*10,1))</x:f>
      </x:c>
      <x:c r="DD133" s="174"/>
      <x:c r="DE133" s="175" t="str">
        <x:f>IF(L133="","",IF(DC133="","Pending",IF(DD133="Yes","CONDITIONAL — safety override",IF(DC133&gt;=8,"HIGH",IF(DC133&gt;=5,"CONDITIONAL","LOW")))))</x:f>
      </x:c>
      <x:c r="DF133" s="174"/>
      <x:c r="DG133" s="174"/>
      <x:c r="DH133" s="174"/>
      <x:c r="DI133" s="174"/>
      <x:c r="DJ133" s="174"/>
      <x:c r="DK133" s="174"/>
      <x:c r="DL133" s="174"/>
      <x:c r="DM133" s="174"/>
      <x:c r="DN133" s="174"/>
      <x:c r="DO133" s="174"/>
      <x:c r="DP133" s="174"/>
      <x:c r="DQ133" s="174"/>
      <x:c r="DR133" s="174"/>
      <x:c r="DS133" s="174"/>
      <x:c r="DT133" s="174"/>
      <x:c r="DU133" s="174"/>
      <x:c r="DV133" s="174"/>
      <x:c r="DW133" s="174"/>
      <x:c r="DX133" s="174"/>
      <x:c r="DY133" s="174"/>
      <x:c r="DZ133" s="174"/>
      <x:c r="EA133" s="174"/>
      <x:c r="EB133" s="175" t="str">
        <x:f>IF(L133="","",IF(AND(F133="Claim-ready",CJ133="Yes",CL133="Yes",DZ133&lt;&gt;""),"Yes","No / Pending"))</x:f>
      </x:c>
      <x:c r="EC133" s="174"/>
      <x:c r="ED133" s="174"/>
      <x:c r="EE133" s="174"/>
      <x:c r="EF133" s="174"/>
      <x:c r="EG133" s="174"/>
      <x:c r="EH133" s="177"/>
      <x:c r="EI133" s="174"/>
      <x:c r="EJ133" s="174"/>
      <x:c r="EK133" s="174"/>
      <x:c r="EL133" s="177"/>
      <x:c r="EM133" s="174"/>
      <x:c r="EN133" s="181" t="str">
        <x:f>IF(L133="","",(IF(N133&lt;&gt;"",1,0)+IF(O133&lt;&gt;"",1,0)+IF(AJ133&lt;&gt;"",1,0)+IF(AU133&lt;&gt;"",1,0)+IF(BE133&lt;&gt;"",1,0)+IF(CF133&lt;&gt;"",1,0)+IF(CJ133="Yes",1,0)+IF(CL133="Yes",1,0)+IF(DE133&lt;&gt;"Pending",1,0)+IF(F133&lt;&gt;"",1,0)+IF(DZ133&lt;&gt;"",1,0)+IF(EI133&lt;&gt;"",1,0))/12)</x:f>
      </x:c>
    </x:row>
    <x:row r="134">
      <x:c r="A134" s="175" t="str">
        <x:f>IF(L134="","","EV-"&amp;TEXT(ROW()-3,"0000"))</x:f>
      </x:c>
      <x:c r="B134" s="174"/>
      <x:c r="C134" s="175" t="str">
        <x:f>IF(L134="","",IF(OR(CM134="Retracted",CN134="Retracted",F134="Not used"),"🔴 Do not use for conclusion",IF(OR(R134="Official / Institutional",I134="Official / contextual"),"🔵 Official / contextual",IF(OR(I134="Definition",I134="Framework",I134="Paradigm shift"),"🟣 Conceptual key source",IF(AND(CJ134="Yes",CL134="Yes",OR(CG134="High",CG134="Moderate"),CH134&lt;&gt;"High",CH134&lt;&gt;"Critical",F134="Claim-ready"),"🟢 Claim-ready","🟡 Caution / context")))))</x:f>
      </x:c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6"/>
      <x:c r="P134" s="174"/>
      <x:c r="Q134" s="174"/>
      <x:c r="R134" s="174"/>
      <x:c r="S134" s="174"/>
      <x:c r="T134" s="174"/>
      <x:c r="U134" s="174"/>
      <x:c r="V134" s="174"/>
      <x:c r="W134" s="175" t="str">
        <x:f>IF(V134="","",LOWER(SUBSTITUTE(SUBSTITUTE(SUBSTITUTE(SUBSTITUTE(TRIM(V134),"https://doi.org/",""),"http://doi.org/",""),"https://dx.doi.org/",""),"doi:","")))</x:f>
      </x:c>
      <x:c r="X134" s="174"/>
      <x:c r="Y134" s="174"/>
      <x:c r="Z134" s="174"/>
      <x:c r="AA134" s="174"/>
      <x:c r="AB134" s="174"/>
      <x:c r="AC134" s="174"/>
      <x:c r="AD134" s="177"/>
      <x:c r="AE134" s="177"/>
      <x:c r="AF134" s="174"/>
      <x:c r="AG134" s="174"/>
      <x:c r="AH134" s="174"/>
      <x:c r="AI134" s="174"/>
      <x:c r="AJ134" s="174"/>
      <x:c r="AK134" s="175" t="str">
        <x:f>IF(AJ134="","",IF(OR(LOWER(AJ134)="brazil",LOWER(AJ134)="brasil"),"Yes","No"))</x:f>
      </x:c>
      <x:c r="AL134" s="174"/>
      <x:c r="AM134" s="174"/>
      <x:c r="AN134" s="174"/>
      <x:c r="AO134" s="178"/>
      <x:c r="AP134" s="174"/>
      <x:c r="AQ134" s="174"/>
      <x:c r="AR134" s="174"/>
      <x:c r="AS134" s="174"/>
      <x:c r="AT134" s="174"/>
      <x:c r="AU134" s="174"/>
      <x:c r="AV134" s="174"/>
      <x:c r="AW134" s="174"/>
      <x:c r="AX134" s="174"/>
      <x:c r="AY134" s="174"/>
      <x:c r="AZ134" s="174"/>
      <x:c r="BA134" s="174"/>
      <x:c r="BB134" s="174"/>
      <x:c r="BC134" s="174"/>
      <x:c r="BD134" s="174"/>
      <x:c r="BE134" s="174"/>
      <x:c r="BF134" s="174"/>
      <x:c r="BG134" s="174"/>
      <x:c r="BH134" s="174"/>
      <x:c r="BI134" s="174"/>
      <x:c r="BJ134" s="174"/>
      <x:c r="BK134" s="174"/>
      <x:c r="BL134" s="174"/>
      <x:c r="BM134" s="174"/>
      <x:c r="BN134" s="174"/>
      <x:c r="BO134" s="174"/>
      <x:c r="BP134" s="174"/>
      <x:c r="BQ134" s="174"/>
      <x:c r="BR134" s="174"/>
      <x:c r="BS134" s="174"/>
      <x:c r="BT134" s="174"/>
      <x:c r="BU134" s="174"/>
      <x:c r="BV134" s="174"/>
      <x:c r="BW134" s="174"/>
      <x:c r="BX134" s="174"/>
      <x:c r="BY134" s="174"/>
      <x:c r="BZ134" s="174"/>
      <x:c r="CA134" s="174"/>
      <x:c r="CB134" s="174"/>
      <x:c r="CC134" s="174"/>
      <x:c r="CD134" s="174"/>
      <x:c r="CE134" s="174"/>
      <x:c r="CF134" s="174"/>
      <x:c r="CG134" s="174"/>
      <x:c r="CH134" s="174"/>
      <x:c r="CI134" s="179"/>
      <x:c r="CJ134" s="174"/>
      <x:c r="CK134" s="174"/>
      <x:c r="CL134" s="174"/>
      <x:c r="CM134" s="174"/>
      <x:c r="CN134" s="174"/>
      <x:c r="CO134" s="177"/>
      <x:c r="CP134" s="174"/>
      <x:c r="CQ134" s="174"/>
      <x:c r="CR134" s="174"/>
      <x:c r="CS134" s="174"/>
      <x:c r="CT134" s="174"/>
      <x:c r="CU134" s="176"/>
      <x:c r="CV134" s="176"/>
      <x:c r="CW134" s="176"/>
      <x:c r="CX134" s="176"/>
      <x:c r="CY134" s="176"/>
      <x:c r="CZ134" s="176"/>
      <x:c r="DA134" s="176"/>
      <x:c r="DB134" s="175" t="str">
        <x:f>IF(L134="","",IF(COUNT(CU134:DA134)&lt;7,"",SUM(CU134:DA134)))</x:f>
      </x:c>
      <x:c r="DC134" s="180" t="str">
        <x:f>IF(DB134="","",ROUND(DB134/14*10,1))</x:f>
      </x:c>
      <x:c r="DD134" s="174"/>
      <x:c r="DE134" s="175" t="str">
        <x:f>IF(L134="","",IF(DC134="","Pending",IF(DD134="Yes","CONDITIONAL — safety override",IF(DC134&gt;=8,"HIGH",IF(DC134&gt;=5,"CONDITIONAL","LOW")))))</x:f>
      </x:c>
      <x:c r="DF134" s="174"/>
      <x:c r="DG134" s="174"/>
      <x:c r="DH134" s="174"/>
      <x:c r="DI134" s="174"/>
      <x:c r="DJ134" s="174"/>
      <x:c r="DK134" s="174"/>
      <x:c r="DL134" s="174"/>
      <x:c r="DM134" s="174"/>
      <x:c r="DN134" s="174"/>
      <x:c r="DO134" s="174"/>
      <x:c r="DP134" s="174"/>
      <x:c r="DQ134" s="174"/>
      <x:c r="DR134" s="174"/>
      <x:c r="DS134" s="174"/>
      <x:c r="DT134" s="174"/>
      <x:c r="DU134" s="174"/>
      <x:c r="DV134" s="174"/>
      <x:c r="DW134" s="174"/>
      <x:c r="DX134" s="174"/>
      <x:c r="DY134" s="174"/>
      <x:c r="DZ134" s="174"/>
      <x:c r="EA134" s="174"/>
      <x:c r="EB134" s="175" t="str">
        <x:f>IF(L134="","",IF(AND(F134="Claim-ready",CJ134="Yes",CL134="Yes",DZ134&lt;&gt;""),"Yes","No / Pending"))</x:f>
      </x:c>
      <x:c r="EC134" s="174"/>
      <x:c r="ED134" s="174"/>
      <x:c r="EE134" s="174"/>
      <x:c r="EF134" s="174"/>
      <x:c r="EG134" s="174"/>
      <x:c r="EH134" s="177"/>
      <x:c r="EI134" s="174"/>
      <x:c r="EJ134" s="174"/>
      <x:c r="EK134" s="174"/>
      <x:c r="EL134" s="177"/>
      <x:c r="EM134" s="174"/>
      <x:c r="EN134" s="181" t="str">
        <x:f>IF(L134="","",(IF(N134&lt;&gt;"",1,0)+IF(O134&lt;&gt;"",1,0)+IF(AJ134&lt;&gt;"",1,0)+IF(AU134&lt;&gt;"",1,0)+IF(BE134&lt;&gt;"",1,0)+IF(CF134&lt;&gt;"",1,0)+IF(CJ134="Yes",1,0)+IF(CL134="Yes",1,0)+IF(DE134&lt;&gt;"Pending",1,0)+IF(F134&lt;&gt;"",1,0)+IF(DZ134&lt;&gt;"",1,0)+IF(EI134&lt;&gt;"",1,0))/12)</x:f>
      </x:c>
    </x:row>
    <x:row r="135">
      <x:c r="A135" s="175" t="str">
        <x:f>IF(L135="","","EV-"&amp;TEXT(ROW()-3,"0000"))</x:f>
      </x:c>
      <x:c r="B135" s="174"/>
      <x:c r="C135" s="175" t="str">
        <x:f>IF(L135="","",IF(OR(CM135="Retracted",CN135="Retracted",F135="Not used"),"🔴 Do not use for conclusion",IF(OR(R135="Official / Institutional",I135="Official / contextual"),"🔵 Official / contextual",IF(OR(I135="Definition",I135="Framework",I135="Paradigm shift"),"🟣 Conceptual key source",IF(AND(CJ135="Yes",CL135="Yes",OR(CG135="High",CG135="Moderate"),CH135&lt;&gt;"High",CH135&lt;&gt;"Critical",F135="Claim-ready"),"🟢 Claim-ready","🟡 Caution / context")))))</x:f>
      </x:c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6"/>
      <x:c r="P135" s="174"/>
      <x:c r="Q135" s="174"/>
      <x:c r="R135" s="174"/>
      <x:c r="S135" s="174"/>
      <x:c r="T135" s="174"/>
      <x:c r="U135" s="174"/>
      <x:c r="V135" s="174"/>
      <x:c r="W135" s="175" t="str">
        <x:f>IF(V135="","",LOWER(SUBSTITUTE(SUBSTITUTE(SUBSTITUTE(SUBSTITUTE(TRIM(V135),"https://doi.org/",""),"http://doi.org/",""),"https://dx.doi.org/",""),"doi:","")))</x:f>
      </x:c>
      <x:c r="X135" s="174"/>
      <x:c r="Y135" s="174"/>
      <x:c r="Z135" s="174"/>
      <x:c r="AA135" s="174"/>
      <x:c r="AB135" s="174"/>
      <x:c r="AC135" s="174"/>
      <x:c r="AD135" s="177"/>
      <x:c r="AE135" s="177"/>
      <x:c r="AF135" s="174"/>
      <x:c r="AG135" s="174"/>
      <x:c r="AH135" s="174"/>
      <x:c r="AI135" s="174"/>
      <x:c r="AJ135" s="174"/>
      <x:c r="AK135" s="175" t="str">
        <x:f>IF(AJ135="","",IF(OR(LOWER(AJ135)="brazil",LOWER(AJ135)="brasil"),"Yes","No"))</x:f>
      </x:c>
      <x:c r="AL135" s="174"/>
      <x:c r="AM135" s="174"/>
      <x:c r="AN135" s="174"/>
      <x:c r="AO135" s="178"/>
      <x:c r="AP135" s="174"/>
      <x:c r="AQ135" s="174"/>
      <x:c r="AR135" s="174"/>
      <x:c r="AS135" s="174"/>
      <x:c r="AT135" s="174"/>
      <x:c r="AU135" s="174"/>
      <x:c r="AV135" s="174"/>
      <x:c r="AW135" s="174"/>
      <x:c r="AX135" s="174"/>
      <x:c r="AY135" s="174"/>
      <x:c r="AZ135" s="174"/>
      <x:c r="BA135" s="174"/>
      <x:c r="BB135" s="174"/>
      <x:c r="BC135" s="174"/>
      <x:c r="BD135" s="174"/>
      <x:c r="BE135" s="174"/>
      <x:c r="BF135" s="174"/>
      <x:c r="BG135" s="174"/>
      <x:c r="BH135" s="174"/>
      <x:c r="BI135" s="174"/>
      <x:c r="BJ135" s="174"/>
      <x:c r="BK135" s="174"/>
      <x:c r="BL135" s="174"/>
      <x:c r="BM135" s="174"/>
      <x:c r="BN135" s="174"/>
      <x:c r="BO135" s="174"/>
      <x:c r="BP135" s="174"/>
      <x:c r="BQ135" s="174"/>
      <x:c r="BR135" s="174"/>
      <x:c r="BS135" s="174"/>
      <x:c r="BT135" s="174"/>
      <x:c r="BU135" s="174"/>
      <x:c r="BV135" s="174"/>
      <x:c r="BW135" s="174"/>
      <x:c r="BX135" s="174"/>
      <x:c r="BY135" s="174"/>
      <x:c r="BZ135" s="174"/>
      <x:c r="CA135" s="174"/>
      <x:c r="CB135" s="174"/>
      <x:c r="CC135" s="174"/>
      <x:c r="CD135" s="174"/>
      <x:c r="CE135" s="174"/>
      <x:c r="CF135" s="174"/>
      <x:c r="CG135" s="174"/>
      <x:c r="CH135" s="174"/>
      <x:c r="CI135" s="179"/>
      <x:c r="CJ135" s="174"/>
      <x:c r="CK135" s="174"/>
      <x:c r="CL135" s="174"/>
      <x:c r="CM135" s="174"/>
      <x:c r="CN135" s="174"/>
      <x:c r="CO135" s="177"/>
      <x:c r="CP135" s="174"/>
      <x:c r="CQ135" s="174"/>
      <x:c r="CR135" s="174"/>
      <x:c r="CS135" s="174"/>
      <x:c r="CT135" s="174"/>
      <x:c r="CU135" s="176"/>
      <x:c r="CV135" s="176"/>
      <x:c r="CW135" s="176"/>
      <x:c r="CX135" s="176"/>
      <x:c r="CY135" s="176"/>
      <x:c r="CZ135" s="176"/>
      <x:c r="DA135" s="176"/>
      <x:c r="DB135" s="175" t="str">
        <x:f>IF(L135="","",IF(COUNT(CU135:DA135)&lt;7,"",SUM(CU135:DA135)))</x:f>
      </x:c>
      <x:c r="DC135" s="180" t="str">
        <x:f>IF(DB135="","",ROUND(DB135/14*10,1))</x:f>
      </x:c>
      <x:c r="DD135" s="174"/>
      <x:c r="DE135" s="175" t="str">
        <x:f>IF(L135="","",IF(DC135="","Pending",IF(DD135="Yes","CONDITIONAL — safety override",IF(DC135&gt;=8,"HIGH",IF(DC135&gt;=5,"CONDITIONAL","LOW")))))</x:f>
      </x:c>
      <x:c r="DF135" s="174"/>
      <x:c r="DG135" s="174"/>
      <x:c r="DH135" s="174"/>
      <x:c r="DI135" s="174"/>
      <x:c r="DJ135" s="174"/>
      <x:c r="DK135" s="174"/>
      <x:c r="DL135" s="174"/>
      <x:c r="DM135" s="174"/>
      <x:c r="DN135" s="174"/>
      <x:c r="DO135" s="174"/>
      <x:c r="DP135" s="174"/>
      <x:c r="DQ135" s="174"/>
      <x:c r="DR135" s="174"/>
      <x:c r="DS135" s="174"/>
      <x:c r="DT135" s="174"/>
      <x:c r="DU135" s="174"/>
      <x:c r="DV135" s="174"/>
      <x:c r="DW135" s="174"/>
      <x:c r="DX135" s="174"/>
      <x:c r="DY135" s="174"/>
      <x:c r="DZ135" s="174"/>
      <x:c r="EA135" s="174"/>
      <x:c r="EB135" s="175" t="str">
        <x:f>IF(L135="","",IF(AND(F135="Claim-ready",CJ135="Yes",CL135="Yes",DZ135&lt;&gt;""),"Yes","No / Pending"))</x:f>
      </x:c>
      <x:c r="EC135" s="174"/>
      <x:c r="ED135" s="174"/>
      <x:c r="EE135" s="174"/>
      <x:c r="EF135" s="174"/>
      <x:c r="EG135" s="174"/>
      <x:c r="EH135" s="177"/>
      <x:c r="EI135" s="174"/>
      <x:c r="EJ135" s="174"/>
      <x:c r="EK135" s="174"/>
      <x:c r="EL135" s="177"/>
      <x:c r="EM135" s="174"/>
      <x:c r="EN135" s="181" t="str">
        <x:f>IF(L135="","",(IF(N135&lt;&gt;"",1,0)+IF(O135&lt;&gt;"",1,0)+IF(AJ135&lt;&gt;"",1,0)+IF(AU135&lt;&gt;"",1,0)+IF(BE135&lt;&gt;"",1,0)+IF(CF135&lt;&gt;"",1,0)+IF(CJ135="Yes",1,0)+IF(CL135="Yes",1,0)+IF(DE135&lt;&gt;"Pending",1,0)+IF(F135&lt;&gt;"",1,0)+IF(DZ135&lt;&gt;"",1,0)+IF(EI135&lt;&gt;"",1,0))/12)</x:f>
      </x:c>
    </x:row>
    <x:row r="136">
      <x:c r="A136" s="175" t="str">
        <x:f>IF(L136="","","EV-"&amp;TEXT(ROW()-3,"0000"))</x:f>
      </x:c>
      <x:c r="B136" s="174"/>
      <x:c r="C136" s="175" t="str">
        <x:f>IF(L136="","",IF(OR(CM136="Retracted",CN136="Retracted",F136="Not used"),"🔴 Do not use for conclusion",IF(OR(R136="Official / Institutional",I136="Official / contextual"),"🔵 Official / contextual",IF(OR(I136="Definition",I136="Framework",I136="Paradigm shift"),"🟣 Conceptual key source",IF(AND(CJ136="Yes",CL136="Yes",OR(CG136="High",CG136="Moderate"),CH136&lt;&gt;"High",CH136&lt;&gt;"Critical",F136="Claim-ready"),"🟢 Claim-ready","🟡 Caution / context")))))</x:f>
      </x:c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6"/>
      <x:c r="P136" s="174"/>
      <x:c r="Q136" s="174"/>
      <x:c r="R136" s="174"/>
      <x:c r="S136" s="174"/>
      <x:c r="T136" s="174"/>
      <x:c r="U136" s="174"/>
      <x:c r="V136" s="174"/>
      <x:c r="W136" s="175" t="str">
        <x:f>IF(V136="","",LOWER(SUBSTITUTE(SUBSTITUTE(SUBSTITUTE(SUBSTITUTE(TRIM(V136),"https://doi.org/",""),"http://doi.org/",""),"https://dx.doi.org/",""),"doi:","")))</x:f>
      </x:c>
      <x:c r="X136" s="174"/>
      <x:c r="Y136" s="174"/>
      <x:c r="Z136" s="174"/>
      <x:c r="AA136" s="174"/>
      <x:c r="AB136" s="174"/>
      <x:c r="AC136" s="174"/>
      <x:c r="AD136" s="177"/>
      <x:c r="AE136" s="177"/>
      <x:c r="AF136" s="174"/>
      <x:c r="AG136" s="174"/>
      <x:c r="AH136" s="174"/>
      <x:c r="AI136" s="174"/>
      <x:c r="AJ136" s="174"/>
      <x:c r="AK136" s="175" t="str">
        <x:f>IF(AJ136="","",IF(OR(LOWER(AJ136)="brazil",LOWER(AJ136)="brasil"),"Yes","No"))</x:f>
      </x:c>
      <x:c r="AL136" s="174"/>
      <x:c r="AM136" s="174"/>
      <x:c r="AN136" s="174"/>
      <x:c r="AO136" s="178"/>
      <x:c r="AP136" s="174"/>
      <x:c r="AQ136" s="174"/>
      <x:c r="AR136" s="174"/>
      <x:c r="AS136" s="174"/>
      <x:c r="AT136" s="174"/>
      <x:c r="AU136" s="174"/>
      <x:c r="AV136" s="174"/>
      <x:c r="AW136" s="174"/>
      <x:c r="AX136" s="174"/>
      <x:c r="AY136" s="174"/>
      <x:c r="AZ136" s="174"/>
      <x:c r="BA136" s="174"/>
      <x:c r="BB136" s="174"/>
      <x:c r="BC136" s="174"/>
      <x:c r="BD136" s="174"/>
      <x:c r="BE136" s="174"/>
      <x:c r="BF136" s="174"/>
      <x:c r="BG136" s="174"/>
      <x:c r="BH136" s="174"/>
      <x:c r="BI136" s="174"/>
      <x:c r="BJ136" s="174"/>
      <x:c r="BK136" s="174"/>
      <x:c r="BL136" s="174"/>
      <x:c r="BM136" s="174"/>
      <x:c r="BN136" s="174"/>
      <x:c r="BO136" s="174"/>
      <x:c r="BP136" s="174"/>
      <x:c r="BQ136" s="174"/>
      <x:c r="BR136" s="174"/>
      <x:c r="BS136" s="174"/>
      <x:c r="BT136" s="174"/>
      <x:c r="BU136" s="174"/>
      <x:c r="BV136" s="174"/>
      <x:c r="BW136" s="174"/>
      <x:c r="BX136" s="174"/>
      <x:c r="BY136" s="174"/>
      <x:c r="BZ136" s="174"/>
      <x:c r="CA136" s="174"/>
      <x:c r="CB136" s="174"/>
      <x:c r="CC136" s="174"/>
      <x:c r="CD136" s="174"/>
      <x:c r="CE136" s="174"/>
      <x:c r="CF136" s="174"/>
      <x:c r="CG136" s="174"/>
      <x:c r="CH136" s="174"/>
      <x:c r="CI136" s="179"/>
      <x:c r="CJ136" s="174"/>
      <x:c r="CK136" s="174"/>
      <x:c r="CL136" s="174"/>
      <x:c r="CM136" s="174"/>
      <x:c r="CN136" s="174"/>
      <x:c r="CO136" s="177"/>
      <x:c r="CP136" s="174"/>
      <x:c r="CQ136" s="174"/>
      <x:c r="CR136" s="174"/>
      <x:c r="CS136" s="174"/>
      <x:c r="CT136" s="174"/>
      <x:c r="CU136" s="176"/>
      <x:c r="CV136" s="176"/>
      <x:c r="CW136" s="176"/>
      <x:c r="CX136" s="176"/>
      <x:c r="CY136" s="176"/>
      <x:c r="CZ136" s="176"/>
      <x:c r="DA136" s="176"/>
      <x:c r="DB136" s="175" t="str">
        <x:f>IF(L136="","",IF(COUNT(CU136:DA136)&lt;7,"",SUM(CU136:DA136)))</x:f>
      </x:c>
      <x:c r="DC136" s="180" t="str">
        <x:f>IF(DB136="","",ROUND(DB136/14*10,1))</x:f>
      </x:c>
      <x:c r="DD136" s="174"/>
      <x:c r="DE136" s="175" t="str">
        <x:f>IF(L136="","",IF(DC136="","Pending",IF(DD136="Yes","CONDITIONAL — safety override",IF(DC136&gt;=8,"HIGH",IF(DC136&gt;=5,"CONDITIONAL","LOW")))))</x:f>
      </x:c>
      <x:c r="DF136" s="174"/>
      <x:c r="DG136" s="174"/>
      <x:c r="DH136" s="174"/>
      <x:c r="DI136" s="174"/>
      <x:c r="DJ136" s="174"/>
      <x:c r="DK136" s="174"/>
      <x:c r="DL136" s="174"/>
      <x:c r="DM136" s="174"/>
      <x:c r="DN136" s="174"/>
      <x:c r="DO136" s="174"/>
      <x:c r="DP136" s="174"/>
      <x:c r="DQ136" s="174"/>
      <x:c r="DR136" s="174"/>
      <x:c r="DS136" s="174"/>
      <x:c r="DT136" s="174"/>
      <x:c r="DU136" s="174"/>
      <x:c r="DV136" s="174"/>
      <x:c r="DW136" s="174"/>
      <x:c r="DX136" s="174"/>
      <x:c r="DY136" s="174"/>
      <x:c r="DZ136" s="174"/>
      <x:c r="EA136" s="174"/>
      <x:c r="EB136" s="175" t="str">
        <x:f>IF(L136="","",IF(AND(F136="Claim-ready",CJ136="Yes",CL136="Yes",DZ136&lt;&gt;""),"Yes","No / Pending"))</x:f>
      </x:c>
      <x:c r="EC136" s="174"/>
      <x:c r="ED136" s="174"/>
      <x:c r="EE136" s="174"/>
      <x:c r="EF136" s="174"/>
      <x:c r="EG136" s="174"/>
      <x:c r="EH136" s="177"/>
      <x:c r="EI136" s="174"/>
      <x:c r="EJ136" s="174"/>
      <x:c r="EK136" s="174"/>
      <x:c r="EL136" s="177"/>
      <x:c r="EM136" s="174"/>
      <x:c r="EN136" s="181" t="str">
        <x:f>IF(L136="","",(IF(N136&lt;&gt;"",1,0)+IF(O136&lt;&gt;"",1,0)+IF(AJ136&lt;&gt;"",1,0)+IF(AU136&lt;&gt;"",1,0)+IF(BE136&lt;&gt;"",1,0)+IF(CF136&lt;&gt;"",1,0)+IF(CJ136="Yes",1,0)+IF(CL136="Yes",1,0)+IF(DE136&lt;&gt;"Pending",1,0)+IF(F136&lt;&gt;"",1,0)+IF(DZ136&lt;&gt;"",1,0)+IF(EI136&lt;&gt;"",1,0))/12)</x:f>
      </x:c>
    </x:row>
    <x:row r="137">
      <x:c r="A137" s="175" t="str">
        <x:f>IF(L137="","","EV-"&amp;TEXT(ROW()-3,"0000"))</x:f>
      </x:c>
      <x:c r="B137" s="174"/>
      <x:c r="C137" s="175" t="str">
        <x:f>IF(L137="","",IF(OR(CM137="Retracted",CN137="Retracted",F137="Not used"),"🔴 Do not use for conclusion",IF(OR(R137="Official / Institutional",I137="Official / contextual"),"🔵 Official / contextual",IF(OR(I137="Definition",I137="Framework",I137="Paradigm shift"),"🟣 Conceptual key source",IF(AND(CJ137="Yes",CL137="Yes",OR(CG137="High",CG137="Moderate"),CH137&lt;&gt;"High",CH137&lt;&gt;"Critical",F137="Claim-ready"),"🟢 Claim-ready","🟡 Caution / context")))))</x:f>
      </x:c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6"/>
      <x:c r="P137" s="174"/>
      <x:c r="Q137" s="174"/>
      <x:c r="R137" s="174"/>
      <x:c r="S137" s="174"/>
      <x:c r="T137" s="174"/>
      <x:c r="U137" s="174"/>
      <x:c r="V137" s="174"/>
      <x:c r="W137" s="175" t="str">
        <x:f>IF(V137="","",LOWER(SUBSTITUTE(SUBSTITUTE(SUBSTITUTE(SUBSTITUTE(TRIM(V137),"https://doi.org/",""),"http://doi.org/",""),"https://dx.doi.org/",""),"doi:","")))</x:f>
      </x:c>
      <x:c r="X137" s="174"/>
      <x:c r="Y137" s="174"/>
      <x:c r="Z137" s="174"/>
      <x:c r="AA137" s="174"/>
      <x:c r="AB137" s="174"/>
      <x:c r="AC137" s="174"/>
      <x:c r="AD137" s="177"/>
      <x:c r="AE137" s="177"/>
      <x:c r="AF137" s="174"/>
      <x:c r="AG137" s="174"/>
      <x:c r="AH137" s="174"/>
      <x:c r="AI137" s="174"/>
      <x:c r="AJ137" s="174"/>
      <x:c r="AK137" s="175" t="str">
        <x:f>IF(AJ137="","",IF(OR(LOWER(AJ137)="brazil",LOWER(AJ137)="brasil"),"Yes","No"))</x:f>
      </x:c>
      <x:c r="AL137" s="174"/>
      <x:c r="AM137" s="174"/>
      <x:c r="AN137" s="174"/>
      <x:c r="AO137" s="178"/>
      <x:c r="AP137" s="174"/>
      <x:c r="AQ137" s="174"/>
      <x:c r="AR137" s="174"/>
      <x:c r="AS137" s="174"/>
      <x:c r="AT137" s="174"/>
      <x:c r="AU137" s="174"/>
      <x:c r="AV137" s="174"/>
      <x:c r="AW137" s="174"/>
      <x:c r="AX137" s="174"/>
      <x:c r="AY137" s="174"/>
      <x:c r="AZ137" s="174"/>
      <x:c r="BA137" s="174"/>
      <x:c r="BB137" s="174"/>
      <x:c r="BC137" s="174"/>
      <x:c r="BD137" s="174"/>
      <x:c r="BE137" s="174"/>
      <x:c r="BF137" s="174"/>
      <x:c r="BG137" s="174"/>
      <x:c r="BH137" s="174"/>
      <x:c r="BI137" s="174"/>
      <x:c r="BJ137" s="174"/>
      <x:c r="BK137" s="174"/>
      <x:c r="BL137" s="174"/>
      <x:c r="BM137" s="174"/>
      <x:c r="BN137" s="174"/>
      <x:c r="BO137" s="174"/>
      <x:c r="BP137" s="174"/>
      <x:c r="BQ137" s="174"/>
      <x:c r="BR137" s="174"/>
      <x:c r="BS137" s="174"/>
      <x:c r="BT137" s="174"/>
      <x:c r="BU137" s="174"/>
      <x:c r="BV137" s="174"/>
      <x:c r="BW137" s="174"/>
      <x:c r="BX137" s="174"/>
      <x:c r="BY137" s="174"/>
      <x:c r="BZ137" s="174"/>
      <x:c r="CA137" s="174"/>
      <x:c r="CB137" s="174"/>
      <x:c r="CC137" s="174"/>
      <x:c r="CD137" s="174"/>
      <x:c r="CE137" s="174"/>
      <x:c r="CF137" s="174"/>
      <x:c r="CG137" s="174"/>
      <x:c r="CH137" s="174"/>
      <x:c r="CI137" s="179"/>
      <x:c r="CJ137" s="174"/>
      <x:c r="CK137" s="174"/>
      <x:c r="CL137" s="174"/>
      <x:c r="CM137" s="174"/>
      <x:c r="CN137" s="174"/>
      <x:c r="CO137" s="177"/>
      <x:c r="CP137" s="174"/>
      <x:c r="CQ137" s="174"/>
      <x:c r="CR137" s="174"/>
      <x:c r="CS137" s="174"/>
      <x:c r="CT137" s="174"/>
      <x:c r="CU137" s="176"/>
      <x:c r="CV137" s="176"/>
      <x:c r="CW137" s="176"/>
      <x:c r="CX137" s="176"/>
      <x:c r="CY137" s="176"/>
      <x:c r="CZ137" s="176"/>
      <x:c r="DA137" s="176"/>
      <x:c r="DB137" s="175" t="str">
        <x:f>IF(L137="","",IF(COUNT(CU137:DA137)&lt;7,"",SUM(CU137:DA137)))</x:f>
      </x:c>
      <x:c r="DC137" s="180" t="str">
        <x:f>IF(DB137="","",ROUND(DB137/14*10,1))</x:f>
      </x:c>
      <x:c r="DD137" s="174"/>
      <x:c r="DE137" s="175" t="str">
        <x:f>IF(L137="","",IF(DC137="","Pending",IF(DD137="Yes","CONDITIONAL — safety override",IF(DC137&gt;=8,"HIGH",IF(DC137&gt;=5,"CONDITIONAL","LOW")))))</x:f>
      </x:c>
      <x:c r="DF137" s="174"/>
      <x:c r="DG137" s="174"/>
      <x:c r="DH137" s="174"/>
      <x:c r="DI137" s="174"/>
      <x:c r="DJ137" s="174"/>
      <x:c r="DK137" s="174"/>
      <x:c r="DL137" s="174"/>
      <x:c r="DM137" s="174"/>
      <x:c r="DN137" s="174"/>
      <x:c r="DO137" s="174"/>
      <x:c r="DP137" s="174"/>
      <x:c r="DQ137" s="174"/>
      <x:c r="DR137" s="174"/>
      <x:c r="DS137" s="174"/>
      <x:c r="DT137" s="174"/>
      <x:c r="DU137" s="174"/>
      <x:c r="DV137" s="174"/>
      <x:c r="DW137" s="174"/>
      <x:c r="DX137" s="174"/>
      <x:c r="DY137" s="174"/>
      <x:c r="DZ137" s="174"/>
      <x:c r="EA137" s="174"/>
      <x:c r="EB137" s="175" t="str">
        <x:f>IF(L137="","",IF(AND(F137="Claim-ready",CJ137="Yes",CL137="Yes",DZ137&lt;&gt;""),"Yes","No / Pending"))</x:f>
      </x:c>
      <x:c r="EC137" s="174"/>
      <x:c r="ED137" s="174"/>
      <x:c r="EE137" s="174"/>
      <x:c r="EF137" s="174"/>
      <x:c r="EG137" s="174"/>
      <x:c r="EH137" s="177"/>
      <x:c r="EI137" s="174"/>
      <x:c r="EJ137" s="174"/>
      <x:c r="EK137" s="174"/>
      <x:c r="EL137" s="177"/>
      <x:c r="EM137" s="174"/>
      <x:c r="EN137" s="181" t="str">
        <x:f>IF(L137="","",(IF(N137&lt;&gt;"",1,0)+IF(O137&lt;&gt;"",1,0)+IF(AJ137&lt;&gt;"",1,0)+IF(AU137&lt;&gt;"",1,0)+IF(BE137&lt;&gt;"",1,0)+IF(CF137&lt;&gt;"",1,0)+IF(CJ137="Yes",1,0)+IF(CL137="Yes",1,0)+IF(DE137&lt;&gt;"Pending",1,0)+IF(F137&lt;&gt;"",1,0)+IF(DZ137&lt;&gt;"",1,0)+IF(EI137&lt;&gt;"",1,0))/12)</x:f>
      </x:c>
    </x:row>
    <x:row r="138">
      <x:c r="A138" s="175" t="str">
        <x:f>IF(L138="","","EV-"&amp;TEXT(ROW()-3,"0000"))</x:f>
      </x:c>
      <x:c r="B138" s="174"/>
      <x:c r="C138" s="175" t="str">
        <x:f>IF(L138="","",IF(OR(CM138="Retracted",CN138="Retracted",F138="Not used"),"🔴 Do not use for conclusion",IF(OR(R138="Official / Institutional",I138="Official / contextual"),"🔵 Official / contextual",IF(OR(I138="Definition",I138="Framework",I138="Paradigm shift"),"🟣 Conceptual key source",IF(AND(CJ138="Yes",CL138="Yes",OR(CG138="High",CG138="Moderate"),CH138&lt;&gt;"High",CH138&lt;&gt;"Critical",F138="Claim-ready"),"🟢 Claim-ready","🟡 Caution / context")))))</x:f>
      </x:c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6"/>
      <x:c r="P138" s="174"/>
      <x:c r="Q138" s="174"/>
      <x:c r="R138" s="174"/>
      <x:c r="S138" s="174"/>
      <x:c r="T138" s="174"/>
      <x:c r="U138" s="174"/>
      <x:c r="V138" s="174"/>
      <x:c r="W138" s="175" t="str">
        <x:f>IF(V138="","",LOWER(SUBSTITUTE(SUBSTITUTE(SUBSTITUTE(SUBSTITUTE(TRIM(V138),"https://doi.org/",""),"http://doi.org/",""),"https://dx.doi.org/",""),"doi:","")))</x:f>
      </x:c>
      <x:c r="X138" s="174"/>
      <x:c r="Y138" s="174"/>
      <x:c r="Z138" s="174"/>
      <x:c r="AA138" s="174"/>
      <x:c r="AB138" s="174"/>
      <x:c r="AC138" s="174"/>
      <x:c r="AD138" s="177"/>
      <x:c r="AE138" s="177"/>
      <x:c r="AF138" s="174"/>
      <x:c r="AG138" s="174"/>
      <x:c r="AH138" s="174"/>
      <x:c r="AI138" s="174"/>
      <x:c r="AJ138" s="174"/>
      <x:c r="AK138" s="175" t="str">
        <x:f>IF(AJ138="","",IF(OR(LOWER(AJ138)="brazil",LOWER(AJ138)="brasil"),"Yes","No"))</x:f>
      </x:c>
      <x:c r="AL138" s="174"/>
      <x:c r="AM138" s="174"/>
      <x:c r="AN138" s="174"/>
      <x:c r="AO138" s="178"/>
      <x:c r="AP138" s="174"/>
      <x:c r="AQ138" s="174"/>
      <x:c r="AR138" s="174"/>
      <x:c r="AS138" s="174"/>
      <x:c r="AT138" s="174"/>
      <x:c r="AU138" s="174"/>
      <x:c r="AV138" s="174"/>
      <x:c r="AW138" s="174"/>
      <x:c r="AX138" s="174"/>
      <x:c r="AY138" s="174"/>
      <x:c r="AZ138" s="174"/>
      <x:c r="BA138" s="174"/>
      <x:c r="BB138" s="174"/>
      <x:c r="BC138" s="174"/>
      <x:c r="BD138" s="174"/>
      <x:c r="BE138" s="174"/>
      <x:c r="BF138" s="174"/>
      <x:c r="BG138" s="174"/>
      <x:c r="BH138" s="174"/>
      <x:c r="BI138" s="174"/>
      <x:c r="BJ138" s="174"/>
      <x:c r="BK138" s="174"/>
      <x:c r="BL138" s="174"/>
      <x:c r="BM138" s="174"/>
      <x:c r="BN138" s="174"/>
      <x:c r="BO138" s="174"/>
      <x:c r="BP138" s="174"/>
      <x:c r="BQ138" s="174"/>
      <x:c r="BR138" s="174"/>
      <x:c r="BS138" s="174"/>
      <x:c r="BT138" s="174"/>
      <x:c r="BU138" s="174"/>
      <x:c r="BV138" s="174"/>
      <x:c r="BW138" s="174"/>
      <x:c r="BX138" s="174"/>
      <x:c r="BY138" s="174"/>
      <x:c r="BZ138" s="174"/>
      <x:c r="CA138" s="174"/>
      <x:c r="CB138" s="174"/>
      <x:c r="CC138" s="174"/>
      <x:c r="CD138" s="174"/>
      <x:c r="CE138" s="174"/>
      <x:c r="CF138" s="174"/>
      <x:c r="CG138" s="174"/>
      <x:c r="CH138" s="174"/>
      <x:c r="CI138" s="179"/>
      <x:c r="CJ138" s="174"/>
      <x:c r="CK138" s="174"/>
      <x:c r="CL138" s="174"/>
      <x:c r="CM138" s="174"/>
      <x:c r="CN138" s="174"/>
      <x:c r="CO138" s="177"/>
      <x:c r="CP138" s="174"/>
      <x:c r="CQ138" s="174"/>
      <x:c r="CR138" s="174"/>
      <x:c r="CS138" s="174"/>
      <x:c r="CT138" s="174"/>
      <x:c r="CU138" s="176"/>
      <x:c r="CV138" s="176"/>
      <x:c r="CW138" s="176"/>
      <x:c r="CX138" s="176"/>
      <x:c r="CY138" s="176"/>
      <x:c r="CZ138" s="176"/>
      <x:c r="DA138" s="176"/>
      <x:c r="DB138" s="175" t="str">
        <x:f>IF(L138="","",IF(COUNT(CU138:DA138)&lt;7,"",SUM(CU138:DA138)))</x:f>
      </x:c>
      <x:c r="DC138" s="180" t="str">
        <x:f>IF(DB138="","",ROUND(DB138/14*10,1))</x:f>
      </x:c>
      <x:c r="DD138" s="174"/>
      <x:c r="DE138" s="175" t="str">
        <x:f>IF(L138="","",IF(DC138="","Pending",IF(DD138="Yes","CONDITIONAL — safety override",IF(DC138&gt;=8,"HIGH",IF(DC138&gt;=5,"CONDITIONAL","LOW")))))</x:f>
      </x:c>
      <x:c r="DF138" s="174"/>
      <x:c r="DG138" s="174"/>
      <x:c r="DH138" s="174"/>
      <x:c r="DI138" s="174"/>
      <x:c r="DJ138" s="174"/>
      <x:c r="DK138" s="174"/>
      <x:c r="DL138" s="174"/>
      <x:c r="DM138" s="174"/>
      <x:c r="DN138" s="174"/>
      <x:c r="DO138" s="174"/>
      <x:c r="DP138" s="174"/>
      <x:c r="DQ138" s="174"/>
      <x:c r="DR138" s="174"/>
      <x:c r="DS138" s="174"/>
      <x:c r="DT138" s="174"/>
      <x:c r="DU138" s="174"/>
      <x:c r="DV138" s="174"/>
      <x:c r="DW138" s="174"/>
      <x:c r="DX138" s="174"/>
      <x:c r="DY138" s="174"/>
      <x:c r="DZ138" s="174"/>
      <x:c r="EA138" s="174"/>
      <x:c r="EB138" s="175" t="str">
        <x:f>IF(L138="","",IF(AND(F138="Claim-ready",CJ138="Yes",CL138="Yes",DZ138&lt;&gt;""),"Yes","No / Pending"))</x:f>
      </x:c>
      <x:c r="EC138" s="174"/>
      <x:c r="ED138" s="174"/>
      <x:c r="EE138" s="174"/>
      <x:c r="EF138" s="174"/>
      <x:c r="EG138" s="174"/>
      <x:c r="EH138" s="177"/>
      <x:c r="EI138" s="174"/>
      <x:c r="EJ138" s="174"/>
      <x:c r="EK138" s="174"/>
      <x:c r="EL138" s="177"/>
      <x:c r="EM138" s="174"/>
      <x:c r="EN138" s="181" t="str">
        <x:f>IF(L138="","",(IF(N138&lt;&gt;"",1,0)+IF(O138&lt;&gt;"",1,0)+IF(AJ138&lt;&gt;"",1,0)+IF(AU138&lt;&gt;"",1,0)+IF(BE138&lt;&gt;"",1,0)+IF(CF138&lt;&gt;"",1,0)+IF(CJ138="Yes",1,0)+IF(CL138="Yes",1,0)+IF(DE138&lt;&gt;"Pending",1,0)+IF(F138&lt;&gt;"",1,0)+IF(DZ138&lt;&gt;"",1,0)+IF(EI138&lt;&gt;"",1,0))/12)</x:f>
      </x:c>
    </x:row>
    <x:row r="139">
      <x:c r="A139" s="175" t="str">
        <x:f>IF(L139="","","EV-"&amp;TEXT(ROW()-3,"0000"))</x:f>
      </x:c>
      <x:c r="B139" s="174"/>
      <x:c r="C139" s="175" t="str">
        <x:f>IF(L139="","",IF(OR(CM139="Retracted",CN139="Retracted",F139="Not used"),"🔴 Do not use for conclusion",IF(OR(R139="Official / Institutional",I139="Official / contextual"),"🔵 Official / contextual",IF(OR(I139="Definition",I139="Framework",I139="Paradigm shift"),"🟣 Conceptual key source",IF(AND(CJ139="Yes",CL139="Yes",OR(CG139="High",CG139="Moderate"),CH139&lt;&gt;"High",CH139&lt;&gt;"Critical",F139="Claim-ready"),"🟢 Claim-ready","🟡 Caution / context")))))</x:f>
      </x:c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6"/>
      <x:c r="P139" s="174"/>
      <x:c r="Q139" s="174"/>
      <x:c r="R139" s="174"/>
      <x:c r="S139" s="174"/>
      <x:c r="T139" s="174"/>
      <x:c r="U139" s="174"/>
      <x:c r="V139" s="174"/>
      <x:c r="W139" s="175" t="str">
        <x:f>IF(V139="","",LOWER(SUBSTITUTE(SUBSTITUTE(SUBSTITUTE(SUBSTITUTE(TRIM(V139),"https://doi.org/",""),"http://doi.org/",""),"https://dx.doi.org/",""),"doi:","")))</x:f>
      </x:c>
      <x:c r="X139" s="174"/>
      <x:c r="Y139" s="174"/>
      <x:c r="Z139" s="174"/>
      <x:c r="AA139" s="174"/>
      <x:c r="AB139" s="174"/>
      <x:c r="AC139" s="174"/>
      <x:c r="AD139" s="177"/>
      <x:c r="AE139" s="177"/>
      <x:c r="AF139" s="174"/>
      <x:c r="AG139" s="174"/>
      <x:c r="AH139" s="174"/>
      <x:c r="AI139" s="174"/>
      <x:c r="AJ139" s="174"/>
      <x:c r="AK139" s="175" t="str">
        <x:f>IF(AJ139="","",IF(OR(LOWER(AJ139)="brazil",LOWER(AJ139)="brasil"),"Yes","No"))</x:f>
      </x:c>
      <x:c r="AL139" s="174"/>
      <x:c r="AM139" s="174"/>
      <x:c r="AN139" s="174"/>
      <x:c r="AO139" s="178"/>
      <x:c r="AP139" s="174"/>
      <x:c r="AQ139" s="174"/>
      <x:c r="AR139" s="174"/>
      <x:c r="AS139" s="174"/>
      <x:c r="AT139" s="174"/>
      <x:c r="AU139" s="174"/>
      <x:c r="AV139" s="174"/>
      <x:c r="AW139" s="174"/>
      <x:c r="AX139" s="174"/>
      <x:c r="AY139" s="174"/>
      <x:c r="AZ139" s="174"/>
      <x:c r="BA139" s="174"/>
      <x:c r="BB139" s="174"/>
      <x:c r="BC139" s="174"/>
      <x:c r="BD139" s="174"/>
      <x:c r="BE139" s="174"/>
      <x:c r="BF139" s="174"/>
      <x:c r="BG139" s="174"/>
      <x:c r="BH139" s="174"/>
      <x:c r="BI139" s="174"/>
      <x:c r="BJ139" s="174"/>
      <x:c r="BK139" s="174"/>
      <x:c r="BL139" s="174"/>
      <x:c r="BM139" s="174"/>
      <x:c r="BN139" s="174"/>
      <x:c r="BO139" s="174"/>
      <x:c r="BP139" s="174"/>
      <x:c r="BQ139" s="174"/>
      <x:c r="BR139" s="174"/>
      <x:c r="BS139" s="174"/>
      <x:c r="BT139" s="174"/>
      <x:c r="BU139" s="174"/>
      <x:c r="BV139" s="174"/>
      <x:c r="BW139" s="174"/>
      <x:c r="BX139" s="174"/>
      <x:c r="BY139" s="174"/>
      <x:c r="BZ139" s="174"/>
      <x:c r="CA139" s="174"/>
      <x:c r="CB139" s="174"/>
      <x:c r="CC139" s="174"/>
      <x:c r="CD139" s="174"/>
      <x:c r="CE139" s="174"/>
      <x:c r="CF139" s="174"/>
      <x:c r="CG139" s="174"/>
      <x:c r="CH139" s="174"/>
      <x:c r="CI139" s="179"/>
      <x:c r="CJ139" s="174"/>
      <x:c r="CK139" s="174"/>
      <x:c r="CL139" s="174"/>
      <x:c r="CM139" s="174"/>
      <x:c r="CN139" s="174"/>
      <x:c r="CO139" s="177"/>
      <x:c r="CP139" s="174"/>
      <x:c r="CQ139" s="174"/>
      <x:c r="CR139" s="174"/>
      <x:c r="CS139" s="174"/>
      <x:c r="CT139" s="174"/>
      <x:c r="CU139" s="176"/>
      <x:c r="CV139" s="176"/>
      <x:c r="CW139" s="176"/>
      <x:c r="CX139" s="176"/>
      <x:c r="CY139" s="176"/>
      <x:c r="CZ139" s="176"/>
      <x:c r="DA139" s="176"/>
      <x:c r="DB139" s="175" t="str">
        <x:f>IF(L139="","",IF(COUNT(CU139:DA139)&lt;7,"",SUM(CU139:DA139)))</x:f>
      </x:c>
      <x:c r="DC139" s="180" t="str">
        <x:f>IF(DB139="","",ROUND(DB139/14*10,1))</x:f>
      </x:c>
      <x:c r="DD139" s="174"/>
      <x:c r="DE139" s="175" t="str">
        <x:f>IF(L139="","",IF(DC139="","Pending",IF(DD139="Yes","CONDITIONAL — safety override",IF(DC139&gt;=8,"HIGH",IF(DC139&gt;=5,"CONDITIONAL","LOW")))))</x:f>
      </x:c>
      <x:c r="DF139" s="174"/>
      <x:c r="DG139" s="174"/>
      <x:c r="DH139" s="174"/>
      <x:c r="DI139" s="174"/>
      <x:c r="DJ139" s="174"/>
      <x:c r="DK139" s="174"/>
      <x:c r="DL139" s="174"/>
      <x:c r="DM139" s="174"/>
      <x:c r="DN139" s="174"/>
      <x:c r="DO139" s="174"/>
      <x:c r="DP139" s="174"/>
      <x:c r="DQ139" s="174"/>
      <x:c r="DR139" s="174"/>
      <x:c r="DS139" s="174"/>
      <x:c r="DT139" s="174"/>
      <x:c r="DU139" s="174"/>
      <x:c r="DV139" s="174"/>
      <x:c r="DW139" s="174"/>
      <x:c r="DX139" s="174"/>
      <x:c r="DY139" s="174"/>
      <x:c r="DZ139" s="174"/>
      <x:c r="EA139" s="174"/>
      <x:c r="EB139" s="175" t="str">
        <x:f>IF(L139="","",IF(AND(F139="Claim-ready",CJ139="Yes",CL139="Yes",DZ139&lt;&gt;""),"Yes","No / Pending"))</x:f>
      </x:c>
      <x:c r="EC139" s="174"/>
      <x:c r="ED139" s="174"/>
      <x:c r="EE139" s="174"/>
      <x:c r="EF139" s="174"/>
      <x:c r="EG139" s="174"/>
      <x:c r="EH139" s="177"/>
      <x:c r="EI139" s="174"/>
      <x:c r="EJ139" s="174"/>
      <x:c r="EK139" s="174"/>
      <x:c r="EL139" s="177"/>
      <x:c r="EM139" s="174"/>
      <x:c r="EN139" s="181" t="str">
        <x:f>IF(L139="","",(IF(N139&lt;&gt;"",1,0)+IF(O139&lt;&gt;"",1,0)+IF(AJ139&lt;&gt;"",1,0)+IF(AU139&lt;&gt;"",1,0)+IF(BE139&lt;&gt;"",1,0)+IF(CF139&lt;&gt;"",1,0)+IF(CJ139="Yes",1,0)+IF(CL139="Yes",1,0)+IF(DE139&lt;&gt;"Pending",1,0)+IF(F139&lt;&gt;"",1,0)+IF(DZ139&lt;&gt;"",1,0)+IF(EI139&lt;&gt;"",1,0))/12)</x:f>
      </x:c>
    </x:row>
    <x:row r="140">
      <x:c r="A140" s="175" t="str">
        <x:f>IF(L140="","","EV-"&amp;TEXT(ROW()-3,"0000"))</x:f>
      </x:c>
      <x:c r="B140" s="174"/>
      <x:c r="C140" s="175" t="str">
        <x:f>IF(L140="","",IF(OR(CM140="Retracted",CN140="Retracted",F140="Not used"),"🔴 Do not use for conclusion",IF(OR(R140="Official / Institutional",I140="Official / contextual"),"🔵 Official / contextual",IF(OR(I140="Definition",I140="Framework",I140="Paradigm shift"),"🟣 Conceptual key source",IF(AND(CJ140="Yes",CL140="Yes",OR(CG140="High",CG140="Moderate"),CH140&lt;&gt;"High",CH140&lt;&gt;"Critical",F140="Claim-ready"),"🟢 Claim-ready","🟡 Caution / context")))))</x:f>
      </x:c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6"/>
      <x:c r="P140" s="174"/>
      <x:c r="Q140" s="174"/>
      <x:c r="R140" s="174"/>
      <x:c r="S140" s="174"/>
      <x:c r="T140" s="174"/>
      <x:c r="U140" s="174"/>
      <x:c r="V140" s="174"/>
      <x:c r="W140" s="175" t="str">
        <x:f>IF(V140="","",LOWER(SUBSTITUTE(SUBSTITUTE(SUBSTITUTE(SUBSTITUTE(TRIM(V140),"https://doi.org/",""),"http://doi.org/",""),"https://dx.doi.org/",""),"doi:","")))</x:f>
      </x:c>
      <x:c r="X140" s="174"/>
      <x:c r="Y140" s="174"/>
      <x:c r="Z140" s="174"/>
      <x:c r="AA140" s="174"/>
      <x:c r="AB140" s="174"/>
      <x:c r="AC140" s="174"/>
      <x:c r="AD140" s="177"/>
      <x:c r="AE140" s="177"/>
      <x:c r="AF140" s="174"/>
      <x:c r="AG140" s="174"/>
      <x:c r="AH140" s="174"/>
      <x:c r="AI140" s="174"/>
      <x:c r="AJ140" s="174"/>
      <x:c r="AK140" s="175" t="str">
        <x:f>IF(AJ140="","",IF(OR(LOWER(AJ140)="brazil",LOWER(AJ140)="brasil"),"Yes","No"))</x:f>
      </x:c>
      <x:c r="AL140" s="174"/>
      <x:c r="AM140" s="174"/>
      <x:c r="AN140" s="174"/>
      <x:c r="AO140" s="178"/>
      <x:c r="AP140" s="174"/>
      <x:c r="AQ140" s="174"/>
      <x:c r="AR140" s="174"/>
      <x:c r="AS140" s="174"/>
      <x:c r="AT140" s="174"/>
      <x:c r="AU140" s="174"/>
      <x:c r="AV140" s="174"/>
      <x:c r="AW140" s="174"/>
      <x:c r="AX140" s="174"/>
      <x:c r="AY140" s="174"/>
      <x:c r="AZ140" s="174"/>
      <x:c r="BA140" s="174"/>
      <x:c r="BB140" s="174"/>
      <x:c r="BC140" s="174"/>
      <x:c r="BD140" s="174"/>
      <x:c r="BE140" s="174"/>
      <x:c r="BF140" s="174"/>
      <x:c r="BG140" s="174"/>
      <x:c r="BH140" s="174"/>
      <x:c r="BI140" s="174"/>
      <x:c r="BJ140" s="174"/>
      <x:c r="BK140" s="174"/>
      <x:c r="BL140" s="174"/>
      <x:c r="BM140" s="174"/>
      <x:c r="BN140" s="174"/>
      <x:c r="BO140" s="174"/>
      <x:c r="BP140" s="174"/>
      <x:c r="BQ140" s="174"/>
      <x:c r="BR140" s="174"/>
      <x:c r="BS140" s="174"/>
      <x:c r="BT140" s="174"/>
      <x:c r="BU140" s="174"/>
      <x:c r="BV140" s="174"/>
      <x:c r="BW140" s="174"/>
      <x:c r="BX140" s="174"/>
      <x:c r="BY140" s="174"/>
      <x:c r="BZ140" s="174"/>
      <x:c r="CA140" s="174"/>
      <x:c r="CB140" s="174"/>
      <x:c r="CC140" s="174"/>
      <x:c r="CD140" s="174"/>
      <x:c r="CE140" s="174"/>
      <x:c r="CF140" s="174"/>
      <x:c r="CG140" s="174"/>
      <x:c r="CH140" s="174"/>
      <x:c r="CI140" s="179"/>
      <x:c r="CJ140" s="174"/>
      <x:c r="CK140" s="174"/>
      <x:c r="CL140" s="174"/>
      <x:c r="CM140" s="174"/>
      <x:c r="CN140" s="174"/>
      <x:c r="CO140" s="177"/>
      <x:c r="CP140" s="174"/>
      <x:c r="CQ140" s="174"/>
      <x:c r="CR140" s="174"/>
      <x:c r="CS140" s="174"/>
      <x:c r="CT140" s="174"/>
      <x:c r="CU140" s="176"/>
      <x:c r="CV140" s="176"/>
      <x:c r="CW140" s="176"/>
      <x:c r="CX140" s="176"/>
      <x:c r="CY140" s="176"/>
      <x:c r="CZ140" s="176"/>
      <x:c r="DA140" s="176"/>
      <x:c r="DB140" s="175" t="str">
        <x:f>IF(L140="","",IF(COUNT(CU140:DA140)&lt;7,"",SUM(CU140:DA140)))</x:f>
      </x:c>
      <x:c r="DC140" s="180" t="str">
        <x:f>IF(DB140="","",ROUND(DB140/14*10,1))</x:f>
      </x:c>
      <x:c r="DD140" s="174"/>
      <x:c r="DE140" s="175" t="str">
        <x:f>IF(L140="","",IF(DC140="","Pending",IF(DD140="Yes","CONDITIONAL — safety override",IF(DC140&gt;=8,"HIGH",IF(DC140&gt;=5,"CONDITIONAL","LOW")))))</x:f>
      </x:c>
      <x:c r="DF140" s="174"/>
      <x:c r="DG140" s="174"/>
      <x:c r="DH140" s="174"/>
      <x:c r="DI140" s="174"/>
      <x:c r="DJ140" s="174"/>
      <x:c r="DK140" s="174"/>
      <x:c r="DL140" s="174"/>
      <x:c r="DM140" s="174"/>
      <x:c r="DN140" s="174"/>
      <x:c r="DO140" s="174"/>
      <x:c r="DP140" s="174"/>
      <x:c r="DQ140" s="174"/>
      <x:c r="DR140" s="174"/>
      <x:c r="DS140" s="174"/>
      <x:c r="DT140" s="174"/>
      <x:c r="DU140" s="174"/>
      <x:c r="DV140" s="174"/>
      <x:c r="DW140" s="174"/>
      <x:c r="DX140" s="174"/>
      <x:c r="DY140" s="174"/>
      <x:c r="DZ140" s="174"/>
      <x:c r="EA140" s="174"/>
      <x:c r="EB140" s="175" t="str">
        <x:f>IF(L140="","",IF(AND(F140="Claim-ready",CJ140="Yes",CL140="Yes",DZ140&lt;&gt;""),"Yes","No / Pending"))</x:f>
      </x:c>
      <x:c r="EC140" s="174"/>
      <x:c r="ED140" s="174"/>
      <x:c r="EE140" s="174"/>
      <x:c r="EF140" s="174"/>
      <x:c r="EG140" s="174"/>
      <x:c r="EH140" s="177"/>
      <x:c r="EI140" s="174"/>
      <x:c r="EJ140" s="174"/>
      <x:c r="EK140" s="174"/>
      <x:c r="EL140" s="177"/>
      <x:c r="EM140" s="174"/>
      <x:c r="EN140" s="181" t="str">
        <x:f>IF(L140="","",(IF(N140&lt;&gt;"",1,0)+IF(O140&lt;&gt;"",1,0)+IF(AJ140&lt;&gt;"",1,0)+IF(AU140&lt;&gt;"",1,0)+IF(BE140&lt;&gt;"",1,0)+IF(CF140&lt;&gt;"",1,0)+IF(CJ140="Yes",1,0)+IF(CL140="Yes",1,0)+IF(DE140&lt;&gt;"Pending",1,0)+IF(F140&lt;&gt;"",1,0)+IF(DZ140&lt;&gt;"",1,0)+IF(EI140&lt;&gt;"",1,0))/12)</x:f>
      </x:c>
    </x:row>
    <x:row r="141">
      <x:c r="A141" s="175" t="str">
        <x:f>IF(L141="","","EV-"&amp;TEXT(ROW()-3,"0000"))</x:f>
      </x:c>
      <x:c r="B141" s="174"/>
      <x:c r="C141" s="175" t="str">
        <x:f>IF(L141="","",IF(OR(CM141="Retracted",CN141="Retracted",F141="Not used"),"🔴 Do not use for conclusion",IF(OR(R141="Official / Institutional",I141="Official / contextual"),"🔵 Official / contextual",IF(OR(I141="Definition",I141="Framework",I141="Paradigm shift"),"🟣 Conceptual key source",IF(AND(CJ141="Yes",CL141="Yes",OR(CG141="High",CG141="Moderate"),CH141&lt;&gt;"High",CH141&lt;&gt;"Critical",F141="Claim-ready"),"🟢 Claim-ready","🟡 Caution / context")))))</x:f>
      </x:c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6"/>
      <x:c r="P141" s="174"/>
      <x:c r="Q141" s="174"/>
      <x:c r="R141" s="174"/>
      <x:c r="S141" s="174"/>
      <x:c r="T141" s="174"/>
      <x:c r="U141" s="174"/>
      <x:c r="V141" s="174"/>
      <x:c r="W141" s="175" t="str">
        <x:f>IF(V141="","",LOWER(SUBSTITUTE(SUBSTITUTE(SUBSTITUTE(SUBSTITUTE(TRIM(V141),"https://doi.org/",""),"http://doi.org/",""),"https://dx.doi.org/",""),"doi:","")))</x:f>
      </x:c>
      <x:c r="X141" s="174"/>
      <x:c r="Y141" s="174"/>
      <x:c r="Z141" s="174"/>
      <x:c r="AA141" s="174"/>
      <x:c r="AB141" s="174"/>
      <x:c r="AC141" s="174"/>
      <x:c r="AD141" s="177"/>
      <x:c r="AE141" s="177"/>
      <x:c r="AF141" s="174"/>
      <x:c r="AG141" s="174"/>
      <x:c r="AH141" s="174"/>
      <x:c r="AI141" s="174"/>
      <x:c r="AJ141" s="174"/>
      <x:c r="AK141" s="175" t="str">
        <x:f>IF(AJ141="","",IF(OR(LOWER(AJ141)="brazil",LOWER(AJ141)="brasil"),"Yes","No"))</x:f>
      </x:c>
      <x:c r="AL141" s="174"/>
      <x:c r="AM141" s="174"/>
      <x:c r="AN141" s="174"/>
      <x:c r="AO141" s="178"/>
      <x:c r="AP141" s="174"/>
      <x:c r="AQ141" s="174"/>
      <x:c r="AR141" s="174"/>
      <x:c r="AS141" s="174"/>
      <x:c r="AT141" s="174"/>
      <x:c r="AU141" s="174"/>
      <x:c r="AV141" s="174"/>
      <x:c r="AW141" s="174"/>
      <x:c r="AX141" s="174"/>
      <x:c r="AY141" s="174"/>
      <x:c r="AZ141" s="174"/>
      <x:c r="BA141" s="174"/>
      <x:c r="BB141" s="174"/>
      <x:c r="BC141" s="174"/>
      <x:c r="BD141" s="174"/>
      <x:c r="BE141" s="174"/>
      <x:c r="BF141" s="174"/>
      <x:c r="BG141" s="174"/>
      <x:c r="BH141" s="174"/>
      <x:c r="BI141" s="174"/>
      <x:c r="BJ141" s="174"/>
      <x:c r="BK141" s="174"/>
      <x:c r="BL141" s="174"/>
      <x:c r="BM141" s="174"/>
      <x:c r="BN141" s="174"/>
      <x:c r="BO141" s="174"/>
      <x:c r="BP141" s="174"/>
      <x:c r="BQ141" s="174"/>
      <x:c r="BR141" s="174"/>
      <x:c r="BS141" s="174"/>
      <x:c r="BT141" s="174"/>
      <x:c r="BU141" s="174"/>
      <x:c r="BV141" s="174"/>
      <x:c r="BW141" s="174"/>
      <x:c r="BX141" s="174"/>
      <x:c r="BY141" s="174"/>
      <x:c r="BZ141" s="174"/>
      <x:c r="CA141" s="174"/>
      <x:c r="CB141" s="174"/>
      <x:c r="CC141" s="174"/>
      <x:c r="CD141" s="174"/>
      <x:c r="CE141" s="174"/>
      <x:c r="CF141" s="174"/>
      <x:c r="CG141" s="174"/>
      <x:c r="CH141" s="174"/>
      <x:c r="CI141" s="179"/>
      <x:c r="CJ141" s="174"/>
      <x:c r="CK141" s="174"/>
      <x:c r="CL141" s="174"/>
      <x:c r="CM141" s="174"/>
      <x:c r="CN141" s="174"/>
      <x:c r="CO141" s="177"/>
      <x:c r="CP141" s="174"/>
      <x:c r="CQ141" s="174"/>
      <x:c r="CR141" s="174"/>
      <x:c r="CS141" s="174"/>
      <x:c r="CT141" s="174"/>
      <x:c r="CU141" s="176"/>
      <x:c r="CV141" s="176"/>
      <x:c r="CW141" s="176"/>
      <x:c r="CX141" s="176"/>
      <x:c r="CY141" s="176"/>
      <x:c r="CZ141" s="176"/>
      <x:c r="DA141" s="176"/>
      <x:c r="DB141" s="175" t="str">
        <x:f>IF(L141="","",IF(COUNT(CU141:DA141)&lt;7,"",SUM(CU141:DA141)))</x:f>
      </x:c>
      <x:c r="DC141" s="180" t="str">
        <x:f>IF(DB141="","",ROUND(DB141/14*10,1))</x:f>
      </x:c>
      <x:c r="DD141" s="174"/>
      <x:c r="DE141" s="175" t="str">
        <x:f>IF(L141="","",IF(DC141="","Pending",IF(DD141="Yes","CONDITIONAL — safety override",IF(DC141&gt;=8,"HIGH",IF(DC141&gt;=5,"CONDITIONAL","LOW")))))</x:f>
      </x:c>
      <x:c r="DF141" s="174"/>
      <x:c r="DG141" s="174"/>
      <x:c r="DH141" s="174"/>
      <x:c r="DI141" s="174"/>
      <x:c r="DJ141" s="174"/>
      <x:c r="DK141" s="174"/>
      <x:c r="DL141" s="174"/>
      <x:c r="DM141" s="174"/>
      <x:c r="DN141" s="174"/>
      <x:c r="DO141" s="174"/>
      <x:c r="DP141" s="174"/>
      <x:c r="DQ141" s="174"/>
      <x:c r="DR141" s="174"/>
      <x:c r="DS141" s="174"/>
      <x:c r="DT141" s="174"/>
      <x:c r="DU141" s="174"/>
      <x:c r="DV141" s="174"/>
      <x:c r="DW141" s="174"/>
      <x:c r="DX141" s="174"/>
      <x:c r="DY141" s="174"/>
      <x:c r="DZ141" s="174"/>
      <x:c r="EA141" s="174"/>
      <x:c r="EB141" s="175" t="str">
        <x:f>IF(L141="","",IF(AND(F141="Claim-ready",CJ141="Yes",CL141="Yes",DZ141&lt;&gt;""),"Yes","No / Pending"))</x:f>
      </x:c>
      <x:c r="EC141" s="174"/>
      <x:c r="ED141" s="174"/>
      <x:c r="EE141" s="174"/>
      <x:c r="EF141" s="174"/>
      <x:c r="EG141" s="174"/>
      <x:c r="EH141" s="177"/>
      <x:c r="EI141" s="174"/>
      <x:c r="EJ141" s="174"/>
      <x:c r="EK141" s="174"/>
      <x:c r="EL141" s="177"/>
      <x:c r="EM141" s="174"/>
      <x:c r="EN141" s="181" t="str">
        <x:f>IF(L141="","",(IF(N141&lt;&gt;"",1,0)+IF(O141&lt;&gt;"",1,0)+IF(AJ141&lt;&gt;"",1,0)+IF(AU141&lt;&gt;"",1,0)+IF(BE141&lt;&gt;"",1,0)+IF(CF141&lt;&gt;"",1,0)+IF(CJ141="Yes",1,0)+IF(CL141="Yes",1,0)+IF(DE141&lt;&gt;"Pending",1,0)+IF(F141&lt;&gt;"",1,0)+IF(DZ141&lt;&gt;"",1,0)+IF(EI141&lt;&gt;"",1,0))/12)</x:f>
      </x:c>
    </x:row>
    <x:row r="142">
      <x:c r="A142" s="175" t="str">
        <x:f>IF(L142="","","EV-"&amp;TEXT(ROW()-3,"0000"))</x:f>
      </x:c>
      <x:c r="B142" s="174"/>
      <x:c r="C142" s="175" t="str">
        <x:f>IF(L142="","",IF(OR(CM142="Retracted",CN142="Retracted",F142="Not used"),"🔴 Do not use for conclusion",IF(OR(R142="Official / Institutional",I142="Official / contextual"),"🔵 Official / contextual",IF(OR(I142="Definition",I142="Framework",I142="Paradigm shift"),"🟣 Conceptual key source",IF(AND(CJ142="Yes",CL142="Yes",OR(CG142="High",CG142="Moderate"),CH142&lt;&gt;"High",CH142&lt;&gt;"Critical",F142="Claim-ready"),"🟢 Claim-ready","🟡 Caution / context")))))</x:f>
      </x:c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6"/>
      <x:c r="P142" s="174"/>
      <x:c r="Q142" s="174"/>
      <x:c r="R142" s="174"/>
      <x:c r="S142" s="174"/>
      <x:c r="T142" s="174"/>
      <x:c r="U142" s="174"/>
      <x:c r="V142" s="174"/>
      <x:c r="W142" s="175" t="str">
        <x:f>IF(V142="","",LOWER(SUBSTITUTE(SUBSTITUTE(SUBSTITUTE(SUBSTITUTE(TRIM(V142),"https://doi.org/",""),"http://doi.org/",""),"https://dx.doi.org/",""),"doi:","")))</x:f>
      </x:c>
      <x:c r="X142" s="174"/>
      <x:c r="Y142" s="174"/>
      <x:c r="Z142" s="174"/>
      <x:c r="AA142" s="174"/>
      <x:c r="AB142" s="174"/>
      <x:c r="AC142" s="174"/>
      <x:c r="AD142" s="177"/>
      <x:c r="AE142" s="177"/>
      <x:c r="AF142" s="174"/>
      <x:c r="AG142" s="174"/>
      <x:c r="AH142" s="174"/>
      <x:c r="AI142" s="174"/>
      <x:c r="AJ142" s="174"/>
      <x:c r="AK142" s="175" t="str">
        <x:f>IF(AJ142="","",IF(OR(LOWER(AJ142)="brazil",LOWER(AJ142)="brasil"),"Yes","No"))</x:f>
      </x:c>
      <x:c r="AL142" s="174"/>
      <x:c r="AM142" s="174"/>
      <x:c r="AN142" s="174"/>
      <x:c r="AO142" s="178"/>
      <x:c r="AP142" s="174"/>
      <x:c r="AQ142" s="174"/>
      <x:c r="AR142" s="174"/>
      <x:c r="AS142" s="174"/>
      <x:c r="AT142" s="174"/>
      <x:c r="AU142" s="174"/>
      <x:c r="AV142" s="174"/>
      <x:c r="AW142" s="174"/>
      <x:c r="AX142" s="174"/>
      <x:c r="AY142" s="174"/>
      <x:c r="AZ142" s="174"/>
      <x:c r="BA142" s="174"/>
      <x:c r="BB142" s="174"/>
      <x:c r="BC142" s="174"/>
      <x:c r="BD142" s="174"/>
      <x:c r="BE142" s="174"/>
      <x:c r="BF142" s="174"/>
      <x:c r="BG142" s="174"/>
      <x:c r="BH142" s="174"/>
      <x:c r="BI142" s="174"/>
      <x:c r="BJ142" s="174"/>
      <x:c r="BK142" s="174"/>
      <x:c r="BL142" s="174"/>
      <x:c r="BM142" s="174"/>
      <x:c r="BN142" s="174"/>
      <x:c r="BO142" s="174"/>
      <x:c r="BP142" s="174"/>
      <x:c r="BQ142" s="174"/>
      <x:c r="BR142" s="174"/>
      <x:c r="BS142" s="174"/>
      <x:c r="BT142" s="174"/>
      <x:c r="BU142" s="174"/>
      <x:c r="BV142" s="174"/>
      <x:c r="BW142" s="174"/>
      <x:c r="BX142" s="174"/>
      <x:c r="BY142" s="174"/>
      <x:c r="BZ142" s="174"/>
      <x:c r="CA142" s="174"/>
      <x:c r="CB142" s="174"/>
      <x:c r="CC142" s="174"/>
      <x:c r="CD142" s="174"/>
      <x:c r="CE142" s="174"/>
      <x:c r="CF142" s="174"/>
      <x:c r="CG142" s="174"/>
      <x:c r="CH142" s="174"/>
      <x:c r="CI142" s="179"/>
      <x:c r="CJ142" s="174"/>
      <x:c r="CK142" s="174"/>
      <x:c r="CL142" s="174"/>
      <x:c r="CM142" s="174"/>
      <x:c r="CN142" s="174"/>
      <x:c r="CO142" s="177"/>
      <x:c r="CP142" s="174"/>
      <x:c r="CQ142" s="174"/>
      <x:c r="CR142" s="174"/>
      <x:c r="CS142" s="174"/>
      <x:c r="CT142" s="174"/>
      <x:c r="CU142" s="176"/>
      <x:c r="CV142" s="176"/>
      <x:c r="CW142" s="176"/>
      <x:c r="CX142" s="176"/>
      <x:c r="CY142" s="176"/>
      <x:c r="CZ142" s="176"/>
      <x:c r="DA142" s="176"/>
      <x:c r="DB142" s="175" t="str">
        <x:f>IF(L142="","",IF(COUNT(CU142:DA142)&lt;7,"",SUM(CU142:DA142)))</x:f>
      </x:c>
      <x:c r="DC142" s="180" t="str">
        <x:f>IF(DB142="","",ROUND(DB142/14*10,1))</x:f>
      </x:c>
      <x:c r="DD142" s="174"/>
      <x:c r="DE142" s="175" t="str">
        <x:f>IF(L142="","",IF(DC142="","Pending",IF(DD142="Yes","CONDITIONAL — safety override",IF(DC142&gt;=8,"HIGH",IF(DC142&gt;=5,"CONDITIONAL","LOW")))))</x:f>
      </x:c>
      <x:c r="DF142" s="174"/>
      <x:c r="DG142" s="174"/>
      <x:c r="DH142" s="174"/>
      <x:c r="DI142" s="174"/>
      <x:c r="DJ142" s="174"/>
      <x:c r="DK142" s="174"/>
      <x:c r="DL142" s="174"/>
      <x:c r="DM142" s="174"/>
      <x:c r="DN142" s="174"/>
      <x:c r="DO142" s="174"/>
      <x:c r="DP142" s="174"/>
      <x:c r="DQ142" s="174"/>
      <x:c r="DR142" s="174"/>
      <x:c r="DS142" s="174"/>
      <x:c r="DT142" s="174"/>
      <x:c r="DU142" s="174"/>
      <x:c r="DV142" s="174"/>
      <x:c r="DW142" s="174"/>
      <x:c r="DX142" s="174"/>
      <x:c r="DY142" s="174"/>
      <x:c r="DZ142" s="174"/>
      <x:c r="EA142" s="174"/>
      <x:c r="EB142" s="175" t="str">
        <x:f>IF(L142="","",IF(AND(F142="Claim-ready",CJ142="Yes",CL142="Yes",DZ142&lt;&gt;""),"Yes","No / Pending"))</x:f>
      </x:c>
      <x:c r="EC142" s="174"/>
      <x:c r="ED142" s="174"/>
      <x:c r="EE142" s="174"/>
      <x:c r="EF142" s="174"/>
      <x:c r="EG142" s="174"/>
      <x:c r="EH142" s="177"/>
      <x:c r="EI142" s="174"/>
      <x:c r="EJ142" s="174"/>
      <x:c r="EK142" s="174"/>
      <x:c r="EL142" s="177"/>
      <x:c r="EM142" s="174"/>
      <x:c r="EN142" s="181" t="str">
        <x:f>IF(L142="","",(IF(N142&lt;&gt;"",1,0)+IF(O142&lt;&gt;"",1,0)+IF(AJ142&lt;&gt;"",1,0)+IF(AU142&lt;&gt;"",1,0)+IF(BE142&lt;&gt;"",1,0)+IF(CF142&lt;&gt;"",1,0)+IF(CJ142="Yes",1,0)+IF(CL142="Yes",1,0)+IF(DE142&lt;&gt;"Pending",1,0)+IF(F142&lt;&gt;"",1,0)+IF(DZ142&lt;&gt;"",1,0)+IF(EI142&lt;&gt;"",1,0))/12)</x:f>
      </x:c>
    </x:row>
    <x:row r="143">
      <x:c r="A143" s="175" t="str">
        <x:f>IF(L143="","","EV-"&amp;TEXT(ROW()-3,"0000"))</x:f>
      </x:c>
      <x:c r="B143" s="174"/>
      <x:c r="C143" s="175" t="str">
        <x:f>IF(L143="","",IF(OR(CM143="Retracted",CN143="Retracted",F143="Not used"),"🔴 Do not use for conclusion",IF(OR(R143="Official / Institutional",I143="Official / contextual"),"🔵 Official / contextual",IF(OR(I143="Definition",I143="Framework",I143="Paradigm shift"),"🟣 Conceptual key source",IF(AND(CJ143="Yes",CL143="Yes",OR(CG143="High",CG143="Moderate"),CH143&lt;&gt;"High",CH143&lt;&gt;"Critical",F143="Claim-ready"),"🟢 Claim-ready","🟡 Caution / context")))))</x:f>
      </x:c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6"/>
      <x:c r="P143" s="174"/>
      <x:c r="Q143" s="174"/>
      <x:c r="R143" s="174"/>
      <x:c r="S143" s="174"/>
      <x:c r="T143" s="174"/>
      <x:c r="U143" s="174"/>
      <x:c r="V143" s="174"/>
      <x:c r="W143" s="175" t="str">
        <x:f>IF(V143="","",LOWER(SUBSTITUTE(SUBSTITUTE(SUBSTITUTE(SUBSTITUTE(TRIM(V143),"https://doi.org/",""),"http://doi.org/",""),"https://dx.doi.org/",""),"doi:","")))</x:f>
      </x:c>
      <x:c r="X143" s="174"/>
      <x:c r="Y143" s="174"/>
      <x:c r="Z143" s="174"/>
      <x:c r="AA143" s="174"/>
      <x:c r="AB143" s="174"/>
      <x:c r="AC143" s="174"/>
      <x:c r="AD143" s="177"/>
      <x:c r="AE143" s="177"/>
      <x:c r="AF143" s="174"/>
      <x:c r="AG143" s="174"/>
      <x:c r="AH143" s="174"/>
      <x:c r="AI143" s="174"/>
      <x:c r="AJ143" s="174"/>
      <x:c r="AK143" s="175" t="str">
        <x:f>IF(AJ143="","",IF(OR(LOWER(AJ143)="brazil",LOWER(AJ143)="brasil"),"Yes","No"))</x:f>
      </x:c>
      <x:c r="AL143" s="174"/>
      <x:c r="AM143" s="174"/>
      <x:c r="AN143" s="174"/>
      <x:c r="AO143" s="178"/>
      <x:c r="AP143" s="174"/>
      <x:c r="AQ143" s="174"/>
      <x:c r="AR143" s="174"/>
      <x:c r="AS143" s="174"/>
      <x:c r="AT143" s="174"/>
      <x:c r="AU143" s="174"/>
      <x:c r="AV143" s="174"/>
      <x:c r="AW143" s="174"/>
      <x:c r="AX143" s="174"/>
      <x:c r="AY143" s="174"/>
      <x:c r="AZ143" s="174"/>
      <x:c r="BA143" s="174"/>
      <x:c r="BB143" s="174"/>
      <x:c r="BC143" s="174"/>
      <x:c r="BD143" s="174"/>
      <x:c r="BE143" s="174"/>
      <x:c r="BF143" s="174"/>
      <x:c r="BG143" s="174"/>
      <x:c r="BH143" s="174"/>
      <x:c r="BI143" s="174"/>
      <x:c r="BJ143" s="174"/>
      <x:c r="BK143" s="174"/>
      <x:c r="BL143" s="174"/>
      <x:c r="BM143" s="174"/>
      <x:c r="BN143" s="174"/>
      <x:c r="BO143" s="174"/>
      <x:c r="BP143" s="174"/>
      <x:c r="BQ143" s="174"/>
      <x:c r="BR143" s="174"/>
      <x:c r="BS143" s="174"/>
      <x:c r="BT143" s="174"/>
      <x:c r="BU143" s="174"/>
      <x:c r="BV143" s="174"/>
      <x:c r="BW143" s="174"/>
      <x:c r="BX143" s="174"/>
      <x:c r="BY143" s="174"/>
      <x:c r="BZ143" s="174"/>
      <x:c r="CA143" s="174"/>
      <x:c r="CB143" s="174"/>
      <x:c r="CC143" s="174"/>
      <x:c r="CD143" s="174"/>
      <x:c r="CE143" s="174"/>
      <x:c r="CF143" s="174"/>
      <x:c r="CG143" s="174"/>
      <x:c r="CH143" s="174"/>
      <x:c r="CI143" s="179"/>
      <x:c r="CJ143" s="174"/>
      <x:c r="CK143" s="174"/>
      <x:c r="CL143" s="174"/>
      <x:c r="CM143" s="174"/>
      <x:c r="CN143" s="174"/>
      <x:c r="CO143" s="177"/>
      <x:c r="CP143" s="174"/>
      <x:c r="CQ143" s="174"/>
      <x:c r="CR143" s="174"/>
      <x:c r="CS143" s="174"/>
      <x:c r="CT143" s="174"/>
      <x:c r="CU143" s="176"/>
      <x:c r="CV143" s="176"/>
      <x:c r="CW143" s="176"/>
      <x:c r="CX143" s="176"/>
      <x:c r="CY143" s="176"/>
      <x:c r="CZ143" s="176"/>
      <x:c r="DA143" s="176"/>
      <x:c r="DB143" s="175" t="str">
        <x:f>IF(L143="","",IF(COUNT(CU143:DA143)&lt;7,"",SUM(CU143:DA143)))</x:f>
      </x:c>
      <x:c r="DC143" s="180" t="str">
        <x:f>IF(DB143="","",ROUND(DB143/14*10,1))</x:f>
      </x:c>
      <x:c r="DD143" s="174"/>
      <x:c r="DE143" s="175" t="str">
        <x:f>IF(L143="","",IF(DC143="","Pending",IF(DD143="Yes","CONDITIONAL — safety override",IF(DC143&gt;=8,"HIGH",IF(DC143&gt;=5,"CONDITIONAL","LOW")))))</x:f>
      </x:c>
      <x:c r="DF143" s="174"/>
      <x:c r="DG143" s="174"/>
      <x:c r="DH143" s="174"/>
      <x:c r="DI143" s="174"/>
      <x:c r="DJ143" s="174"/>
      <x:c r="DK143" s="174"/>
      <x:c r="DL143" s="174"/>
      <x:c r="DM143" s="174"/>
      <x:c r="DN143" s="174"/>
      <x:c r="DO143" s="174"/>
      <x:c r="DP143" s="174"/>
      <x:c r="DQ143" s="174"/>
      <x:c r="DR143" s="174"/>
      <x:c r="DS143" s="174"/>
      <x:c r="DT143" s="174"/>
      <x:c r="DU143" s="174"/>
      <x:c r="DV143" s="174"/>
      <x:c r="DW143" s="174"/>
      <x:c r="DX143" s="174"/>
      <x:c r="DY143" s="174"/>
      <x:c r="DZ143" s="174"/>
      <x:c r="EA143" s="174"/>
      <x:c r="EB143" s="175" t="str">
        <x:f>IF(L143="","",IF(AND(F143="Claim-ready",CJ143="Yes",CL143="Yes",DZ143&lt;&gt;""),"Yes","No / Pending"))</x:f>
      </x:c>
      <x:c r="EC143" s="174"/>
      <x:c r="ED143" s="174"/>
      <x:c r="EE143" s="174"/>
      <x:c r="EF143" s="174"/>
      <x:c r="EG143" s="174"/>
      <x:c r="EH143" s="177"/>
      <x:c r="EI143" s="174"/>
      <x:c r="EJ143" s="174"/>
      <x:c r="EK143" s="174"/>
      <x:c r="EL143" s="177"/>
      <x:c r="EM143" s="174"/>
      <x:c r="EN143" s="181" t="str">
        <x:f>IF(L143="","",(IF(N143&lt;&gt;"",1,0)+IF(O143&lt;&gt;"",1,0)+IF(AJ143&lt;&gt;"",1,0)+IF(AU143&lt;&gt;"",1,0)+IF(BE143&lt;&gt;"",1,0)+IF(CF143&lt;&gt;"",1,0)+IF(CJ143="Yes",1,0)+IF(CL143="Yes",1,0)+IF(DE143&lt;&gt;"Pending",1,0)+IF(F143&lt;&gt;"",1,0)+IF(DZ143&lt;&gt;"",1,0)+IF(EI143&lt;&gt;"",1,0))/12)</x:f>
      </x:c>
    </x:row>
    <x:row r="144">
      <x:c r="A144" s="175" t="str">
        <x:f>IF(L144="","","EV-"&amp;TEXT(ROW()-3,"0000"))</x:f>
      </x:c>
      <x:c r="B144" s="174"/>
      <x:c r="C144" s="175" t="str">
        <x:f>IF(L144="","",IF(OR(CM144="Retracted",CN144="Retracted",F144="Not used"),"🔴 Do not use for conclusion",IF(OR(R144="Official / Institutional",I144="Official / contextual"),"🔵 Official / contextual",IF(OR(I144="Definition",I144="Framework",I144="Paradigm shift"),"🟣 Conceptual key source",IF(AND(CJ144="Yes",CL144="Yes",OR(CG144="High",CG144="Moderate"),CH144&lt;&gt;"High",CH144&lt;&gt;"Critical",F144="Claim-ready"),"🟢 Claim-ready","🟡 Caution / context")))))</x:f>
      </x:c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6"/>
      <x:c r="P144" s="174"/>
      <x:c r="Q144" s="174"/>
      <x:c r="R144" s="174"/>
      <x:c r="S144" s="174"/>
      <x:c r="T144" s="174"/>
      <x:c r="U144" s="174"/>
      <x:c r="V144" s="174"/>
      <x:c r="W144" s="175" t="str">
        <x:f>IF(V144="","",LOWER(SUBSTITUTE(SUBSTITUTE(SUBSTITUTE(SUBSTITUTE(TRIM(V144),"https://doi.org/",""),"http://doi.org/",""),"https://dx.doi.org/",""),"doi:","")))</x:f>
      </x:c>
      <x:c r="X144" s="174"/>
      <x:c r="Y144" s="174"/>
      <x:c r="Z144" s="174"/>
      <x:c r="AA144" s="174"/>
      <x:c r="AB144" s="174"/>
      <x:c r="AC144" s="174"/>
      <x:c r="AD144" s="177"/>
      <x:c r="AE144" s="177"/>
      <x:c r="AF144" s="174"/>
      <x:c r="AG144" s="174"/>
      <x:c r="AH144" s="174"/>
      <x:c r="AI144" s="174"/>
      <x:c r="AJ144" s="174"/>
      <x:c r="AK144" s="175" t="str">
        <x:f>IF(AJ144="","",IF(OR(LOWER(AJ144)="brazil",LOWER(AJ144)="brasil"),"Yes","No"))</x:f>
      </x:c>
      <x:c r="AL144" s="174"/>
      <x:c r="AM144" s="174"/>
      <x:c r="AN144" s="174"/>
      <x:c r="AO144" s="178"/>
      <x:c r="AP144" s="174"/>
      <x:c r="AQ144" s="174"/>
      <x:c r="AR144" s="174"/>
      <x:c r="AS144" s="174"/>
      <x:c r="AT144" s="174"/>
      <x:c r="AU144" s="174"/>
      <x:c r="AV144" s="174"/>
      <x:c r="AW144" s="174"/>
      <x:c r="AX144" s="174"/>
      <x:c r="AY144" s="174"/>
      <x:c r="AZ144" s="174"/>
      <x:c r="BA144" s="174"/>
      <x:c r="BB144" s="174"/>
      <x:c r="BC144" s="174"/>
      <x:c r="BD144" s="174"/>
      <x:c r="BE144" s="174"/>
      <x:c r="BF144" s="174"/>
      <x:c r="BG144" s="174"/>
      <x:c r="BH144" s="174"/>
      <x:c r="BI144" s="174"/>
      <x:c r="BJ144" s="174"/>
      <x:c r="BK144" s="174"/>
      <x:c r="BL144" s="174"/>
      <x:c r="BM144" s="174"/>
      <x:c r="BN144" s="174"/>
      <x:c r="BO144" s="174"/>
      <x:c r="BP144" s="174"/>
      <x:c r="BQ144" s="174"/>
      <x:c r="BR144" s="174"/>
      <x:c r="BS144" s="174"/>
      <x:c r="BT144" s="174"/>
      <x:c r="BU144" s="174"/>
      <x:c r="BV144" s="174"/>
      <x:c r="BW144" s="174"/>
      <x:c r="BX144" s="174"/>
      <x:c r="BY144" s="174"/>
      <x:c r="BZ144" s="174"/>
      <x:c r="CA144" s="174"/>
      <x:c r="CB144" s="174"/>
      <x:c r="CC144" s="174"/>
      <x:c r="CD144" s="174"/>
      <x:c r="CE144" s="174"/>
      <x:c r="CF144" s="174"/>
      <x:c r="CG144" s="174"/>
      <x:c r="CH144" s="174"/>
      <x:c r="CI144" s="179"/>
      <x:c r="CJ144" s="174"/>
      <x:c r="CK144" s="174"/>
      <x:c r="CL144" s="174"/>
      <x:c r="CM144" s="174"/>
      <x:c r="CN144" s="174"/>
      <x:c r="CO144" s="177"/>
      <x:c r="CP144" s="174"/>
      <x:c r="CQ144" s="174"/>
      <x:c r="CR144" s="174"/>
      <x:c r="CS144" s="174"/>
      <x:c r="CT144" s="174"/>
      <x:c r="CU144" s="176"/>
      <x:c r="CV144" s="176"/>
      <x:c r="CW144" s="176"/>
      <x:c r="CX144" s="176"/>
      <x:c r="CY144" s="176"/>
      <x:c r="CZ144" s="176"/>
      <x:c r="DA144" s="176"/>
      <x:c r="DB144" s="175" t="str">
        <x:f>IF(L144="","",IF(COUNT(CU144:DA144)&lt;7,"",SUM(CU144:DA144)))</x:f>
      </x:c>
      <x:c r="DC144" s="180" t="str">
        <x:f>IF(DB144="","",ROUND(DB144/14*10,1))</x:f>
      </x:c>
      <x:c r="DD144" s="174"/>
      <x:c r="DE144" s="175" t="str">
        <x:f>IF(L144="","",IF(DC144="","Pending",IF(DD144="Yes","CONDITIONAL — safety override",IF(DC144&gt;=8,"HIGH",IF(DC144&gt;=5,"CONDITIONAL","LOW")))))</x:f>
      </x:c>
      <x:c r="DF144" s="174"/>
      <x:c r="DG144" s="174"/>
      <x:c r="DH144" s="174"/>
      <x:c r="DI144" s="174"/>
      <x:c r="DJ144" s="174"/>
      <x:c r="DK144" s="174"/>
      <x:c r="DL144" s="174"/>
      <x:c r="DM144" s="174"/>
      <x:c r="DN144" s="174"/>
      <x:c r="DO144" s="174"/>
      <x:c r="DP144" s="174"/>
      <x:c r="DQ144" s="174"/>
      <x:c r="DR144" s="174"/>
      <x:c r="DS144" s="174"/>
      <x:c r="DT144" s="174"/>
      <x:c r="DU144" s="174"/>
      <x:c r="DV144" s="174"/>
      <x:c r="DW144" s="174"/>
      <x:c r="DX144" s="174"/>
      <x:c r="DY144" s="174"/>
      <x:c r="DZ144" s="174"/>
      <x:c r="EA144" s="174"/>
      <x:c r="EB144" s="175" t="str">
        <x:f>IF(L144="","",IF(AND(F144="Claim-ready",CJ144="Yes",CL144="Yes",DZ144&lt;&gt;""),"Yes","No / Pending"))</x:f>
      </x:c>
      <x:c r="EC144" s="174"/>
      <x:c r="ED144" s="174"/>
      <x:c r="EE144" s="174"/>
      <x:c r="EF144" s="174"/>
      <x:c r="EG144" s="174"/>
      <x:c r="EH144" s="177"/>
      <x:c r="EI144" s="174"/>
      <x:c r="EJ144" s="174"/>
      <x:c r="EK144" s="174"/>
      <x:c r="EL144" s="177"/>
      <x:c r="EM144" s="174"/>
      <x:c r="EN144" s="181" t="str">
        <x:f>IF(L144="","",(IF(N144&lt;&gt;"",1,0)+IF(O144&lt;&gt;"",1,0)+IF(AJ144&lt;&gt;"",1,0)+IF(AU144&lt;&gt;"",1,0)+IF(BE144&lt;&gt;"",1,0)+IF(CF144&lt;&gt;"",1,0)+IF(CJ144="Yes",1,0)+IF(CL144="Yes",1,0)+IF(DE144&lt;&gt;"Pending",1,0)+IF(F144&lt;&gt;"",1,0)+IF(DZ144&lt;&gt;"",1,0)+IF(EI144&lt;&gt;"",1,0))/12)</x:f>
      </x:c>
    </x:row>
    <x:row r="145">
      <x:c r="A145" s="175" t="str">
        <x:f>IF(L145="","","EV-"&amp;TEXT(ROW()-3,"0000"))</x:f>
      </x:c>
      <x:c r="B145" s="174"/>
      <x:c r="C145" s="175" t="str">
        <x:f>IF(L145="","",IF(OR(CM145="Retracted",CN145="Retracted",F145="Not used"),"🔴 Do not use for conclusion",IF(OR(R145="Official / Institutional",I145="Official / contextual"),"🔵 Official / contextual",IF(OR(I145="Definition",I145="Framework",I145="Paradigm shift"),"🟣 Conceptual key source",IF(AND(CJ145="Yes",CL145="Yes",OR(CG145="High",CG145="Moderate"),CH145&lt;&gt;"High",CH145&lt;&gt;"Critical",F145="Claim-ready"),"🟢 Claim-ready","🟡 Caution / context")))))</x:f>
      </x:c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6"/>
      <x:c r="P145" s="174"/>
      <x:c r="Q145" s="174"/>
      <x:c r="R145" s="174"/>
      <x:c r="S145" s="174"/>
      <x:c r="T145" s="174"/>
      <x:c r="U145" s="174"/>
      <x:c r="V145" s="174"/>
      <x:c r="W145" s="175" t="str">
        <x:f>IF(V145="","",LOWER(SUBSTITUTE(SUBSTITUTE(SUBSTITUTE(SUBSTITUTE(TRIM(V145),"https://doi.org/",""),"http://doi.org/",""),"https://dx.doi.org/",""),"doi:","")))</x:f>
      </x:c>
      <x:c r="X145" s="174"/>
      <x:c r="Y145" s="174"/>
      <x:c r="Z145" s="174"/>
      <x:c r="AA145" s="174"/>
      <x:c r="AB145" s="174"/>
      <x:c r="AC145" s="174"/>
      <x:c r="AD145" s="177"/>
      <x:c r="AE145" s="177"/>
      <x:c r="AF145" s="174"/>
      <x:c r="AG145" s="174"/>
      <x:c r="AH145" s="174"/>
      <x:c r="AI145" s="174"/>
      <x:c r="AJ145" s="174"/>
      <x:c r="AK145" s="175" t="str">
        <x:f>IF(AJ145="","",IF(OR(LOWER(AJ145)="brazil",LOWER(AJ145)="brasil"),"Yes","No"))</x:f>
      </x:c>
      <x:c r="AL145" s="174"/>
      <x:c r="AM145" s="174"/>
      <x:c r="AN145" s="174"/>
      <x:c r="AO145" s="178"/>
      <x:c r="AP145" s="174"/>
      <x:c r="AQ145" s="174"/>
      <x:c r="AR145" s="174"/>
      <x:c r="AS145" s="174"/>
      <x:c r="AT145" s="174"/>
      <x:c r="AU145" s="174"/>
      <x:c r="AV145" s="174"/>
      <x:c r="AW145" s="174"/>
      <x:c r="AX145" s="174"/>
      <x:c r="AY145" s="174"/>
      <x:c r="AZ145" s="174"/>
      <x:c r="BA145" s="174"/>
      <x:c r="BB145" s="174"/>
      <x:c r="BC145" s="174"/>
      <x:c r="BD145" s="174"/>
      <x:c r="BE145" s="174"/>
      <x:c r="BF145" s="174"/>
      <x:c r="BG145" s="174"/>
      <x:c r="BH145" s="174"/>
      <x:c r="BI145" s="174"/>
      <x:c r="BJ145" s="174"/>
      <x:c r="BK145" s="174"/>
      <x:c r="BL145" s="174"/>
      <x:c r="BM145" s="174"/>
      <x:c r="BN145" s="174"/>
      <x:c r="BO145" s="174"/>
      <x:c r="BP145" s="174"/>
      <x:c r="BQ145" s="174"/>
      <x:c r="BR145" s="174"/>
      <x:c r="BS145" s="174"/>
      <x:c r="BT145" s="174"/>
      <x:c r="BU145" s="174"/>
      <x:c r="BV145" s="174"/>
      <x:c r="BW145" s="174"/>
      <x:c r="BX145" s="174"/>
      <x:c r="BY145" s="174"/>
      <x:c r="BZ145" s="174"/>
      <x:c r="CA145" s="174"/>
      <x:c r="CB145" s="174"/>
      <x:c r="CC145" s="174"/>
      <x:c r="CD145" s="174"/>
      <x:c r="CE145" s="174"/>
      <x:c r="CF145" s="174"/>
      <x:c r="CG145" s="174"/>
      <x:c r="CH145" s="174"/>
      <x:c r="CI145" s="179"/>
      <x:c r="CJ145" s="174"/>
      <x:c r="CK145" s="174"/>
      <x:c r="CL145" s="174"/>
      <x:c r="CM145" s="174"/>
      <x:c r="CN145" s="174"/>
      <x:c r="CO145" s="177"/>
      <x:c r="CP145" s="174"/>
      <x:c r="CQ145" s="174"/>
      <x:c r="CR145" s="174"/>
      <x:c r="CS145" s="174"/>
      <x:c r="CT145" s="174"/>
      <x:c r="CU145" s="176"/>
      <x:c r="CV145" s="176"/>
      <x:c r="CW145" s="176"/>
      <x:c r="CX145" s="176"/>
      <x:c r="CY145" s="176"/>
      <x:c r="CZ145" s="176"/>
      <x:c r="DA145" s="176"/>
      <x:c r="DB145" s="175" t="str">
        <x:f>IF(L145="","",IF(COUNT(CU145:DA145)&lt;7,"",SUM(CU145:DA145)))</x:f>
      </x:c>
      <x:c r="DC145" s="180" t="str">
        <x:f>IF(DB145="","",ROUND(DB145/14*10,1))</x:f>
      </x:c>
      <x:c r="DD145" s="174"/>
      <x:c r="DE145" s="175" t="str">
        <x:f>IF(L145="","",IF(DC145="","Pending",IF(DD145="Yes","CONDITIONAL — safety override",IF(DC145&gt;=8,"HIGH",IF(DC145&gt;=5,"CONDITIONAL","LOW")))))</x:f>
      </x:c>
      <x:c r="DF145" s="174"/>
      <x:c r="DG145" s="174"/>
      <x:c r="DH145" s="174"/>
      <x:c r="DI145" s="174"/>
      <x:c r="DJ145" s="174"/>
      <x:c r="DK145" s="174"/>
      <x:c r="DL145" s="174"/>
      <x:c r="DM145" s="174"/>
      <x:c r="DN145" s="174"/>
      <x:c r="DO145" s="174"/>
      <x:c r="DP145" s="174"/>
      <x:c r="DQ145" s="174"/>
      <x:c r="DR145" s="174"/>
      <x:c r="DS145" s="174"/>
      <x:c r="DT145" s="174"/>
      <x:c r="DU145" s="174"/>
      <x:c r="DV145" s="174"/>
      <x:c r="DW145" s="174"/>
      <x:c r="DX145" s="174"/>
      <x:c r="DY145" s="174"/>
      <x:c r="DZ145" s="174"/>
      <x:c r="EA145" s="174"/>
      <x:c r="EB145" s="175" t="str">
        <x:f>IF(L145="","",IF(AND(F145="Claim-ready",CJ145="Yes",CL145="Yes",DZ145&lt;&gt;""),"Yes","No / Pending"))</x:f>
      </x:c>
      <x:c r="EC145" s="174"/>
      <x:c r="ED145" s="174"/>
      <x:c r="EE145" s="174"/>
      <x:c r="EF145" s="174"/>
      <x:c r="EG145" s="174"/>
      <x:c r="EH145" s="177"/>
      <x:c r="EI145" s="174"/>
      <x:c r="EJ145" s="174"/>
      <x:c r="EK145" s="174"/>
      <x:c r="EL145" s="177"/>
      <x:c r="EM145" s="174"/>
      <x:c r="EN145" s="181" t="str">
        <x:f>IF(L145="","",(IF(N145&lt;&gt;"",1,0)+IF(O145&lt;&gt;"",1,0)+IF(AJ145&lt;&gt;"",1,0)+IF(AU145&lt;&gt;"",1,0)+IF(BE145&lt;&gt;"",1,0)+IF(CF145&lt;&gt;"",1,0)+IF(CJ145="Yes",1,0)+IF(CL145="Yes",1,0)+IF(DE145&lt;&gt;"Pending",1,0)+IF(F145&lt;&gt;"",1,0)+IF(DZ145&lt;&gt;"",1,0)+IF(EI145&lt;&gt;"",1,0))/12)</x:f>
      </x:c>
    </x:row>
    <x:row r="146">
      <x:c r="A146" s="175" t="str">
        <x:f>IF(L146="","","EV-"&amp;TEXT(ROW()-3,"0000"))</x:f>
      </x:c>
      <x:c r="B146" s="174"/>
      <x:c r="C146" s="175" t="str">
        <x:f>IF(L146="","",IF(OR(CM146="Retracted",CN146="Retracted",F146="Not used"),"🔴 Do not use for conclusion",IF(OR(R146="Official / Institutional",I146="Official / contextual"),"🔵 Official / contextual",IF(OR(I146="Definition",I146="Framework",I146="Paradigm shift"),"🟣 Conceptual key source",IF(AND(CJ146="Yes",CL146="Yes",OR(CG146="High",CG146="Moderate"),CH146&lt;&gt;"High",CH146&lt;&gt;"Critical",F146="Claim-ready"),"🟢 Claim-ready","🟡 Caution / context")))))</x:f>
      </x:c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6"/>
      <x:c r="P146" s="174"/>
      <x:c r="Q146" s="174"/>
      <x:c r="R146" s="174"/>
      <x:c r="S146" s="174"/>
      <x:c r="T146" s="174"/>
      <x:c r="U146" s="174"/>
      <x:c r="V146" s="174"/>
      <x:c r="W146" s="175" t="str">
        <x:f>IF(V146="","",LOWER(SUBSTITUTE(SUBSTITUTE(SUBSTITUTE(SUBSTITUTE(TRIM(V146),"https://doi.org/",""),"http://doi.org/",""),"https://dx.doi.org/",""),"doi:","")))</x:f>
      </x:c>
      <x:c r="X146" s="174"/>
      <x:c r="Y146" s="174"/>
      <x:c r="Z146" s="174"/>
      <x:c r="AA146" s="174"/>
      <x:c r="AB146" s="174"/>
      <x:c r="AC146" s="174"/>
      <x:c r="AD146" s="177"/>
      <x:c r="AE146" s="177"/>
      <x:c r="AF146" s="174"/>
      <x:c r="AG146" s="174"/>
      <x:c r="AH146" s="174"/>
      <x:c r="AI146" s="174"/>
      <x:c r="AJ146" s="174"/>
      <x:c r="AK146" s="175" t="str">
        <x:f>IF(AJ146="","",IF(OR(LOWER(AJ146)="brazil",LOWER(AJ146)="brasil"),"Yes","No"))</x:f>
      </x:c>
      <x:c r="AL146" s="174"/>
      <x:c r="AM146" s="174"/>
      <x:c r="AN146" s="174"/>
      <x:c r="AO146" s="178"/>
      <x:c r="AP146" s="174"/>
      <x:c r="AQ146" s="174"/>
      <x:c r="AR146" s="174"/>
      <x:c r="AS146" s="174"/>
      <x:c r="AT146" s="174"/>
      <x:c r="AU146" s="174"/>
      <x:c r="AV146" s="174"/>
      <x:c r="AW146" s="174"/>
      <x:c r="AX146" s="174"/>
      <x:c r="AY146" s="174"/>
      <x:c r="AZ146" s="174"/>
      <x:c r="BA146" s="174"/>
      <x:c r="BB146" s="174"/>
      <x:c r="BC146" s="174"/>
      <x:c r="BD146" s="174"/>
      <x:c r="BE146" s="174"/>
      <x:c r="BF146" s="174"/>
      <x:c r="BG146" s="174"/>
      <x:c r="BH146" s="174"/>
      <x:c r="BI146" s="174"/>
      <x:c r="BJ146" s="174"/>
      <x:c r="BK146" s="174"/>
      <x:c r="BL146" s="174"/>
      <x:c r="BM146" s="174"/>
      <x:c r="BN146" s="174"/>
      <x:c r="BO146" s="174"/>
      <x:c r="BP146" s="174"/>
      <x:c r="BQ146" s="174"/>
      <x:c r="BR146" s="174"/>
      <x:c r="BS146" s="174"/>
      <x:c r="BT146" s="174"/>
      <x:c r="BU146" s="174"/>
      <x:c r="BV146" s="174"/>
      <x:c r="BW146" s="174"/>
      <x:c r="BX146" s="174"/>
      <x:c r="BY146" s="174"/>
      <x:c r="BZ146" s="174"/>
      <x:c r="CA146" s="174"/>
      <x:c r="CB146" s="174"/>
      <x:c r="CC146" s="174"/>
      <x:c r="CD146" s="174"/>
      <x:c r="CE146" s="174"/>
      <x:c r="CF146" s="174"/>
      <x:c r="CG146" s="174"/>
      <x:c r="CH146" s="174"/>
      <x:c r="CI146" s="179"/>
      <x:c r="CJ146" s="174"/>
      <x:c r="CK146" s="174"/>
      <x:c r="CL146" s="174"/>
      <x:c r="CM146" s="174"/>
      <x:c r="CN146" s="174"/>
      <x:c r="CO146" s="177"/>
      <x:c r="CP146" s="174"/>
      <x:c r="CQ146" s="174"/>
      <x:c r="CR146" s="174"/>
      <x:c r="CS146" s="174"/>
      <x:c r="CT146" s="174"/>
      <x:c r="CU146" s="176"/>
      <x:c r="CV146" s="176"/>
      <x:c r="CW146" s="176"/>
      <x:c r="CX146" s="176"/>
      <x:c r="CY146" s="176"/>
      <x:c r="CZ146" s="176"/>
      <x:c r="DA146" s="176"/>
      <x:c r="DB146" s="175" t="str">
        <x:f>IF(L146="","",IF(COUNT(CU146:DA146)&lt;7,"",SUM(CU146:DA146)))</x:f>
      </x:c>
      <x:c r="DC146" s="180" t="str">
        <x:f>IF(DB146="","",ROUND(DB146/14*10,1))</x:f>
      </x:c>
      <x:c r="DD146" s="174"/>
      <x:c r="DE146" s="175" t="str">
        <x:f>IF(L146="","",IF(DC146="","Pending",IF(DD146="Yes","CONDITIONAL — safety override",IF(DC146&gt;=8,"HIGH",IF(DC146&gt;=5,"CONDITIONAL","LOW")))))</x:f>
      </x:c>
      <x:c r="DF146" s="174"/>
      <x:c r="DG146" s="174"/>
      <x:c r="DH146" s="174"/>
      <x:c r="DI146" s="174"/>
      <x:c r="DJ146" s="174"/>
      <x:c r="DK146" s="174"/>
      <x:c r="DL146" s="174"/>
      <x:c r="DM146" s="174"/>
      <x:c r="DN146" s="174"/>
      <x:c r="DO146" s="174"/>
      <x:c r="DP146" s="174"/>
      <x:c r="DQ146" s="174"/>
      <x:c r="DR146" s="174"/>
      <x:c r="DS146" s="174"/>
      <x:c r="DT146" s="174"/>
      <x:c r="DU146" s="174"/>
      <x:c r="DV146" s="174"/>
      <x:c r="DW146" s="174"/>
      <x:c r="DX146" s="174"/>
      <x:c r="DY146" s="174"/>
      <x:c r="DZ146" s="174"/>
      <x:c r="EA146" s="174"/>
      <x:c r="EB146" s="175" t="str">
        <x:f>IF(L146="","",IF(AND(F146="Claim-ready",CJ146="Yes",CL146="Yes",DZ146&lt;&gt;""),"Yes","No / Pending"))</x:f>
      </x:c>
      <x:c r="EC146" s="174"/>
      <x:c r="ED146" s="174"/>
      <x:c r="EE146" s="174"/>
      <x:c r="EF146" s="174"/>
      <x:c r="EG146" s="174"/>
      <x:c r="EH146" s="177"/>
      <x:c r="EI146" s="174"/>
      <x:c r="EJ146" s="174"/>
      <x:c r="EK146" s="174"/>
      <x:c r="EL146" s="177"/>
      <x:c r="EM146" s="174"/>
      <x:c r="EN146" s="181" t="str">
        <x:f>IF(L146="","",(IF(N146&lt;&gt;"",1,0)+IF(O146&lt;&gt;"",1,0)+IF(AJ146&lt;&gt;"",1,0)+IF(AU146&lt;&gt;"",1,0)+IF(BE146&lt;&gt;"",1,0)+IF(CF146&lt;&gt;"",1,0)+IF(CJ146="Yes",1,0)+IF(CL146="Yes",1,0)+IF(DE146&lt;&gt;"Pending",1,0)+IF(F146&lt;&gt;"",1,0)+IF(DZ146&lt;&gt;"",1,0)+IF(EI146&lt;&gt;"",1,0))/12)</x:f>
      </x:c>
    </x:row>
    <x:row r="147">
      <x:c r="A147" s="175" t="str">
        <x:f>IF(L147="","","EV-"&amp;TEXT(ROW()-3,"0000"))</x:f>
      </x:c>
      <x:c r="B147" s="174"/>
      <x:c r="C147" s="175" t="str">
        <x:f>IF(L147="","",IF(OR(CM147="Retracted",CN147="Retracted",F147="Not used"),"🔴 Do not use for conclusion",IF(OR(R147="Official / Institutional",I147="Official / contextual"),"🔵 Official / contextual",IF(OR(I147="Definition",I147="Framework",I147="Paradigm shift"),"🟣 Conceptual key source",IF(AND(CJ147="Yes",CL147="Yes",OR(CG147="High",CG147="Moderate"),CH147&lt;&gt;"High",CH147&lt;&gt;"Critical",F147="Claim-ready"),"🟢 Claim-ready","🟡 Caution / context")))))</x:f>
      </x:c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6"/>
      <x:c r="P147" s="174"/>
      <x:c r="Q147" s="174"/>
      <x:c r="R147" s="174"/>
      <x:c r="S147" s="174"/>
      <x:c r="T147" s="174"/>
      <x:c r="U147" s="174"/>
      <x:c r="V147" s="174"/>
      <x:c r="W147" s="175" t="str">
        <x:f>IF(V147="","",LOWER(SUBSTITUTE(SUBSTITUTE(SUBSTITUTE(SUBSTITUTE(TRIM(V147),"https://doi.org/",""),"http://doi.org/",""),"https://dx.doi.org/",""),"doi:","")))</x:f>
      </x:c>
      <x:c r="X147" s="174"/>
      <x:c r="Y147" s="174"/>
      <x:c r="Z147" s="174"/>
      <x:c r="AA147" s="174"/>
      <x:c r="AB147" s="174"/>
      <x:c r="AC147" s="174"/>
      <x:c r="AD147" s="177"/>
      <x:c r="AE147" s="177"/>
      <x:c r="AF147" s="174"/>
      <x:c r="AG147" s="174"/>
      <x:c r="AH147" s="174"/>
      <x:c r="AI147" s="174"/>
      <x:c r="AJ147" s="174"/>
      <x:c r="AK147" s="175" t="str">
        <x:f>IF(AJ147="","",IF(OR(LOWER(AJ147)="brazil",LOWER(AJ147)="brasil"),"Yes","No"))</x:f>
      </x:c>
      <x:c r="AL147" s="174"/>
      <x:c r="AM147" s="174"/>
      <x:c r="AN147" s="174"/>
      <x:c r="AO147" s="178"/>
      <x:c r="AP147" s="174"/>
      <x:c r="AQ147" s="174"/>
      <x:c r="AR147" s="174"/>
      <x:c r="AS147" s="174"/>
      <x:c r="AT147" s="174"/>
      <x:c r="AU147" s="174"/>
      <x:c r="AV147" s="174"/>
      <x:c r="AW147" s="174"/>
      <x:c r="AX147" s="174"/>
      <x:c r="AY147" s="174"/>
      <x:c r="AZ147" s="174"/>
      <x:c r="BA147" s="174"/>
      <x:c r="BB147" s="174"/>
      <x:c r="BC147" s="174"/>
      <x:c r="BD147" s="174"/>
      <x:c r="BE147" s="174"/>
      <x:c r="BF147" s="174"/>
      <x:c r="BG147" s="174"/>
      <x:c r="BH147" s="174"/>
      <x:c r="BI147" s="174"/>
      <x:c r="BJ147" s="174"/>
      <x:c r="BK147" s="174"/>
      <x:c r="BL147" s="174"/>
      <x:c r="BM147" s="174"/>
      <x:c r="BN147" s="174"/>
      <x:c r="BO147" s="174"/>
      <x:c r="BP147" s="174"/>
      <x:c r="BQ147" s="174"/>
      <x:c r="BR147" s="174"/>
      <x:c r="BS147" s="174"/>
      <x:c r="BT147" s="174"/>
      <x:c r="BU147" s="174"/>
      <x:c r="BV147" s="174"/>
      <x:c r="BW147" s="174"/>
      <x:c r="BX147" s="174"/>
      <x:c r="BY147" s="174"/>
      <x:c r="BZ147" s="174"/>
      <x:c r="CA147" s="174"/>
      <x:c r="CB147" s="174"/>
      <x:c r="CC147" s="174"/>
      <x:c r="CD147" s="174"/>
      <x:c r="CE147" s="174"/>
      <x:c r="CF147" s="174"/>
      <x:c r="CG147" s="174"/>
      <x:c r="CH147" s="174"/>
      <x:c r="CI147" s="179"/>
      <x:c r="CJ147" s="174"/>
      <x:c r="CK147" s="174"/>
      <x:c r="CL147" s="174"/>
      <x:c r="CM147" s="174"/>
      <x:c r="CN147" s="174"/>
      <x:c r="CO147" s="177"/>
      <x:c r="CP147" s="174"/>
      <x:c r="CQ147" s="174"/>
      <x:c r="CR147" s="174"/>
      <x:c r="CS147" s="174"/>
      <x:c r="CT147" s="174"/>
      <x:c r="CU147" s="176"/>
      <x:c r="CV147" s="176"/>
      <x:c r="CW147" s="176"/>
      <x:c r="CX147" s="176"/>
      <x:c r="CY147" s="176"/>
      <x:c r="CZ147" s="176"/>
      <x:c r="DA147" s="176"/>
      <x:c r="DB147" s="175" t="str">
        <x:f>IF(L147="","",IF(COUNT(CU147:DA147)&lt;7,"",SUM(CU147:DA147)))</x:f>
      </x:c>
      <x:c r="DC147" s="180" t="str">
        <x:f>IF(DB147="","",ROUND(DB147/14*10,1))</x:f>
      </x:c>
      <x:c r="DD147" s="174"/>
      <x:c r="DE147" s="175" t="str">
        <x:f>IF(L147="","",IF(DC147="","Pending",IF(DD147="Yes","CONDITIONAL — safety override",IF(DC147&gt;=8,"HIGH",IF(DC147&gt;=5,"CONDITIONAL","LOW")))))</x:f>
      </x:c>
      <x:c r="DF147" s="174"/>
      <x:c r="DG147" s="174"/>
      <x:c r="DH147" s="174"/>
      <x:c r="DI147" s="174"/>
      <x:c r="DJ147" s="174"/>
      <x:c r="DK147" s="174"/>
      <x:c r="DL147" s="174"/>
      <x:c r="DM147" s="174"/>
      <x:c r="DN147" s="174"/>
      <x:c r="DO147" s="174"/>
      <x:c r="DP147" s="174"/>
      <x:c r="DQ147" s="174"/>
      <x:c r="DR147" s="174"/>
      <x:c r="DS147" s="174"/>
      <x:c r="DT147" s="174"/>
      <x:c r="DU147" s="174"/>
      <x:c r="DV147" s="174"/>
      <x:c r="DW147" s="174"/>
      <x:c r="DX147" s="174"/>
      <x:c r="DY147" s="174"/>
      <x:c r="DZ147" s="174"/>
      <x:c r="EA147" s="174"/>
      <x:c r="EB147" s="175" t="str">
        <x:f>IF(L147="","",IF(AND(F147="Claim-ready",CJ147="Yes",CL147="Yes",DZ147&lt;&gt;""),"Yes","No / Pending"))</x:f>
      </x:c>
      <x:c r="EC147" s="174"/>
      <x:c r="ED147" s="174"/>
      <x:c r="EE147" s="174"/>
      <x:c r="EF147" s="174"/>
      <x:c r="EG147" s="174"/>
      <x:c r="EH147" s="177"/>
      <x:c r="EI147" s="174"/>
      <x:c r="EJ147" s="174"/>
      <x:c r="EK147" s="174"/>
      <x:c r="EL147" s="177"/>
      <x:c r="EM147" s="174"/>
      <x:c r="EN147" s="181" t="str">
        <x:f>IF(L147="","",(IF(N147&lt;&gt;"",1,0)+IF(O147&lt;&gt;"",1,0)+IF(AJ147&lt;&gt;"",1,0)+IF(AU147&lt;&gt;"",1,0)+IF(BE147&lt;&gt;"",1,0)+IF(CF147&lt;&gt;"",1,0)+IF(CJ147="Yes",1,0)+IF(CL147="Yes",1,0)+IF(DE147&lt;&gt;"Pending",1,0)+IF(F147&lt;&gt;"",1,0)+IF(DZ147&lt;&gt;"",1,0)+IF(EI147&lt;&gt;"",1,0))/12)</x:f>
      </x:c>
    </x:row>
    <x:row r="148">
      <x:c r="A148" s="175" t="str">
        <x:f>IF(L148="","","EV-"&amp;TEXT(ROW()-3,"0000"))</x:f>
      </x:c>
      <x:c r="B148" s="174"/>
      <x:c r="C148" s="175" t="str">
        <x:f>IF(L148="","",IF(OR(CM148="Retracted",CN148="Retracted",F148="Not used"),"🔴 Do not use for conclusion",IF(OR(R148="Official / Institutional",I148="Official / contextual"),"🔵 Official / contextual",IF(OR(I148="Definition",I148="Framework",I148="Paradigm shift"),"🟣 Conceptual key source",IF(AND(CJ148="Yes",CL148="Yes",OR(CG148="High",CG148="Moderate"),CH148&lt;&gt;"High",CH148&lt;&gt;"Critical",F148="Claim-ready"),"🟢 Claim-ready","🟡 Caution / context")))))</x:f>
      </x:c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6"/>
      <x:c r="P148" s="174"/>
      <x:c r="Q148" s="174"/>
      <x:c r="R148" s="174"/>
      <x:c r="S148" s="174"/>
      <x:c r="T148" s="174"/>
      <x:c r="U148" s="174"/>
      <x:c r="V148" s="174"/>
      <x:c r="W148" s="175" t="str">
        <x:f>IF(V148="","",LOWER(SUBSTITUTE(SUBSTITUTE(SUBSTITUTE(SUBSTITUTE(TRIM(V148),"https://doi.org/",""),"http://doi.org/",""),"https://dx.doi.org/",""),"doi:","")))</x:f>
      </x:c>
      <x:c r="X148" s="174"/>
      <x:c r="Y148" s="174"/>
      <x:c r="Z148" s="174"/>
      <x:c r="AA148" s="174"/>
      <x:c r="AB148" s="174"/>
      <x:c r="AC148" s="174"/>
      <x:c r="AD148" s="177"/>
      <x:c r="AE148" s="177"/>
      <x:c r="AF148" s="174"/>
      <x:c r="AG148" s="174"/>
      <x:c r="AH148" s="174"/>
      <x:c r="AI148" s="174"/>
      <x:c r="AJ148" s="174"/>
      <x:c r="AK148" s="175" t="str">
        <x:f>IF(AJ148="","",IF(OR(LOWER(AJ148)="brazil",LOWER(AJ148)="brasil"),"Yes","No"))</x:f>
      </x:c>
      <x:c r="AL148" s="174"/>
      <x:c r="AM148" s="174"/>
      <x:c r="AN148" s="174"/>
      <x:c r="AO148" s="178"/>
      <x:c r="AP148" s="174"/>
      <x:c r="AQ148" s="174"/>
      <x:c r="AR148" s="174"/>
      <x:c r="AS148" s="174"/>
      <x:c r="AT148" s="174"/>
      <x:c r="AU148" s="174"/>
      <x:c r="AV148" s="174"/>
      <x:c r="AW148" s="174"/>
      <x:c r="AX148" s="174"/>
      <x:c r="AY148" s="174"/>
      <x:c r="AZ148" s="174"/>
      <x:c r="BA148" s="174"/>
      <x:c r="BB148" s="174"/>
      <x:c r="BC148" s="174"/>
      <x:c r="BD148" s="174"/>
      <x:c r="BE148" s="174"/>
      <x:c r="BF148" s="174"/>
      <x:c r="BG148" s="174"/>
      <x:c r="BH148" s="174"/>
      <x:c r="BI148" s="174"/>
      <x:c r="BJ148" s="174"/>
      <x:c r="BK148" s="174"/>
      <x:c r="BL148" s="174"/>
      <x:c r="BM148" s="174"/>
      <x:c r="BN148" s="174"/>
      <x:c r="BO148" s="174"/>
      <x:c r="BP148" s="174"/>
      <x:c r="BQ148" s="174"/>
      <x:c r="BR148" s="174"/>
      <x:c r="BS148" s="174"/>
      <x:c r="BT148" s="174"/>
      <x:c r="BU148" s="174"/>
      <x:c r="BV148" s="174"/>
      <x:c r="BW148" s="174"/>
      <x:c r="BX148" s="174"/>
      <x:c r="BY148" s="174"/>
      <x:c r="BZ148" s="174"/>
      <x:c r="CA148" s="174"/>
      <x:c r="CB148" s="174"/>
      <x:c r="CC148" s="174"/>
      <x:c r="CD148" s="174"/>
      <x:c r="CE148" s="174"/>
      <x:c r="CF148" s="174"/>
      <x:c r="CG148" s="174"/>
      <x:c r="CH148" s="174"/>
      <x:c r="CI148" s="179"/>
      <x:c r="CJ148" s="174"/>
      <x:c r="CK148" s="174"/>
      <x:c r="CL148" s="174"/>
      <x:c r="CM148" s="174"/>
      <x:c r="CN148" s="174"/>
      <x:c r="CO148" s="177"/>
      <x:c r="CP148" s="174"/>
      <x:c r="CQ148" s="174"/>
      <x:c r="CR148" s="174"/>
      <x:c r="CS148" s="174"/>
      <x:c r="CT148" s="174"/>
      <x:c r="CU148" s="176"/>
      <x:c r="CV148" s="176"/>
      <x:c r="CW148" s="176"/>
      <x:c r="CX148" s="176"/>
      <x:c r="CY148" s="176"/>
      <x:c r="CZ148" s="176"/>
      <x:c r="DA148" s="176"/>
      <x:c r="DB148" s="175" t="str">
        <x:f>IF(L148="","",IF(COUNT(CU148:DA148)&lt;7,"",SUM(CU148:DA148)))</x:f>
      </x:c>
      <x:c r="DC148" s="180" t="str">
        <x:f>IF(DB148="","",ROUND(DB148/14*10,1))</x:f>
      </x:c>
      <x:c r="DD148" s="174"/>
      <x:c r="DE148" s="175" t="str">
        <x:f>IF(L148="","",IF(DC148="","Pending",IF(DD148="Yes","CONDITIONAL — safety override",IF(DC148&gt;=8,"HIGH",IF(DC148&gt;=5,"CONDITIONAL","LOW")))))</x:f>
      </x:c>
      <x:c r="DF148" s="174"/>
      <x:c r="DG148" s="174"/>
      <x:c r="DH148" s="174"/>
      <x:c r="DI148" s="174"/>
      <x:c r="DJ148" s="174"/>
      <x:c r="DK148" s="174"/>
      <x:c r="DL148" s="174"/>
      <x:c r="DM148" s="174"/>
      <x:c r="DN148" s="174"/>
      <x:c r="DO148" s="174"/>
      <x:c r="DP148" s="174"/>
      <x:c r="DQ148" s="174"/>
      <x:c r="DR148" s="174"/>
      <x:c r="DS148" s="174"/>
      <x:c r="DT148" s="174"/>
      <x:c r="DU148" s="174"/>
      <x:c r="DV148" s="174"/>
      <x:c r="DW148" s="174"/>
      <x:c r="DX148" s="174"/>
      <x:c r="DY148" s="174"/>
      <x:c r="DZ148" s="174"/>
      <x:c r="EA148" s="174"/>
      <x:c r="EB148" s="175" t="str">
        <x:f>IF(L148="","",IF(AND(F148="Claim-ready",CJ148="Yes",CL148="Yes",DZ148&lt;&gt;""),"Yes","No / Pending"))</x:f>
      </x:c>
      <x:c r="EC148" s="174"/>
      <x:c r="ED148" s="174"/>
      <x:c r="EE148" s="174"/>
      <x:c r="EF148" s="174"/>
      <x:c r="EG148" s="174"/>
      <x:c r="EH148" s="177"/>
      <x:c r="EI148" s="174"/>
      <x:c r="EJ148" s="174"/>
      <x:c r="EK148" s="174"/>
      <x:c r="EL148" s="177"/>
      <x:c r="EM148" s="174"/>
      <x:c r="EN148" s="181" t="str">
        <x:f>IF(L148="","",(IF(N148&lt;&gt;"",1,0)+IF(O148&lt;&gt;"",1,0)+IF(AJ148&lt;&gt;"",1,0)+IF(AU148&lt;&gt;"",1,0)+IF(BE148&lt;&gt;"",1,0)+IF(CF148&lt;&gt;"",1,0)+IF(CJ148="Yes",1,0)+IF(CL148="Yes",1,0)+IF(DE148&lt;&gt;"Pending",1,0)+IF(F148&lt;&gt;"",1,0)+IF(DZ148&lt;&gt;"",1,0)+IF(EI148&lt;&gt;"",1,0))/12)</x:f>
      </x:c>
    </x:row>
    <x:row r="149">
      <x:c r="A149" s="175" t="str">
        <x:f>IF(L149="","","EV-"&amp;TEXT(ROW()-3,"0000"))</x:f>
      </x:c>
      <x:c r="B149" s="174"/>
      <x:c r="C149" s="175" t="str">
        <x:f>IF(L149="","",IF(OR(CM149="Retracted",CN149="Retracted",F149="Not used"),"🔴 Do not use for conclusion",IF(OR(R149="Official / Institutional",I149="Official / contextual"),"🔵 Official / contextual",IF(OR(I149="Definition",I149="Framework",I149="Paradigm shift"),"🟣 Conceptual key source",IF(AND(CJ149="Yes",CL149="Yes",OR(CG149="High",CG149="Moderate"),CH149&lt;&gt;"High",CH149&lt;&gt;"Critical",F149="Claim-ready"),"🟢 Claim-ready","🟡 Caution / context")))))</x:f>
      </x:c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6"/>
      <x:c r="P149" s="174"/>
      <x:c r="Q149" s="174"/>
      <x:c r="R149" s="174"/>
      <x:c r="S149" s="174"/>
      <x:c r="T149" s="174"/>
      <x:c r="U149" s="174"/>
      <x:c r="V149" s="174"/>
      <x:c r="W149" s="175" t="str">
        <x:f>IF(V149="","",LOWER(SUBSTITUTE(SUBSTITUTE(SUBSTITUTE(SUBSTITUTE(TRIM(V149),"https://doi.org/",""),"http://doi.org/",""),"https://dx.doi.org/",""),"doi:","")))</x:f>
      </x:c>
      <x:c r="X149" s="174"/>
      <x:c r="Y149" s="174"/>
      <x:c r="Z149" s="174"/>
      <x:c r="AA149" s="174"/>
      <x:c r="AB149" s="174"/>
      <x:c r="AC149" s="174"/>
      <x:c r="AD149" s="177"/>
      <x:c r="AE149" s="177"/>
      <x:c r="AF149" s="174"/>
      <x:c r="AG149" s="174"/>
      <x:c r="AH149" s="174"/>
      <x:c r="AI149" s="174"/>
      <x:c r="AJ149" s="174"/>
      <x:c r="AK149" s="175" t="str">
        <x:f>IF(AJ149="","",IF(OR(LOWER(AJ149)="brazil",LOWER(AJ149)="brasil"),"Yes","No"))</x:f>
      </x:c>
      <x:c r="AL149" s="174"/>
      <x:c r="AM149" s="174"/>
      <x:c r="AN149" s="174"/>
      <x:c r="AO149" s="178"/>
      <x:c r="AP149" s="174"/>
      <x:c r="AQ149" s="174"/>
      <x:c r="AR149" s="174"/>
      <x:c r="AS149" s="174"/>
      <x:c r="AT149" s="174"/>
      <x:c r="AU149" s="174"/>
      <x:c r="AV149" s="174"/>
      <x:c r="AW149" s="174"/>
      <x:c r="AX149" s="174"/>
      <x:c r="AY149" s="174"/>
      <x:c r="AZ149" s="174"/>
      <x:c r="BA149" s="174"/>
      <x:c r="BB149" s="174"/>
      <x:c r="BC149" s="174"/>
      <x:c r="BD149" s="174"/>
      <x:c r="BE149" s="174"/>
      <x:c r="BF149" s="174"/>
      <x:c r="BG149" s="174"/>
      <x:c r="BH149" s="174"/>
      <x:c r="BI149" s="174"/>
      <x:c r="BJ149" s="174"/>
      <x:c r="BK149" s="174"/>
      <x:c r="BL149" s="174"/>
      <x:c r="BM149" s="174"/>
      <x:c r="BN149" s="174"/>
      <x:c r="BO149" s="174"/>
      <x:c r="BP149" s="174"/>
      <x:c r="BQ149" s="174"/>
      <x:c r="BR149" s="174"/>
      <x:c r="BS149" s="174"/>
      <x:c r="BT149" s="174"/>
      <x:c r="BU149" s="174"/>
      <x:c r="BV149" s="174"/>
      <x:c r="BW149" s="174"/>
      <x:c r="BX149" s="174"/>
      <x:c r="BY149" s="174"/>
      <x:c r="BZ149" s="174"/>
      <x:c r="CA149" s="174"/>
      <x:c r="CB149" s="174"/>
      <x:c r="CC149" s="174"/>
      <x:c r="CD149" s="174"/>
      <x:c r="CE149" s="174"/>
      <x:c r="CF149" s="174"/>
      <x:c r="CG149" s="174"/>
      <x:c r="CH149" s="174"/>
      <x:c r="CI149" s="179"/>
      <x:c r="CJ149" s="174"/>
      <x:c r="CK149" s="174"/>
      <x:c r="CL149" s="174"/>
      <x:c r="CM149" s="174"/>
      <x:c r="CN149" s="174"/>
      <x:c r="CO149" s="177"/>
      <x:c r="CP149" s="174"/>
      <x:c r="CQ149" s="174"/>
      <x:c r="CR149" s="174"/>
      <x:c r="CS149" s="174"/>
      <x:c r="CT149" s="174"/>
      <x:c r="CU149" s="176"/>
      <x:c r="CV149" s="176"/>
      <x:c r="CW149" s="176"/>
      <x:c r="CX149" s="176"/>
      <x:c r="CY149" s="176"/>
      <x:c r="CZ149" s="176"/>
      <x:c r="DA149" s="176"/>
      <x:c r="DB149" s="175" t="str">
        <x:f>IF(L149="","",IF(COUNT(CU149:DA149)&lt;7,"",SUM(CU149:DA149)))</x:f>
      </x:c>
      <x:c r="DC149" s="180" t="str">
        <x:f>IF(DB149="","",ROUND(DB149/14*10,1))</x:f>
      </x:c>
      <x:c r="DD149" s="174"/>
      <x:c r="DE149" s="175" t="str">
        <x:f>IF(L149="","",IF(DC149="","Pending",IF(DD149="Yes","CONDITIONAL — safety override",IF(DC149&gt;=8,"HIGH",IF(DC149&gt;=5,"CONDITIONAL","LOW")))))</x:f>
      </x:c>
      <x:c r="DF149" s="174"/>
      <x:c r="DG149" s="174"/>
      <x:c r="DH149" s="174"/>
      <x:c r="DI149" s="174"/>
      <x:c r="DJ149" s="174"/>
      <x:c r="DK149" s="174"/>
      <x:c r="DL149" s="174"/>
      <x:c r="DM149" s="174"/>
      <x:c r="DN149" s="174"/>
      <x:c r="DO149" s="174"/>
      <x:c r="DP149" s="174"/>
      <x:c r="DQ149" s="174"/>
      <x:c r="DR149" s="174"/>
      <x:c r="DS149" s="174"/>
      <x:c r="DT149" s="174"/>
      <x:c r="DU149" s="174"/>
      <x:c r="DV149" s="174"/>
      <x:c r="DW149" s="174"/>
      <x:c r="DX149" s="174"/>
      <x:c r="DY149" s="174"/>
      <x:c r="DZ149" s="174"/>
      <x:c r="EA149" s="174"/>
      <x:c r="EB149" s="175" t="str">
        <x:f>IF(L149="","",IF(AND(F149="Claim-ready",CJ149="Yes",CL149="Yes",DZ149&lt;&gt;""),"Yes","No / Pending"))</x:f>
      </x:c>
      <x:c r="EC149" s="174"/>
      <x:c r="ED149" s="174"/>
      <x:c r="EE149" s="174"/>
      <x:c r="EF149" s="174"/>
      <x:c r="EG149" s="174"/>
      <x:c r="EH149" s="177"/>
      <x:c r="EI149" s="174"/>
      <x:c r="EJ149" s="174"/>
      <x:c r="EK149" s="174"/>
      <x:c r="EL149" s="177"/>
      <x:c r="EM149" s="174"/>
      <x:c r="EN149" s="181" t="str">
        <x:f>IF(L149="","",(IF(N149&lt;&gt;"",1,0)+IF(O149&lt;&gt;"",1,0)+IF(AJ149&lt;&gt;"",1,0)+IF(AU149&lt;&gt;"",1,0)+IF(BE149&lt;&gt;"",1,0)+IF(CF149&lt;&gt;"",1,0)+IF(CJ149="Yes",1,0)+IF(CL149="Yes",1,0)+IF(DE149&lt;&gt;"Pending",1,0)+IF(F149&lt;&gt;"",1,0)+IF(DZ149&lt;&gt;"",1,0)+IF(EI149&lt;&gt;"",1,0))/12)</x:f>
      </x:c>
    </x:row>
    <x:row r="150">
      <x:c r="A150" s="175" t="str">
        <x:f>IF(L150="","","EV-"&amp;TEXT(ROW()-3,"0000"))</x:f>
      </x:c>
      <x:c r="B150" s="174"/>
      <x:c r="C150" s="175" t="str">
        <x:f>IF(L150="","",IF(OR(CM150="Retracted",CN150="Retracted",F150="Not used"),"🔴 Do not use for conclusion",IF(OR(R150="Official / Institutional",I150="Official / contextual"),"🔵 Official / contextual",IF(OR(I150="Definition",I150="Framework",I150="Paradigm shift"),"🟣 Conceptual key source",IF(AND(CJ150="Yes",CL150="Yes",OR(CG150="High",CG150="Moderate"),CH150&lt;&gt;"High",CH150&lt;&gt;"Critical",F150="Claim-ready"),"🟢 Claim-ready","🟡 Caution / context")))))</x:f>
      </x:c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6"/>
      <x:c r="P150" s="174"/>
      <x:c r="Q150" s="174"/>
      <x:c r="R150" s="174"/>
      <x:c r="S150" s="174"/>
      <x:c r="T150" s="174"/>
      <x:c r="U150" s="174"/>
      <x:c r="V150" s="174"/>
      <x:c r="W150" s="175" t="str">
        <x:f>IF(V150="","",LOWER(SUBSTITUTE(SUBSTITUTE(SUBSTITUTE(SUBSTITUTE(TRIM(V150),"https://doi.org/",""),"http://doi.org/",""),"https://dx.doi.org/",""),"doi:","")))</x:f>
      </x:c>
      <x:c r="X150" s="174"/>
      <x:c r="Y150" s="174"/>
      <x:c r="Z150" s="174"/>
      <x:c r="AA150" s="174"/>
      <x:c r="AB150" s="174"/>
      <x:c r="AC150" s="174"/>
      <x:c r="AD150" s="177"/>
      <x:c r="AE150" s="177"/>
      <x:c r="AF150" s="174"/>
      <x:c r="AG150" s="174"/>
      <x:c r="AH150" s="174"/>
      <x:c r="AI150" s="174"/>
      <x:c r="AJ150" s="174"/>
      <x:c r="AK150" s="175" t="str">
        <x:f>IF(AJ150="","",IF(OR(LOWER(AJ150)="brazil",LOWER(AJ150)="brasil"),"Yes","No"))</x:f>
      </x:c>
      <x:c r="AL150" s="174"/>
      <x:c r="AM150" s="174"/>
      <x:c r="AN150" s="174"/>
      <x:c r="AO150" s="178"/>
      <x:c r="AP150" s="174"/>
      <x:c r="AQ150" s="174"/>
      <x:c r="AR150" s="174"/>
      <x:c r="AS150" s="174"/>
      <x:c r="AT150" s="174"/>
      <x:c r="AU150" s="174"/>
      <x:c r="AV150" s="174"/>
      <x:c r="AW150" s="174"/>
      <x:c r="AX150" s="174"/>
      <x:c r="AY150" s="174"/>
      <x:c r="AZ150" s="174"/>
      <x:c r="BA150" s="174"/>
      <x:c r="BB150" s="174"/>
      <x:c r="BC150" s="174"/>
      <x:c r="BD150" s="174"/>
      <x:c r="BE150" s="174"/>
      <x:c r="BF150" s="174"/>
      <x:c r="BG150" s="174"/>
      <x:c r="BH150" s="174"/>
      <x:c r="BI150" s="174"/>
      <x:c r="BJ150" s="174"/>
      <x:c r="BK150" s="174"/>
      <x:c r="BL150" s="174"/>
      <x:c r="BM150" s="174"/>
      <x:c r="BN150" s="174"/>
      <x:c r="BO150" s="174"/>
      <x:c r="BP150" s="174"/>
      <x:c r="BQ150" s="174"/>
      <x:c r="BR150" s="174"/>
      <x:c r="BS150" s="174"/>
      <x:c r="BT150" s="174"/>
      <x:c r="BU150" s="174"/>
      <x:c r="BV150" s="174"/>
      <x:c r="BW150" s="174"/>
      <x:c r="BX150" s="174"/>
      <x:c r="BY150" s="174"/>
      <x:c r="BZ150" s="174"/>
      <x:c r="CA150" s="174"/>
      <x:c r="CB150" s="174"/>
      <x:c r="CC150" s="174"/>
      <x:c r="CD150" s="174"/>
      <x:c r="CE150" s="174"/>
      <x:c r="CF150" s="174"/>
      <x:c r="CG150" s="174"/>
      <x:c r="CH150" s="174"/>
      <x:c r="CI150" s="179"/>
      <x:c r="CJ150" s="174"/>
      <x:c r="CK150" s="174"/>
      <x:c r="CL150" s="174"/>
      <x:c r="CM150" s="174"/>
      <x:c r="CN150" s="174"/>
      <x:c r="CO150" s="177"/>
      <x:c r="CP150" s="174"/>
      <x:c r="CQ150" s="174"/>
      <x:c r="CR150" s="174"/>
      <x:c r="CS150" s="174"/>
      <x:c r="CT150" s="174"/>
      <x:c r="CU150" s="176"/>
      <x:c r="CV150" s="176"/>
      <x:c r="CW150" s="176"/>
      <x:c r="CX150" s="176"/>
      <x:c r="CY150" s="176"/>
      <x:c r="CZ150" s="176"/>
      <x:c r="DA150" s="176"/>
      <x:c r="DB150" s="175" t="str">
        <x:f>IF(L150="","",IF(COUNT(CU150:DA150)&lt;7,"",SUM(CU150:DA150)))</x:f>
      </x:c>
      <x:c r="DC150" s="180" t="str">
        <x:f>IF(DB150="","",ROUND(DB150/14*10,1))</x:f>
      </x:c>
      <x:c r="DD150" s="174"/>
      <x:c r="DE150" s="175" t="str">
        <x:f>IF(L150="","",IF(DC150="","Pending",IF(DD150="Yes","CONDITIONAL — safety override",IF(DC150&gt;=8,"HIGH",IF(DC150&gt;=5,"CONDITIONAL","LOW")))))</x:f>
      </x:c>
      <x:c r="DF150" s="174"/>
      <x:c r="DG150" s="174"/>
      <x:c r="DH150" s="174"/>
      <x:c r="DI150" s="174"/>
      <x:c r="DJ150" s="174"/>
      <x:c r="DK150" s="174"/>
      <x:c r="DL150" s="174"/>
      <x:c r="DM150" s="174"/>
      <x:c r="DN150" s="174"/>
      <x:c r="DO150" s="174"/>
      <x:c r="DP150" s="174"/>
      <x:c r="DQ150" s="174"/>
      <x:c r="DR150" s="174"/>
      <x:c r="DS150" s="174"/>
      <x:c r="DT150" s="174"/>
      <x:c r="DU150" s="174"/>
      <x:c r="DV150" s="174"/>
      <x:c r="DW150" s="174"/>
      <x:c r="DX150" s="174"/>
      <x:c r="DY150" s="174"/>
      <x:c r="DZ150" s="174"/>
      <x:c r="EA150" s="174"/>
      <x:c r="EB150" s="175" t="str">
        <x:f>IF(L150="","",IF(AND(F150="Claim-ready",CJ150="Yes",CL150="Yes",DZ150&lt;&gt;""),"Yes","No / Pending"))</x:f>
      </x:c>
      <x:c r="EC150" s="174"/>
      <x:c r="ED150" s="174"/>
      <x:c r="EE150" s="174"/>
      <x:c r="EF150" s="174"/>
      <x:c r="EG150" s="174"/>
      <x:c r="EH150" s="177"/>
      <x:c r="EI150" s="174"/>
      <x:c r="EJ150" s="174"/>
      <x:c r="EK150" s="174"/>
      <x:c r="EL150" s="177"/>
      <x:c r="EM150" s="174"/>
      <x:c r="EN150" s="181" t="str">
        <x:f>IF(L150="","",(IF(N150&lt;&gt;"",1,0)+IF(O150&lt;&gt;"",1,0)+IF(AJ150&lt;&gt;"",1,0)+IF(AU150&lt;&gt;"",1,0)+IF(BE150&lt;&gt;"",1,0)+IF(CF150&lt;&gt;"",1,0)+IF(CJ150="Yes",1,0)+IF(CL150="Yes",1,0)+IF(DE150&lt;&gt;"Pending",1,0)+IF(F150&lt;&gt;"",1,0)+IF(DZ150&lt;&gt;"",1,0)+IF(EI150&lt;&gt;"",1,0))/12)</x:f>
      </x:c>
    </x:row>
    <x:row r="151">
      <x:c r="A151" s="175" t="str">
        <x:f>IF(L151="","","EV-"&amp;TEXT(ROW()-3,"0000"))</x:f>
      </x:c>
      <x:c r="B151" s="174"/>
      <x:c r="C151" s="175" t="str">
        <x:f>IF(L151="","",IF(OR(CM151="Retracted",CN151="Retracted",F151="Not used"),"🔴 Do not use for conclusion",IF(OR(R151="Official / Institutional",I151="Official / contextual"),"🔵 Official / contextual",IF(OR(I151="Definition",I151="Framework",I151="Paradigm shift"),"🟣 Conceptual key source",IF(AND(CJ151="Yes",CL151="Yes",OR(CG151="High",CG151="Moderate"),CH151&lt;&gt;"High",CH151&lt;&gt;"Critical",F151="Claim-ready"),"🟢 Claim-ready","🟡 Caution / context")))))</x:f>
      </x:c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6"/>
      <x:c r="P151" s="174"/>
      <x:c r="Q151" s="174"/>
      <x:c r="R151" s="174"/>
      <x:c r="S151" s="174"/>
      <x:c r="T151" s="174"/>
      <x:c r="U151" s="174"/>
      <x:c r="V151" s="174"/>
      <x:c r="W151" s="175" t="str">
        <x:f>IF(V151="","",LOWER(SUBSTITUTE(SUBSTITUTE(SUBSTITUTE(SUBSTITUTE(TRIM(V151),"https://doi.org/",""),"http://doi.org/",""),"https://dx.doi.org/",""),"doi:","")))</x:f>
      </x:c>
      <x:c r="X151" s="174"/>
      <x:c r="Y151" s="174"/>
      <x:c r="Z151" s="174"/>
      <x:c r="AA151" s="174"/>
      <x:c r="AB151" s="174"/>
      <x:c r="AC151" s="174"/>
      <x:c r="AD151" s="177"/>
      <x:c r="AE151" s="177"/>
      <x:c r="AF151" s="174"/>
      <x:c r="AG151" s="174"/>
      <x:c r="AH151" s="174"/>
      <x:c r="AI151" s="174"/>
      <x:c r="AJ151" s="174"/>
      <x:c r="AK151" s="175" t="str">
        <x:f>IF(AJ151="","",IF(OR(LOWER(AJ151)="brazil",LOWER(AJ151)="brasil"),"Yes","No"))</x:f>
      </x:c>
      <x:c r="AL151" s="174"/>
      <x:c r="AM151" s="174"/>
      <x:c r="AN151" s="174"/>
      <x:c r="AO151" s="178"/>
      <x:c r="AP151" s="174"/>
      <x:c r="AQ151" s="174"/>
      <x:c r="AR151" s="174"/>
      <x:c r="AS151" s="174"/>
      <x:c r="AT151" s="174"/>
      <x:c r="AU151" s="174"/>
      <x:c r="AV151" s="174"/>
      <x:c r="AW151" s="174"/>
      <x:c r="AX151" s="174"/>
      <x:c r="AY151" s="174"/>
      <x:c r="AZ151" s="174"/>
      <x:c r="BA151" s="174"/>
      <x:c r="BB151" s="174"/>
      <x:c r="BC151" s="174"/>
      <x:c r="BD151" s="174"/>
      <x:c r="BE151" s="174"/>
      <x:c r="BF151" s="174"/>
      <x:c r="BG151" s="174"/>
      <x:c r="BH151" s="174"/>
      <x:c r="BI151" s="174"/>
      <x:c r="BJ151" s="174"/>
      <x:c r="BK151" s="174"/>
      <x:c r="BL151" s="174"/>
      <x:c r="BM151" s="174"/>
      <x:c r="BN151" s="174"/>
      <x:c r="BO151" s="174"/>
      <x:c r="BP151" s="174"/>
      <x:c r="BQ151" s="174"/>
      <x:c r="BR151" s="174"/>
      <x:c r="BS151" s="174"/>
      <x:c r="BT151" s="174"/>
      <x:c r="BU151" s="174"/>
      <x:c r="BV151" s="174"/>
      <x:c r="BW151" s="174"/>
      <x:c r="BX151" s="174"/>
      <x:c r="BY151" s="174"/>
      <x:c r="BZ151" s="174"/>
      <x:c r="CA151" s="174"/>
      <x:c r="CB151" s="174"/>
      <x:c r="CC151" s="174"/>
      <x:c r="CD151" s="174"/>
      <x:c r="CE151" s="174"/>
      <x:c r="CF151" s="174"/>
      <x:c r="CG151" s="174"/>
      <x:c r="CH151" s="174"/>
      <x:c r="CI151" s="179"/>
      <x:c r="CJ151" s="174"/>
      <x:c r="CK151" s="174"/>
      <x:c r="CL151" s="174"/>
      <x:c r="CM151" s="174"/>
      <x:c r="CN151" s="174"/>
      <x:c r="CO151" s="177"/>
      <x:c r="CP151" s="174"/>
      <x:c r="CQ151" s="174"/>
      <x:c r="CR151" s="174"/>
      <x:c r="CS151" s="174"/>
      <x:c r="CT151" s="174"/>
      <x:c r="CU151" s="176"/>
      <x:c r="CV151" s="176"/>
      <x:c r="CW151" s="176"/>
      <x:c r="CX151" s="176"/>
      <x:c r="CY151" s="176"/>
      <x:c r="CZ151" s="176"/>
      <x:c r="DA151" s="176"/>
      <x:c r="DB151" s="175" t="str">
        <x:f>IF(L151="","",IF(COUNT(CU151:DA151)&lt;7,"",SUM(CU151:DA151)))</x:f>
      </x:c>
      <x:c r="DC151" s="180" t="str">
        <x:f>IF(DB151="","",ROUND(DB151/14*10,1))</x:f>
      </x:c>
      <x:c r="DD151" s="174"/>
      <x:c r="DE151" s="175" t="str">
        <x:f>IF(L151="","",IF(DC151="","Pending",IF(DD151="Yes","CONDITIONAL — safety override",IF(DC151&gt;=8,"HIGH",IF(DC151&gt;=5,"CONDITIONAL","LOW")))))</x:f>
      </x:c>
      <x:c r="DF151" s="174"/>
      <x:c r="DG151" s="174"/>
      <x:c r="DH151" s="174"/>
      <x:c r="DI151" s="174"/>
      <x:c r="DJ151" s="174"/>
      <x:c r="DK151" s="174"/>
      <x:c r="DL151" s="174"/>
      <x:c r="DM151" s="174"/>
      <x:c r="DN151" s="174"/>
      <x:c r="DO151" s="174"/>
      <x:c r="DP151" s="174"/>
      <x:c r="DQ151" s="174"/>
      <x:c r="DR151" s="174"/>
      <x:c r="DS151" s="174"/>
      <x:c r="DT151" s="174"/>
      <x:c r="DU151" s="174"/>
      <x:c r="DV151" s="174"/>
      <x:c r="DW151" s="174"/>
      <x:c r="DX151" s="174"/>
      <x:c r="DY151" s="174"/>
      <x:c r="DZ151" s="174"/>
      <x:c r="EA151" s="174"/>
      <x:c r="EB151" s="175" t="str">
        <x:f>IF(L151="","",IF(AND(F151="Claim-ready",CJ151="Yes",CL151="Yes",DZ151&lt;&gt;""),"Yes","No / Pending"))</x:f>
      </x:c>
      <x:c r="EC151" s="174"/>
      <x:c r="ED151" s="174"/>
      <x:c r="EE151" s="174"/>
      <x:c r="EF151" s="174"/>
      <x:c r="EG151" s="174"/>
      <x:c r="EH151" s="177"/>
      <x:c r="EI151" s="174"/>
      <x:c r="EJ151" s="174"/>
      <x:c r="EK151" s="174"/>
      <x:c r="EL151" s="177"/>
      <x:c r="EM151" s="174"/>
      <x:c r="EN151" s="181" t="str">
        <x:f>IF(L151="","",(IF(N151&lt;&gt;"",1,0)+IF(O151&lt;&gt;"",1,0)+IF(AJ151&lt;&gt;"",1,0)+IF(AU151&lt;&gt;"",1,0)+IF(BE151&lt;&gt;"",1,0)+IF(CF151&lt;&gt;"",1,0)+IF(CJ151="Yes",1,0)+IF(CL151="Yes",1,0)+IF(DE151&lt;&gt;"Pending",1,0)+IF(F151&lt;&gt;"",1,0)+IF(DZ151&lt;&gt;"",1,0)+IF(EI151&lt;&gt;"",1,0))/12)</x:f>
      </x:c>
    </x:row>
    <x:row r="152">
      <x:c r="A152" s="175" t="str">
        <x:f>IF(L152="","","EV-"&amp;TEXT(ROW()-3,"0000"))</x:f>
      </x:c>
      <x:c r="B152" s="174"/>
      <x:c r="C152" s="175" t="str">
        <x:f>IF(L152="","",IF(OR(CM152="Retracted",CN152="Retracted",F152="Not used"),"🔴 Do not use for conclusion",IF(OR(R152="Official / Institutional",I152="Official / contextual"),"🔵 Official / contextual",IF(OR(I152="Definition",I152="Framework",I152="Paradigm shift"),"🟣 Conceptual key source",IF(AND(CJ152="Yes",CL152="Yes",OR(CG152="High",CG152="Moderate"),CH152&lt;&gt;"High",CH152&lt;&gt;"Critical",F152="Claim-ready"),"🟢 Claim-ready","🟡 Caution / context")))))</x:f>
      </x:c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6"/>
      <x:c r="P152" s="174"/>
      <x:c r="Q152" s="174"/>
      <x:c r="R152" s="174"/>
      <x:c r="S152" s="174"/>
      <x:c r="T152" s="174"/>
      <x:c r="U152" s="174"/>
      <x:c r="V152" s="174"/>
      <x:c r="W152" s="175" t="str">
        <x:f>IF(V152="","",LOWER(SUBSTITUTE(SUBSTITUTE(SUBSTITUTE(SUBSTITUTE(TRIM(V152),"https://doi.org/",""),"http://doi.org/",""),"https://dx.doi.org/",""),"doi:","")))</x:f>
      </x:c>
      <x:c r="X152" s="174"/>
      <x:c r="Y152" s="174"/>
      <x:c r="Z152" s="174"/>
      <x:c r="AA152" s="174"/>
      <x:c r="AB152" s="174"/>
      <x:c r="AC152" s="174"/>
      <x:c r="AD152" s="177"/>
      <x:c r="AE152" s="177"/>
      <x:c r="AF152" s="174"/>
      <x:c r="AG152" s="174"/>
      <x:c r="AH152" s="174"/>
      <x:c r="AI152" s="174"/>
      <x:c r="AJ152" s="174"/>
      <x:c r="AK152" s="175" t="str">
        <x:f>IF(AJ152="","",IF(OR(LOWER(AJ152)="brazil",LOWER(AJ152)="brasil"),"Yes","No"))</x:f>
      </x:c>
      <x:c r="AL152" s="174"/>
      <x:c r="AM152" s="174"/>
      <x:c r="AN152" s="174"/>
      <x:c r="AO152" s="178"/>
      <x:c r="AP152" s="174"/>
      <x:c r="AQ152" s="174"/>
      <x:c r="AR152" s="174"/>
      <x:c r="AS152" s="174"/>
      <x:c r="AT152" s="174"/>
      <x:c r="AU152" s="174"/>
      <x:c r="AV152" s="174"/>
      <x:c r="AW152" s="174"/>
      <x:c r="AX152" s="174"/>
      <x:c r="AY152" s="174"/>
      <x:c r="AZ152" s="174"/>
      <x:c r="BA152" s="174"/>
      <x:c r="BB152" s="174"/>
      <x:c r="BC152" s="174"/>
      <x:c r="BD152" s="174"/>
      <x:c r="BE152" s="174"/>
      <x:c r="BF152" s="174"/>
      <x:c r="BG152" s="174"/>
      <x:c r="BH152" s="174"/>
      <x:c r="BI152" s="174"/>
      <x:c r="BJ152" s="174"/>
      <x:c r="BK152" s="174"/>
      <x:c r="BL152" s="174"/>
      <x:c r="BM152" s="174"/>
      <x:c r="BN152" s="174"/>
      <x:c r="BO152" s="174"/>
      <x:c r="BP152" s="174"/>
      <x:c r="BQ152" s="174"/>
      <x:c r="BR152" s="174"/>
      <x:c r="BS152" s="174"/>
      <x:c r="BT152" s="174"/>
      <x:c r="BU152" s="174"/>
      <x:c r="BV152" s="174"/>
      <x:c r="BW152" s="174"/>
      <x:c r="BX152" s="174"/>
      <x:c r="BY152" s="174"/>
      <x:c r="BZ152" s="174"/>
      <x:c r="CA152" s="174"/>
      <x:c r="CB152" s="174"/>
      <x:c r="CC152" s="174"/>
      <x:c r="CD152" s="174"/>
      <x:c r="CE152" s="174"/>
      <x:c r="CF152" s="174"/>
      <x:c r="CG152" s="174"/>
      <x:c r="CH152" s="174"/>
      <x:c r="CI152" s="179"/>
      <x:c r="CJ152" s="174"/>
      <x:c r="CK152" s="174"/>
      <x:c r="CL152" s="174"/>
      <x:c r="CM152" s="174"/>
      <x:c r="CN152" s="174"/>
      <x:c r="CO152" s="177"/>
      <x:c r="CP152" s="174"/>
      <x:c r="CQ152" s="174"/>
      <x:c r="CR152" s="174"/>
      <x:c r="CS152" s="174"/>
      <x:c r="CT152" s="174"/>
      <x:c r="CU152" s="176"/>
      <x:c r="CV152" s="176"/>
      <x:c r="CW152" s="176"/>
      <x:c r="CX152" s="176"/>
      <x:c r="CY152" s="176"/>
      <x:c r="CZ152" s="176"/>
      <x:c r="DA152" s="176"/>
      <x:c r="DB152" s="175" t="str">
        <x:f>IF(L152="","",IF(COUNT(CU152:DA152)&lt;7,"",SUM(CU152:DA152)))</x:f>
      </x:c>
      <x:c r="DC152" s="180" t="str">
        <x:f>IF(DB152="","",ROUND(DB152/14*10,1))</x:f>
      </x:c>
      <x:c r="DD152" s="174"/>
      <x:c r="DE152" s="175" t="str">
        <x:f>IF(L152="","",IF(DC152="","Pending",IF(DD152="Yes","CONDITIONAL — safety override",IF(DC152&gt;=8,"HIGH",IF(DC152&gt;=5,"CONDITIONAL","LOW")))))</x:f>
      </x:c>
      <x:c r="DF152" s="174"/>
      <x:c r="DG152" s="174"/>
      <x:c r="DH152" s="174"/>
      <x:c r="DI152" s="174"/>
      <x:c r="DJ152" s="174"/>
      <x:c r="DK152" s="174"/>
      <x:c r="DL152" s="174"/>
      <x:c r="DM152" s="174"/>
      <x:c r="DN152" s="174"/>
      <x:c r="DO152" s="174"/>
      <x:c r="DP152" s="174"/>
      <x:c r="DQ152" s="174"/>
      <x:c r="DR152" s="174"/>
      <x:c r="DS152" s="174"/>
      <x:c r="DT152" s="174"/>
      <x:c r="DU152" s="174"/>
      <x:c r="DV152" s="174"/>
      <x:c r="DW152" s="174"/>
      <x:c r="DX152" s="174"/>
      <x:c r="DY152" s="174"/>
      <x:c r="DZ152" s="174"/>
      <x:c r="EA152" s="174"/>
      <x:c r="EB152" s="175" t="str">
        <x:f>IF(L152="","",IF(AND(F152="Claim-ready",CJ152="Yes",CL152="Yes",DZ152&lt;&gt;""),"Yes","No / Pending"))</x:f>
      </x:c>
      <x:c r="EC152" s="174"/>
      <x:c r="ED152" s="174"/>
      <x:c r="EE152" s="174"/>
      <x:c r="EF152" s="174"/>
      <x:c r="EG152" s="174"/>
      <x:c r="EH152" s="177"/>
      <x:c r="EI152" s="174"/>
      <x:c r="EJ152" s="174"/>
      <x:c r="EK152" s="174"/>
      <x:c r="EL152" s="177"/>
      <x:c r="EM152" s="174"/>
      <x:c r="EN152" s="181" t="str">
        <x:f>IF(L152="","",(IF(N152&lt;&gt;"",1,0)+IF(O152&lt;&gt;"",1,0)+IF(AJ152&lt;&gt;"",1,0)+IF(AU152&lt;&gt;"",1,0)+IF(BE152&lt;&gt;"",1,0)+IF(CF152&lt;&gt;"",1,0)+IF(CJ152="Yes",1,0)+IF(CL152="Yes",1,0)+IF(DE152&lt;&gt;"Pending",1,0)+IF(F152&lt;&gt;"",1,0)+IF(DZ152&lt;&gt;"",1,0)+IF(EI152&lt;&gt;"",1,0))/12)</x:f>
      </x:c>
    </x:row>
    <x:row r="153">
      <x:c r="A153" s="175" t="str">
        <x:f>IF(L153="","","EV-"&amp;TEXT(ROW()-3,"0000"))</x:f>
      </x:c>
      <x:c r="B153" s="174"/>
      <x:c r="C153" s="175" t="str">
        <x:f>IF(L153="","",IF(OR(CM153="Retracted",CN153="Retracted",F153="Not used"),"🔴 Do not use for conclusion",IF(OR(R153="Official / Institutional",I153="Official / contextual"),"🔵 Official / contextual",IF(OR(I153="Definition",I153="Framework",I153="Paradigm shift"),"🟣 Conceptual key source",IF(AND(CJ153="Yes",CL153="Yes",OR(CG153="High",CG153="Moderate"),CH153&lt;&gt;"High",CH153&lt;&gt;"Critical",F153="Claim-ready"),"🟢 Claim-ready","🟡 Caution / context")))))</x:f>
      </x:c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6"/>
      <x:c r="P153" s="174"/>
      <x:c r="Q153" s="174"/>
      <x:c r="R153" s="174"/>
      <x:c r="S153" s="174"/>
      <x:c r="T153" s="174"/>
      <x:c r="U153" s="174"/>
      <x:c r="V153" s="174"/>
      <x:c r="W153" s="175" t="str">
        <x:f>IF(V153="","",LOWER(SUBSTITUTE(SUBSTITUTE(SUBSTITUTE(SUBSTITUTE(TRIM(V153),"https://doi.org/",""),"http://doi.org/",""),"https://dx.doi.org/",""),"doi:","")))</x:f>
      </x:c>
      <x:c r="X153" s="174"/>
      <x:c r="Y153" s="174"/>
      <x:c r="Z153" s="174"/>
      <x:c r="AA153" s="174"/>
      <x:c r="AB153" s="174"/>
      <x:c r="AC153" s="174"/>
      <x:c r="AD153" s="177"/>
      <x:c r="AE153" s="177"/>
      <x:c r="AF153" s="174"/>
      <x:c r="AG153" s="174"/>
      <x:c r="AH153" s="174"/>
      <x:c r="AI153" s="174"/>
      <x:c r="AJ153" s="174"/>
      <x:c r="AK153" s="175" t="str">
        <x:f>IF(AJ153="","",IF(OR(LOWER(AJ153)="brazil",LOWER(AJ153)="brasil"),"Yes","No"))</x:f>
      </x:c>
      <x:c r="AL153" s="174"/>
      <x:c r="AM153" s="174"/>
      <x:c r="AN153" s="174"/>
      <x:c r="AO153" s="178"/>
      <x:c r="AP153" s="174"/>
      <x:c r="AQ153" s="174"/>
      <x:c r="AR153" s="174"/>
      <x:c r="AS153" s="174"/>
      <x:c r="AT153" s="174"/>
      <x:c r="AU153" s="174"/>
      <x:c r="AV153" s="174"/>
      <x:c r="AW153" s="174"/>
      <x:c r="AX153" s="174"/>
      <x:c r="AY153" s="174"/>
      <x:c r="AZ153" s="174"/>
      <x:c r="BA153" s="174"/>
      <x:c r="BB153" s="174"/>
      <x:c r="BC153" s="174"/>
      <x:c r="BD153" s="174"/>
      <x:c r="BE153" s="174"/>
      <x:c r="BF153" s="174"/>
      <x:c r="BG153" s="174"/>
      <x:c r="BH153" s="174"/>
      <x:c r="BI153" s="174"/>
      <x:c r="BJ153" s="174"/>
      <x:c r="BK153" s="174"/>
      <x:c r="BL153" s="174"/>
      <x:c r="BM153" s="174"/>
      <x:c r="BN153" s="174"/>
      <x:c r="BO153" s="174"/>
      <x:c r="BP153" s="174"/>
      <x:c r="BQ153" s="174"/>
      <x:c r="BR153" s="174"/>
      <x:c r="BS153" s="174"/>
      <x:c r="BT153" s="174"/>
      <x:c r="BU153" s="174"/>
      <x:c r="BV153" s="174"/>
      <x:c r="BW153" s="174"/>
      <x:c r="BX153" s="174"/>
      <x:c r="BY153" s="174"/>
      <x:c r="BZ153" s="174"/>
      <x:c r="CA153" s="174"/>
      <x:c r="CB153" s="174"/>
      <x:c r="CC153" s="174"/>
      <x:c r="CD153" s="174"/>
      <x:c r="CE153" s="174"/>
      <x:c r="CF153" s="174"/>
      <x:c r="CG153" s="174"/>
      <x:c r="CH153" s="174"/>
      <x:c r="CI153" s="179"/>
      <x:c r="CJ153" s="174"/>
      <x:c r="CK153" s="174"/>
      <x:c r="CL153" s="174"/>
      <x:c r="CM153" s="174"/>
      <x:c r="CN153" s="174"/>
      <x:c r="CO153" s="177"/>
      <x:c r="CP153" s="174"/>
      <x:c r="CQ153" s="174"/>
      <x:c r="CR153" s="174"/>
      <x:c r="CS153" s="174"/>
      <x:c r="CT153" s="174"/>
      <x:c r="CU153" s="176"/>
      <x:c r="CV153" s="176"/>
      <x:c r="CW153" s="176"/>
      <x:c r="CX153" s="176"/>
      <x:c r="CY153" s="176"/>
      <x:c r="CZ153" s="176"/>
      <x:c r="DA153" s="176"/>
      <x:c r="DB153" s="175" t="str">
        <x:f>IF(L153="","",IF(COUNT(CU153:DA153)&lt;7,"",SUM(CU153:DA153)))</x:f>
      </x:c>
      <x:c r="DC153" s="180" t="str">
        <x:f>IF(DB153="","",ROUND(DB153/14*10,1))</x:f>
      </x:c>
      <x:c r="DD153" s="174"/>
      <x:c r="DE153" s="175" t="str">
        <x:f>IF(L153="","",IF(DC153="","Pending",IF(DD153="Yes","CONDITIONAL — safety override",IF(DC153&gt;=8,"HIGH",IF(DC153&gt;=5,"CONDITIONAL","LOW")))))</x:f>
      </x:c>
      <x:c r="DF153" s="174"/>
      <x:c r="DG153" s="174"/>
      <x:c r="DH153" s="174"/>
      <x:c r="DI153" s="174"/>
      <x:c r="DJ153" s="174"/>
      <x:c r="DK153" s="174"/>
      <x:c r="DL153" s="174"/>
      <x:c r="DM153" s="174"/>
      <x:c r="DN153" s="174"/>
      <x:c r="DO153" s="174"/>
      <x:c r="DP153" s="174"/>
      <x:c r="DQ153" s="174"/>
      <x:c r="DR153" s="174"/>
      <x:c r="DS153" s="174"/>
      <x:c r="DT153" s="174"/>
      <x:c r="DU153" s="174"/>
      <x:c r="DV153" s="174"/>
      <x:c r="DW153" s="174"/>
      <x:c r="DX153" s="174"/>
      <x:c r="DY153" s="174"/>
      <x:c r="DZ153" s="174"/>
      <x:c r="EA153" s="174"/>
      <x:c r="EB153" s="175" t="str">
        <x:f>IF(L153="","",IF(AND(F153="Claim-ready",CJ153="Yes",CL153="Yes",DZ153&lt;&gt;""),"Yes","No / Pending"))</x:f>
      </x:c>
      <x:c r="EC153" s="174"/>
      <x:c r="ED153" s="174"/>
      <x:c r="EE153" s="174"/>
      <x:c r="EF153" s="174"/>
      <x:c r="EG153" s="174"/>
      <x:c r="EH153" s="177"/>
      <x:c r="EI153" s="174"/>
      <x:c r="EJ153" s="174"/>
      <x:c r="EK153" s="174"/>
      <x:c r="EL153" s="177"/>
      <x:c r="EM153" s="174"/>
      <x:c r="EN153" s="181" t="str">
        <x:f>IF(L153="","",(IF(N153&lt;&gt;"",1,0)+IF(O153&lt;&gt;"",1,0)+IF(AJ153&lt;&gt;"",1,0)+IF(AU153&lt;&gt;"",1,0)+IF(BE153&lt;&gt;"",1,0)+IF(CF153&lt;&gt;"",1,0)+IF(CJ153="Yes",1,0)+IF(CL153="Yes",1,0)+IF(DE153&lt;&gt;"Pending",1,0)+IF(F153&lt;&gt;"",1,0)+IF(DZ153&lt;&gt;"",1,0)+IF(EI153&lt;&gt;"",1,0))/12)</x:f>
      </x:c>
    </x:row>
    <x:row r="154">
      <x:c r="A154" s="175" t="str">
        <x:f>IF(L154="","","EV-"&amp;TEXT(ROW()-3,"0000"))</x:f>
      </x:c>
      <x:c r="B154" s="174"/>
      <x:c r="C154" s="175" t="str">
        <x:f>IF(L154="","",IF(OR(CM154="Retracted",CN154="Retracted",F154="Not used"),"🔴 Do not use for conclusion",IF(OR(R154="Official / Institutional",I154="Official / contextual"),"🔵 Official / contextual",IF(OR(I154="Definition",I154="Framework",I154="Paradigm shift"),"🟣 Conceptual key source",IF(AND(CJ154="Yes",CL154="Yes",OR(CG154="High",CG154="Moderate"),CH154&lt;&gt;"High",CH154&lt;&gt;"Critical",F154="Claim-ready"),"🟢 Claim-ready","🟡 Caution / context")))))</x:f>
      </x:c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6"/>
      <x:c r="P154" s="174"/>
      <x:c r="Q154" s="174"/>
      <x:c r="R154" s="174"/>
      <x:c r="S154" s="174"/>
      <x:c r="T154" s="174"/>
      <x:c r="U154" s="174"/>
      <x:c r="V154" s="174"/>
      <x:c r="W154" s="175" t="str">
        <x:f>IF(V154="","",LOWER(SUBSTITUTE(SUBSTITUTE(SUBSTITUTE(SUBSTITUTE(TRIM(V154),"https://doi.org/",""),"http://doi.org/",""),"https://dx.doi.org/",""),"doi:","")))</x:f>
      </x:c>
      <x:c r="X154" s="174"/>
      <x:c r="Y154" s="174"/>
      <x:c r="Z154" s="174"/>
      <x:c r="AA154" s="174"/>
      <x:c r="AB154" s="174"/>
      <x:c r="AC154" s="174"/>
      <x:c r="AD154" s="177"/>
      <x:c r="AE154" s="177"/>
      <x:c r="AF154" s="174"/>
      <x:c r="AG154" s="174"/>
      <x:c r="AH154" s="174"/>
      <x:c r="AI154" s="174"/>
      <x:c r="AJ154" s="174"/>
      <x:c r="AK154" s="175" t="str">
        <x:f>IF(AJ154="","",IF(OR(LOWER(AJ154)="brazil",LOWER(AJ154)="brasil"),"Yes","No"))</x:f>
      </x:c>
      <x:c r="AL154" s="174"/>
      <x:c r="AM154" s="174"/>
      <x:c r="AN154" s="174"/>
      <x:c r="AO154" s="178"/>
      <x:c r="AP154" s="174"/>
      <x:c r="AQ154" s="174"/>
      <x:c r="AR154" s="174"/>
      <x:c r="AS154" s="174"/>
      <x:c r="AT154" s="174"/>
      <x:c r="AU154" s="174"/>
      <x:c r="AV154" s="174"/>
      <x:c r="AW154" s="174"/>
      <x:c r="AX154" s="174"/>
      <x:c r="AY154" s="174"/>
      <x:c r="AZ154" s="174"/>
      <x:c r="BA154" s="174"/>
      <x:c r="BB154" s="174"/>
      <x:c r="BC154" s="174"/>
      <x:c r="BD154" s="174"/>
      <x:c r="BE154" s="174"/>
      <x:c r="BF154" s="174"/>
      <x:c r="BG154" s="174"/>
      <x:c r="BH154" s="174"/>
      <x:c r="BI154" s="174"/>
      <x:c r="BJ154" s="174"/>
      <x:c r="BK154" s="174"/>
      <x:c r="BL154" s="174"/>
      <x:c r="BM154" s="174"/>
      <x:c r="BN154" s="174"/>
      <x:c r="BO154" s="174"/>
      <x:c r="BP154" s="174"/>
      <x:c r="BQ154" s="174"/>
      <x:c r="BR154" s="174"/>
      <x:c r="BS154" s="174"/>
      <x:c r="BT154" s="174"/>
      <x:c r="BU154" s="174"/>
      <x:c r="BV154" s="174"/>
      <x:c r="BW154" s="174"/>
      <x:c r="BX154" s="174"/>
      <x:c r="BY154" s="174"/>
      <x:c r="BZ154" s="174"/>
      <x:c r="CA154" s="174"/>
      <x:c r="CB154" s="174"/>
      <x:c r="CC154" s="174"/>
      <x:c r="CD154" s="174"/>
      <x:c r="CE154" s="174"/>
      <x:c r="CF154" s="174"/>
      <x:c r="CG154" s="174"/>
      <x:c r="CH154" s="174"/>
      <x:c r="CI154" s="179"/>
      <x:c r="CJ154" s="174"/>
      <x:c r="CK154" s="174"/>
      <x:c r="CL154" s="174"/>
      <x:c r="CM154" s="174"/>
      <x:c r="CN154" s="174"/>
      <x:c r="CO154" s="177"/>
      <x:c r="CP154" s="174"/>
      <x:c r="CQ154" s="174"/>
      <x:c r="CR154" s="174"/>
      <x:c r="CS154" s="174"/>
      <x:c r="CT154" s="174"/>
      <x:c r="CU154" s="176"/>
      <x:c r="CV154" s="176"/>
      <x:c r="CW154" s="176"/>
      <x:c r="CX154" s="176"/>
      <x:c r="CY154" s="176"/>
      <x:c r="CZ154" s="176"/>
      <x:c r="DA154" s="176"/>
      <x:c r="DB154" s="175" t="str">
        <x:f>IF(L154="","",IF(COUNT(CU154:DA154)&lt;7,"",SUM(CU154:DA154)))</x:f>
      </x:c>
      <x:c r="DC154" s="180" t="str">
        <x:f>IF(DB154="","",ROUND(DB154/14*10,1))</x:f>
      </x:c>
      <x:c r="DD154" s="174"/>
      <x:c r="DE154" s="175" t="str">
        <x:f>IF(L154="","",IF(DC154="","Pending",IF(DD154="Yes","CONDITIONAL — safety override",IF(DC154&gt;=8,"HIGH",IF(DC154&gt;=5,"CONDITIONAL","LOW")))))</x:f>
      </x:c>
      <x:c r="DF154" s="174"/>
      <x:c r="DG154" s="174"/>
      <x:c r="DH154" s="174"/>
      <x:c r="DI154" s="174"/>
      <x:c r="DJ154" s="174"/>
      <x:c r="DK154" s="174"/>
      <x:c r="DL154" s="174"/>
      <x:c r="DM154" s="174"/>
      <x:c r="DN154" s="174"/>
      <x:c r="DO154" s="174"/>
      <x:c r="DP154" s="174"/>
      <x:c r="DQ154" s="174"/>
      <x:c r="DR154" s="174"/>
      <x:c r="DS154" s="174"/>
      <x:c r="DT154" s="174"/>
      <x:c r="DU154" s="174"/>
      <x:c r="DV154" s="174"/>
      <x:c r="DW154" s="174"/>
      <x:c r="DX154" s="174"/>
      <x:c r="DY154" s="174"/>
      <x:c r="DZ154" s="174"/>
      <x:c r="EA154" s="174"/>
      <x:c r="EB154" s="175" t="str">
        <x:f>IF(L154="","",IF(AND(F154="Claim-ready",CJ154="Yes",CL154="Yes",DZ154&lt;&gt;""),"Yes","No / Pending"))</x:f>
      </x:c>
      <x:c r="EC154" s="174"/>
      <x:c r="ED154" s="174"/>
      <x:c r="EE154" s="174"/>
      <x:c r="EF154" s="174"/>
      <x:c r="EG154" s="174"/>
      <x:c r="EH154" s="177"/>
      <x:c r="EI154" s="174"/>
      <x:c r="EJ154" s="174"/>
      <x:c r="EK154" s="174"/>
      <x:c r="EL154" s="177"/>
      <x:c r="EM154" s="174"/>
      <x:c r="EN154" s="181" t="str">
        <x:f>IF(L154="","",(IF(N154&lt;&gt;"",1,0)+IF(O154&lt;&gt;"",1,0)+IF(AJ154&lt;&gt;"",1,0)+IF(AU154&lt;&gt;"",1,0)+IF(BE154&lt;&gt;"",1,0)+IF(CF154&lt;&gt;"",1,0)+IF(CJ154="Yes",1,0)+IF(CL154="Yes",1,0)+IF(DE154&lt;&gt;"Pending",1,0)+IF(F154&lt;&gt;"",1,0)+IF(DZ154&lt;&gt;"",1,0)+IF(EI154&lt;&gt;"",1,0))/12)</x:f>
      </x:c>
    </x:row>
    <x:row r="155">
      <x:c r="A155" s="175" t="str">
        <x:f>IF(L155="","","EV-"&amp;TEXT(ROW()-3,"0000"))</x:f>
      </x:c>
      <x:c r="B155" s="174"/>
      <x:c r="C155" s="175" t="str">
        <x:f>IF(L155="","",IF(OR(CM155="Retracted",CN155="Retracted",F155="Not used"),"🔴 Do not use for conclusion",IF(OR(R155="Official / Institutional",I155="Official / contextual"),"🔵 Official / contextual",IF(OR(I155="Definition",I155="Framework",I155="Paradigm shift"),"🟣 Conceptual key source",IF(AND(CJ155="Yes",CL155="Yes",OR(CG155="High",CG155="Moderate"),CH155&lt;&gt;"High",CH155&lt;&gt;"Critical",F155="Claim-ready"),"🟢 Claim-ready","🟡 Caution / context")))))</x:f>
      </x:c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6"/>
      <x:c r="P155" s="174"/>
      <x:c r="Q155" s="174"/>
      <x:c r="R155" s="174"/>
      <x:c r="S155" s="174"/>
      <x:c r="T155" s="174"/>
      <x:c r="U155" s="174"/>
      <x:c r="V155" s="174"/>
      <x:c r="W155" s="175" t="str">
        <x:f>IF(V155="","",LOWER(SUBSTITUTE(SUBSTITUTE(SUBSTITUTE(SUBSTITUTE(TRIM(V155),"https://doi.org/",""),"http://doi.org/",""),"https://dx.doi.org/",""),"doi:","")))</x:f>
      </x:c>
      <x:c r="X155" s="174"/>
      <x:c r="Y155" s="174"/>
      <x:c r="Z155" s="174"/>
      <x:c r="AA155" s="174"/>
      <x:c r="AB155" s="174"/>
      <x:c r="AC155" s="174"/>
      <x:c r="AD155" s="177"/>
      <x:c r="AE155" s="177"/>
      <x:c r="AF155" s="174"/>
      <x:c r="AG155" s="174"/>
      <x:c r="AH155" s="174"/>
      <x:c r="AI155" s="174"/>
      <x:c r="AJ155" s="174"/>
      <x:c r="AK155" s="175" t="str">
        <x:f>IF(AJ155="","",IF(OR(LOWER(AJ155)="brazil",LOWER(AJ155)="brasil"),"Yes","No"))</x:f>
      </x:c>
      <x:c r="AL155" s="174"/>
      <x:c r="AM155" s="174"/>
      <x:c r="AN155" s="174"/>
      <x:c r="AO155" s="178"/>
      <x:c r="AP155" s="174"/>
      <x:c r="AQ155" s="174"/>
      <x:c r="AR155" s="174"/>
      <x:c r="AS155" s="174"/>
      <x:c r="AT155" s="174"/>
      <x:c r="AU155" s="174"/>
      <x:c r="AV155" s="174"/>
      <x:c r="AW155" s="174"/>
      <x:c r="AX155" s="174"/>
      <x:c r="AY155" s="174"/>
      <x:c r="AZ155" s="174"/>
      <x:c r="BA155" s="174"/>
      <x:c r="BB155" s="174"/>
      <x:c r="BC155" s="174"/>
      <x:c r="BD155" s="174"/>
      <x:c r="BE155" s="174"/>
      <x:c r="BF155" s="174"/>
      <x:c r="BG155" s="174"/>
      <x:c r="BH155" s="174"/>
      <x:c r="BI155" s="174"/>
      <x:c r="BJ155" s="174"/>
      <x:c r="BK155" s="174"/>
      <x:c r="BL155" s="174"/>
      <x:c r="BM155" s="174"/>
      <x:c r="BN155" s="174"/>
      <x:c r="BO155" s="174"/>
      <x:c r="BP155" s="174"/>
      <x:c r="BQ155" s="174"/>
      <x:c r="BR155" s="174"/>
      <x:c r="BS155" s="174"/>
      <x:c r="BT155" s="174"/>
      <x:c r="BU155" s="174"/>
      <x:c r="BV155" s="174"/>
      <x:c r="BW155" s="174"/>
      <x:c r="BX155" s="174"/>
      <x:c r="BY155" s="174"/>
      <x:c r="BZ155" s="174"/>
      <x:c r="CA155" s="174"/>
      <x:c r="CB155" s="174"/>
      <x:c r="CC155" s="174"/>
      <x:c r="CD155" s="174"/>
      <x:c r="CE155" s="174"/>
      <x:c r="CF155" s="174"/>
      <x:c r="CG155" s="174"/>
      <x:c r="CH155" s="174"/>
      <x:c r="CI155" s="179"/>
      <x:c r="CJ155" s="174"/>
      <x:c r="CK155" s="174"/>
      <x:c r="CL155" s="174"/>
      <x:c r="CM155" s="174"/>
      <x:c r="CN155" s="174"/>
      <x:c r="CO155" s="177"/>
      <x:c r="CP155" s="174"/>
      <x:c r="CQ155" s="174"/>
      <x:c r="CR155" s="174"/>
      <x:c r="CS155" s="174"/>
      <x:c r="CT155" s="174"/>
      <x:c r="CU155" s="176"/>
      <x:c r="CV155" s="176"/>
      <x:c r="CW155" s="176"/>
      <x:c r="CX155" s="176"/>
      <x:c r="CY155" s="176"/>
      <x:c r="CZ155" s="176"/>
      <x:c r="DA155" s="176"/>
      <x:c r="DB155" s="175" t="str">
        <x:f>IF(L155="","",IF(COUNT(CU155:DA155)&lt;7,"",SUM(CU155:DA155)))</x:f>
      </x:c>
      <x:c r="DC155" s="180" t="str">
        <x:f>IF(DB155="","",ROUND(DB155/14*10,1))</x:f>
      </x:c>
      <x:c r="DD155" s="174"/>
      <x:c r="DE155" s="175" t="str">
        <x:f>IF(L155="","",IF(DC155="","Pending",IF(DD155="Yes","CONDITIONAL — safety override",IF(DC155&gt;=8,"HIGH",IF(DC155&gt;=5,"CONDITIONAL","LOW")))))</x:f>
      </x:c>
      <x:c r="DF155" s="174"/>
      <x:c r="DG155" s="174"/>
      <x:c r="DH155" s="174"/>
      <x:c r="DI155" s="174"/>
      <x:c r="DJ155" s="174"/>
      <x:c r="DK155" s="174"/>
      <x:c r="DL155" s="174"/>
      <x:c r="DM155" s="174"/>
      <x:c r="DN155" s="174"/>
      <x:c r="DO155" s="174"/>
      <x:c r="DP155" s="174"/>
      <x:c r="DQ155" s="174"/>
      <x:c r="DR155" s="174"/>
      <x:c r="DS155" s="174"/>
      <x:c r="DT155" s="174"/>
      <x:c r="DU155" s="174"/>
      <x:c r="DV155" s="174"/>
      <x:c r="DW155" s="174"/>
      <x:c r="DX155" s="174"/>
      <x:c r="DY155" s="174"/>
      <x:c r="DZ155" s="174"/>
      <x:c r="EA155" s="174"/>
      <x:c r="EB155" s="175" t="str">
        <x:f>IF(L155="","",IF(AND(F155="Claim-ready",CJ155="Yes",CL155="Yes",DZ155&lt;&gt;""),"Yes","No / Pending"))</x:f>
      </x:c>
      <x:c r="EC155" s="174"/>
      <x:c r="ED155" s="174"/>
      <x:c r="EE155" s="174"/>
      <x:c r="EF155" s="174"/>
      <x:c r="EG155" s="174"/>
      <x:c r="EH155" s="177"/>
      <x:c r="EI155" s="174"/>
      <x:c r="EJ155" s="174"/>
      <x:c r="EK155" s="174"/>
      <x:c r="EL155" s="177"/>
      <x:c r="EM155" s="174"/>
      <x:c r="EN155" s="181" t="str">
        <x:f>IF(L155="","",(IF(N155&lt;&gt;"",1,0)+IF(O155&lt;&gt;"",1,0)+IF(AJ155&lt;&gt;"",1,0)+IF(AU155&lt;&gt;"",1,0)+IF(BE155&lt;&gt;"",1,0)+IF(CF155&lt;&gt;"",1,0)+IF(CJ155="Yes",1,0)+IF(CL155="Yes",1,0)+IF(DE155&lt;&gt;"Pending",1,0)+IF(F155&lt;&gt;"",1,0)+IF(DZ155&lt;&gt;"",1,0)+IF(EI155&lt;&gt;"",1,0))/12)</x:f>
      </x:c>
    </x:row>
    <x:row r="156">
      <x:c r="A156" s="175" t="str">
        <x:f>IF(L156="","","EV-"&amp;TEXT(ROW()-3,"0000"))</x:f>
      </x:c>
      <x:c r="B156" s="174"/>
      <x:c r="C156" s="175" t="str">
        <x:f>IF(L156="","",IF(OR(CM156="Retracted",CN156="Retracted",F156="Not used"),"🔴 Do not use for conclusion",IF(OR(R156="Official / Institutional",I156="Official / contextual"),"🔵 Official / contextual",IF(OR(I156="Definition",I156="Framework",I156="Paradigm shift"),"🟣 Conceptual key source",IF(AND(CJ156="Yes",CL156="Yes",OR(CG156="High",CG156="Moderate"),CH156&lt;&gt;"High",CH156&lt;&gt;"Critical",F156="Claim-ready"),"🟢 Claim-ready","🟡 Caution / context")))))</x:f>
      </x:c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6"/>
      <x:c r="P156" s="174"/>
      <x:c r="Q156" s="174"/>
      <x:c r="R156" s="174"/>
      <x:c r="S156" s="174"/>
      <x:c r="T156" s="174"/>
      <x:c r="U156" s="174"/>
      <x:c r="V156" s="174"/>
      <x:c r="W156" s="175" t="str">
        <x:f>IF(V156="","",LOWER(SUBSTITUTE(SUBSTITUTE(SUBSTITUTE(SUBSTITUTE(TRIM(V156),"https://doi.org/",""),"http://doi.org/",""),"https://dx.doi.org/",""),"doi:","")))</x:f>
      </x:c>
      <x:c r="X156" s="174"/>
      <x:c r="Y156" s="174"/>
      <x:c r="Z156" s="174"/>
      <x:c r="AA156" s="174"/>
      <x:c r="AB156" s="174"/>
      <x:c r="AC156" s="174"/>
      <x:c r="AD156" s="177"/>
      <x:c r="AE156" s="177"/>
      <x:c r="AF156" s="174"/>
      <x:c r="AG156" s="174"/>
      <x:c r="AH156" s="174"/>
      <x:c r="AI156" s="174"/>
      <x:c r="AJ156" s="174"/>
      <x:c r="AK156" s="175" t="str">
        <x:f>IF(AJ156="","",IF(OR(LOWER(AJ156)="brazil",LOWER(AJ156)="brasil"),"Yes","No"))</x:f>
      </x:c>
      <x:c r="AL156" s="174"/>
      <x:c r="AM156" s="174"/>
      <x:c r="AN156" s="174"/>
      <x:c r="AO156" s="178"/>
      <x:c r="AP156" s="174"/>
      <x:c r="AQ156" s="174"/>
      <x:c r="AR156" s="174"/>
      <x:c r="AS156" s="174"/>
      <x:c r="AT156" s="174"/>
      <x:c r="AU156" s="174"/>
      <x:c r="AV156" s="174"/>
      <x:c r="AW156" s="174"/>
      <x:c r="AX156" s="174"/>
      <x:c r="AY156" s="174"/>
      <x:c r="AZ156" s="174"/>
      <x:c r="BA156" s="174"/>
      <x:c r="BB156" s="174"/>
      <x:c r="BC156" s="174"/>
      <x:c r="BD156" s="174"/>
      <x:c r="BE156" s="174"/>
      <x:c r="BF156" s="174"/>
      <x:c r="BG156" s="174"/>
      <x:c r="BH156" s="174"/>
      <x:c r="BI156" s="174"/>
      <x:c r="BJ156" s="174"/>
      <x:c r="BK156" s="174"/>
      <x:c r="BL156" s="174"/>
      <x:c r="BM156" s="174"/>
      <x:c r="BN156" s="174"/>
      <x:c r="BO156" s="174"/>
      <x:c r="BP156" s="174"/>
      <x:c r="BQ156" s="174"/>
      <x:c r="BR156" s="174"/>
      <x:c r="BS156" s="174"/>
      <x:c r="BT156" s="174"/>
      <x:c r="BU156" s="174"/>
      <x:c r="BV156" s="174"/>
      <x:c r="BW156" s="174"/>
      <x:c r="BX156" s="174"/>
      <x:c r="BY156" s="174"/>
      <x:c r="BZ156" s="174"/>
      <x:c r="CA156" s="174"/>
      <x:c r="CB156" s="174"/>
      <x:c r="CC156" s="174"/>
      <x:c r="CD156" s="174"/>
      <x:c r="CE156" s="174"/>
      <x:c r="CF156" s="174"/>
      <x:c r="CG156" s="174"/>
      <x:c r="CH156" s="174"/>
      <x:c r="CI156" s="179"/>
      <x:c r="CJ156" s="174"/>
      <x:c r="CK156" s="174"/>
      <x:c r="CL156" s="174"/>
      <x:c r="CM156" s="174"/>
      <x:c r="CN156" s="174"/>
      <x:c r="CO156" s="177"/>
      <x:c r="CP156" s="174"/>
      <x:c r="CQ156" s="174"/>
      <x:c r="CR156" s="174"/>
      <x:c r="CS156" s="174"/>
      <x:c r="CT156" s="174"/>
      <x:c r="CU156" s="176"/>
      <x:c r="CV156" s="176"/>
      <x:c r="CW156" s="176"/>
      <x:c r="CX156" s="176"/>
      <x:c r="CY156" s="176"/>
      <x:c r="CZ156" s="176"/>
      <x:c r="DA156" s="176"/>
      <x:c r="DB156" s="175" t="str">
        <x:f>IF(L156="","",IF(COUNT(CU156:DA156)&lt;7,"",SUM(CU156:DA156)))</x:f>
      </x:c>
      <x:c r="DC156" s="180" t="str">
        <x:f>IF(DB156="","",ROUND(DB156/14*10,1))</x:f>
      </x:c>
      <x:c r="DD156" s="174"/>
      <x:c r="DE156" s="175" t="str">
        <x:f>IF(L156="","",IF(DC156="","Pending",IF(DD156="Yes","CONDITIONAL — safety override",IF(DC156&gt;=8,"HIGH",IF(DC156&gt;=5,"CONDITIONAL","LOW")))))</x:f>
      </x:c>
      <x:c r="DF156" s="174"/>
      <x:c r="DG156" s="174"/>
      <x:c r="DH156" s="174"/>
      <x:c r="DI156" s="174"/>
      <x:c r="DJ156" s="174"/>
      <x:c r="DK156" s="174"/>
      <x:c r="DL156" s="174"/>
      <x:c r="DM156" s="174"/>
      <x:c r="DN156" s="174"/>
      <x:c r="DO156" s="174"/>
      <x:c r="DP156" s="174"/>
      <x:c r="DQ156" s="174"/>
      <x:c r="DR156" s="174"/>
      <x:c r="DS156" s="174"/>
      <x:c r="DT156" s="174"/>
      <x:c r="DU156" s="174"/>
      <x:c r="DV156" s="174"/>
      <x:c r="DW156" s="174"/>
      <x:c r="DX156" s="174"/>
      <x:c r="DY156" s="174"/>
      <x:c r="DZ156" s="174"/>
      <x:c r="EA156" s="174"/>
      <x:c r="EB156" s="175" t="str">
        <x:f>IF(L156="","",IF(AND(F156="Claim-ready",CJ156="Yes",CL156="Yes",DZ156&lt;&gt;""),"Yes","No / Pending"))</x:f>
      </x:c>
      <x:c r="EC156" s="174"/>
      <x:c r="ED156" s="174"/>
      <x:c r="EE156" s="174"/>
      <x:c r="EF156" s="174"/>
      <x:c r="EG156" s="174"/>
      <x:c r="EH156" s="177"/>
      <x:c r="EI156" s="174"/>
      <x:c r="EJ156" s="174"/>
      <x:c r="EK156" s="174"/>
      <x:c r="EL156" s="177"/>
      <x:c r="EM156" s="174"/>
      <x:c r="EN156" s="181" t="str">
        <x:f>IF(L156="","",(IF(N156&lt;&gt;"",1,0)+IF(O156&lt;&gt;"",1,0)+IF(AJ156&lt;&gt;"",1,0)+IF(AU156&lt;&gt;"",1,0)+IF(BE156&lt;&gt;"",1,0)+IF(CF156&lt;&gt;"",1,0)+IF(CJ156="Yes",1,0)+IF(CL156="Yes",1,0)+IF(DE156&lt;&gt;"Pending",1,0)+IF(F156&lt;&gt;"",1,0)+IF(DZ156&lt;&gt;"",1,0)+IF(EI156&lt;&gt;"",1,0))/12)</x:f>
      </x:c>
    </x:row>
    <x:row r="157">
      <x:c r="A157" s="175" t="str">
        <x:f>IF(L157="","","EV-"&amp;TEXT(ROW()-3,"0000"))</x:f>
      </x:c>
      <x:c r="B157" s="174"/>
      <x:c r="C157" s="175" t="str">
        <x:f>IF(L157="","",IF(OR(CM157="Retracted",CN157="Retracted",F157="Not used"),"🔴 Do not use for conclusion",IF(OR(R157="Official / Institutional",I157="Official / contextual"),"🔵 Official / contextual",IF(OR(I157="Definition",I157="Framework",I157="Paradigm shift"),"🟣 Conceptual key source",IF(AND(CJ157="Yes",CL157="Yes",OR(CG157="High",CG157="Moderate"),CH157&lt;&gt;"High",CH157&lt;&gt;"Critical",F157="Claim-ready"),"🟢 Claim-ready","🟡 Caution / context")))))</x:f>
      </x:c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6"/>
      <x:c r="P157" s="174"/>
      <x:c r="Q157" s="174"/>
      <x:c r="R157" s="174"/>
      <x:c r="S157" s="174"/>
      <x:c r="T157" s="174"/>
      <x:c r="U157" s="174"/>
      <x:c r="V157" s="174"/>
      <x:c r="W157" s="175" t="str">
        <x:f>IF(V157="","",LOWER(SUBSTITUTE(SUBSTITUTE(SUBSTITUTE(SUBSTITUTE(TRIM(V157),"https://doi.org/",""),"http://doi.org/",""),"https://dx.doi.org/",""),"doi:","")))</x:f>
      </x:c>
      <x:c r="X157" s="174"/>
      <x:c r="Y157" s="174"/>
      <x:c r="Z157" s="174"/>
      <x:c r="AA157" s="174"/>
      <x:c r="AB157" s="174"/>
      <x:c r="AC157" s="174"/>
      <x:c r="AD157" s="177"/>
      <x:c r="AE157" s="177"/>
      <x:c r="AF157" s="174"/>
      <x:c r="AG157" s="174"/>
      <x:c r="AH157" s="174"/>
      <x:c r="AI157" s="174"/>
      <x:c r="AJ157" s="174"/>
      <x:c r="AK157" s="175" t="str">
        <x:f>IF(AJ157="","",IF(OR(LOWER(AJ157)="brazil",LOWER(AJ157)="brasil"),"Yes","No"))</x:f>
      </x:c>
      <x:c r="AL157" s="174"/>
      <x:c r="AM157" s="174"/>
      <x:c r="AN157" s="174"/>
      <x:c r="AO157" s="178"/>
      <x:c r="AP157" s="174"/>
      <x:c r="AQ157" s="174"/>
      <x:c r="AR157" s="174"/>
      <x:c r="AS157" s="174"/>
      <x:c r="AT157" s="174"/>
      <x:c r="AU157" s="174"/>
      <x:c r="AV157" s="174"/>
      <x:c r="AW157" s="174"/>
      <x:c r="AX157" s="174"/>
      <x:c r="AY157" s="174"/>
      <x:c r="AZ157" s="174"/>
      <x:c r="BA157" s="174"/>
      <x:c r="BB157" s="174"/>
      <x:c r="BC157" s="174"/>
      <x:c r="BD157" s="174"/>
      <x:c r="BE157" s="174"/>
      <x:c r="BF157" s="174"/>
      <x:c r="BG157" s="174"/>
      <x:c r="BH157" s="174"/>
      <x:c r="BI157" s="174"/>
      <x:c r="BJ157" s="174"/>
      <x:c r="BK157" s="174"/>
      <x:c r="BL157" s="174"/>
      <x:c r="BM157" s="174"/>
      <x:c r="BN157" s="174"/>
      <x:c r="BO157" s="174"/>
      <x:c r="BP157" s="174"/>
      <x:c r="BQ157" s="174"/>
      <x:c r="BR157" s="174"/>
      <x:c r="BS157" s="174"/>
      <x:c r="BT157" s="174"/>
      <x:c r="BU157" s="174"/>
      <x:c r="BV157" s="174"/>
      <x:c r="BW157" s="174"/>
      <x:c r="BX157" s="174"/>
      <x:c r="BY157" s="174"/>
      <x:c r="BZ157" s="174"/>
      <x:c r="CA157" s="174"/>
      <x:c r="CB157" s="174"/>
      <x:c r="CC157" s="174"/>
      <x:c r="CD157" s="174"/>
      <x:c r="CE157" s="174"/>
      <x:c r="CF157" s="174"/>
      <x:c r="CG157" s="174"/>
      <x:c r="CH157" s="174"/>
      <x:c r="CI157" s="179"/>
      <x:c r="CJ157" s="174"/>
      <x:c r="CK157" s="174"/>
      <x:c r="CL157" s="174"/>
      <x:c r="CM157" s="174"/>
      <x:c r="CN157" s="174"/>
      <x:c r="CO157" s="177"/>
      <x:c r="CP157" s="174"/>
      <x:c r="CQ157" s="174"/>
      <x:c r="CR157" s="174"/>
      <x:c r="CS157" s="174"/>
      <x:c r="CT157" s="174"/>
      <x:c r="CU157" s="176"/>
      <x:c r="CV157" s="176"/>
      <x:c r="CW157" s="176"/>
      <x:c r="CX157" s="176"/>
      <x:c r="CY157" s="176"/>
      <x:c r="CZ157" s="176"/>
      <x:c r="DA157" s="176"/>
      <x:c r="DB157" s="175" t="str">
        <x:f>IF(L157="","",IF(COUNT(CU157:DA157)&lt;7,"",SUM(CU157:DA157)))</x:f>
      </x:c>
      <x:c r="DC157" s="180" t="str">
        <x:f>IF(DB157="","",ROUND(DB157/14*10,1))</x:f>
      </x:c>
      <x:c r="DD157" s="174"/>
      <x:c r="DE157" s="175" t="str">
        <x:f>IF(L157="","",IF(DC157="","Pending",IF(DD157="Yes","CONDITIONAL — safety override",IF(DC157&gt;=8,"HIGH",IF(DC157&gt;=5,"CONDITIONAL","LOW")))))</x:f>
      </x:c>
      <x:c r="DF157" s="174"/>
      <x:c r="DG157" s="174"/>
      <x:c r="DH157" s="174"/>
      <x:c r="DI157" s="174"/>
      <x:c r="DJ157" s="174"/>
      <x:c r="DK157" s="174"/>
      <x:c r="DL157" s="174"/>
      <x:c r="DM157" s="174"/>
      <x:c r="DN157" s="174"/>
      <x:c r="DO157" s="174"/>
      <x:c r="DP157" s="174"/>
      <x:c r="DQ157" s="174"/>
      <x:c r="DR157" s="174"/>
      <x:c r="DS157" s="174"/>
      <x:c r="DT157" s="174"/>
      <x:c r="DU157" s="174"/>
      <x:c r="DV157" s="174"/>
      <x:c r="DW157" s="174"/>
      <x:c r="DX157" s="174"/>
      <x:c r="DY157" s="174"/>
      <x:c r="DZ157" s="174"/>
      <x:c r="EA157" s="174"/>
      <x:c r="EB157" s="175" t="str">
        <x:f>IF(L157="","",IF(AND(F157="Claim-ready",CJ157="Yes",CL157="Yes",DZ157&lt;&gt;""),"Yes","No / Pending"))</x:f>
      </x:c>
      <x:c r="EC157" s="174"/>
      <x:c r="ED157" s="174"/>
      <x:c r="EE157" s="174"/>
      <x:c r="EF157" s="174"/>
      <x:c r="EG157" s="174"/>
      <x:c r="EH157" s="177"/>
      <x:c r="EI157" s="174"/>
      <x:c r="EJ157" s="174"/>
      <x:c r="EK157" s="174"/>
      <x:c r="EL157" s="177"/>
      <x:c r="EM157" s="174"/>
      <x:c r="EN157" s="181" t="str">
        <x:f>IF(L157="","",(IF(N157&lt;&gt;"",1,0)+IF(O157&lt;&gt;"",1,0)+IF(AJ157&lt;&gt;"",1,0)+IF(AU157&lt;&gt;"",1,0)+IF(BE157&lt;&gt;"",1,0)+IF(CF157&lt;&gt;"",1,0)+IF(CJ157="Yes",1,0)+IF(CL157="Yes",1,0)+IF(DE157&lt;&gt;"Pending",1,0)+IF(F157&lt;&gt;"",1,0)+IF(DZ157&lt;&gt;"",1,0)+IF(EI157&lt;&gt;"",1,0))/12)</x:f>
      </x:c>
    </x:row>
    <x:row r="158">
      <x:c r="A158" s="175" t="str">
        <x:f>IF(L158="","","EV-"&amp;TEXT(ROW()-3,"0000"))</x:f>
      </x:c>
      <x:c r="B158" s="174"/>
      <x:c r="C158" s="175" t="str">
        <x:f>IF(L158="","",IF(OR(CM158="Retracted",CN158="Retracted",F158="Not used"),"🔴 Do not use for conclusion",IF(OR(R158="Official / Institutional",I158="Official / contextual"),"🔵 Official / contextual",IF(OR(I158="Definition",I158="Framework",I158="Paradigm shift"),"🟣 Conceptual key source",IF(AND(CJ158="Yes",CL158="Yes",OR(CG158="High",CG158="Moderate"),CH158&lt;&gt;"High",CH158&lt;&gt;"Critical",F158="Claim-ready"),"🟢 Claim-ready","🟡 Caution / context")))))</x:f>
      </x:c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6"/>
      <x:c r="P158" s="174"/>
      <x:c r="Q158" s="174"/>
      <x:c r="R158" s="174"/>
      <x:c r="S158" s="174"/>
      <x:c r="T158" s="174"/>
      <x:c r="U158" s="174"/>
      <x:c r="V158" s="174"/>
      <x:c r="W158" s="175" t="str">
        <x:f>IF(V158="","",LOWER(SUBSTITUTE(SUBSTITUTE(SUBSTITUTE(SUBSTITUTE(TRIM(V158),"https://doi.org/",""),"http://doi.org/",""),"https://dx.doi.org/",""),"doi:","")))</x:f>
      </x:c>
      <x:c r="X158" s="174"/>
      <x:c r="Y158" s="174"/>
      <x:c r="Z158" s="174"/>
      <x:c r="AA158" s="174"/>
      <x:c r="AB158" s="174"/>
      <x:c r="AC158" s="174"/>
      <x:c r="AD158" s="177"/>
      <x:c r="AE158" s="177"/>
      <x:c r="AF158" s="174"/>
      <x:c r="AG158" s="174"/>
      <x:c r="AH158" s="174"/>
      <x:c r="AI158" s="174"/>
      <x:c r="AJ158" s="174"/>
      <x:c r="AK158" s="175" t="str">
        <x:f>IF(AJ158="","",IF(OR(LOWER(AJ158)="brazil",LOWER(AJ158)="brasil"),"Yes","No"))</x:f>
      </x:c>
      <x:c r="AL158" s="174"/>
      <x:c r="AM158" s="174"/>
      <x:c r="AN158" s="174"/>
      <x:c r="AO158" s="178"/>
      <x:c r="AP158" s="174"/>
      <x:c r="AQ158" s="174"/>
      <x:c r="AR158" s="174"/>
      <x:c r="AS158" s="174"/>
      <x:c r="AT158" s="174"/>
      <x:c r="AU158" s="174"/>
      <x:c r="AV158" s="174"/>
      <x:c r="AW158" s="174"/>
      <x:c r="AX158" s="174"/>
      <x:c r="AY158" s="174"/>
      <x:c r="AZ158" s="174"/>
      <x:c r="BA158" s="174"/>
      <x:c r="BB158" s="174"/>
      <x:c r="BC158" s="174"/>
      <x:c r="BD158" s="174"/>
      <x:c r="BE158" s="174"/>
      <x:c r="BF158" s="174"/>
      <x:c r="BG158" s="174"/>
      <x:c r="BH158" s="174"/>
      <x:c r="BI158" s="174"/>
      <x:c r="BJ158" s="174"/>
      <x:c r="BK158" s="174"/>
      <x:c r="BL158" s="174"/>
      <x:c r="BM158" s="174"/>
      <x:c r="BN158" s="174"/>
      <x:c r="BO158" s="174"/>
      <x:c r="BP158" s="174"/>
      <x:c r="BQ158" s="174"/>
      <x:c r="BR158" s="174"/>
      <x:c r="BS158" s="174"/>
      <x:c r="BT158" s="174"/>
      <x:c r="BU158" s="174"/>
      <x:c r="BV158" s="174"/>
      <x:c r="BW158" s="174"/>
      <x:c r="BX158" s="174"/>
      <x:c r="BY158" s="174"/>
      <x:c r="BZ158" s="174"/>
      <x:c r="CA158" s="174"/>
      <x:c r="CB158" s="174"/>
      <x:c r="CC158" s="174"/>
      <x:c r="CD158" s="174"/>
      <x:c r="CE158" s="174"/>
      <x:c r="CF158" s="174"/>
      <x:c r="CG158" s="174"/>
      <x:c r="CH158" s="174"/>
      <x:c r="CI158" s="179"/>
      <x:c r="CJ158" s="174"/>
      <x:c r="CK158" s="174"/>
      <x:c r="CL158" s="174"/>
      <x:c r="CM158" s="174"/>
      <x:c r="CN158" s="174"/>
      <x:c r="CO158" s="177"/>
      <x:c r="CP158" s="174"/>
      <x:c r="CQ158" s="174"/>
      <x:c r="CR158" s="174"/>
      <x:c r="CS158" s="174"/>
      <x:c r="CT158" s="174"/>
      <x:c r="CU158" s="176"/>
      <x:c r="CV158" s="176"/>
      <x:c r="CW158" s="176"/>
      <x:c r="CX158" s="176"/>
      <x:c r="CY158" s="176"/>
      <x:c r="CZ158" s="176"/>
      <x:c r="DA158" s="176"/>
      <x:c r="DB158" s="175" t="str">
        <x:f>IF(L158="","",IF(COUNT(CU158:DA158)&lt;7,"",SUM(CU158:DA158)))</x:f>
      </x:c>
      <x:c r="DC158" s="180" t="str">
        <x:f>IF(DB158="","",ROUND(DB158/14*10,1))</x:f>
      </x:c>
      <x:c r="DD158" s="174"/>
      <x:c r="DE158" s="175" t="str">
        <x:f>IF(L158="","",IF(DC158="","Pending",IF(DD158="Yes","CONDITIONAL — safety override",IF(DC158&gt;=8,"HIGH",IF(DC158&gt;=5,"CONDITIONAL","LOW")))))</x:f>
      </x:c>
      <x:c r="DF158" s="174"/>
      <x:c r="DG158" s="174"/>
      <x:c r="DH158" s="174"/>
      <x:c r="DI158" s="174"/>
      <x:c r="DJ158" s="174"/>
      <x:c r="DK158" s="174"/>
      <x:c r="DL158" s="174"/>
      <x:c r="DM158" s="174"/>
      <x:c r="DN158" s="174"/>
      <x:c r="DO158" s="174"/>
      <x:c r="DP158" s="174"/>
      <x:c r="DQ158" s="174"/>
      <x:c r="DR158" s="174"/>
      <x:c r="DS158" s="174"/>
      <x:c r="DT158" s="174"/>
      <x:c r="DU158" s="174"/>
      <x:c r="DV158" s="174"/>
      <x:c r="DW158" s="174"/>
      <x:c r="DX158" s="174"/>
      <x:c r="DY158" s="174"/>
      <x:c r="DZ158" s="174"/>
      <x:c r="EA158" s="174"/>
      <x:c r="EB158" s="175" t="str">
        <x:f>IF(L158="","",IF(AND(F158="Claim-ready",CJ158="Yes",CL158="Yes",DZ158&lt;&gt;""),"Yes","No / Pending"))</x:f>
      </x:c>
      <x:c r="EC158" s="174"/>
      <x:c r="ED158" s="174"/>
      <x:c r="EE158" s="174"/>
      <x:c r="EF158" s="174"/>
      <x:c r="EG158" s="174"/>
      <x:c r="EH158" s="177"/>
      <x:c r="EI158" s="174"/>
      <x:c r="EJ158" s="174"/>
      <x:c r="EK158" s="174"/>
      <x:c r="EL158" s="177"/>
      <x:c r="EM158" s="174"/>
      <x:c r="EN158" s="181" t="str">
        <x:f>IF(L158="","",(IF(N158&lt;&gt;"",1,0)+IF(O158&lt;&gt;"",1,0)+IF(AJ158&lt;&gt;"",1,0)+IF(AU158&lt;&gt;"",1,0)+IF(BE158&lt;&gt;"",1,0)+IF(CF158&lt;&gt;"",1,0)+IF(CJ158="Yes",1,0)+IF(CL158="Yes",1,0)+IF(DE158&lt;&gt;"Pending",1,0)+IF(F158&lt;&gt;"",1,0)+IF(DZ158&lt;&gt;"",1,0)+IF(EI158&lt;&gt;"",1,0))/12)</x:f>
      </x:c>
    </x:row>
    <x:row r="159">
      <x:c r="A159" s="175" t="str">
        <x:f>IF(L159="","","EV-"&amp;TEXT(ROW()-3,"0000"))</x:f>
      </x:c>
      <x:c r="B159" s="174"/>
      <x:c r="C159" s="175" t="str">
        <x:f>IF(L159="","",IF(OR(CM159="Retracted",CN159="Retracted",F159="Not used"),"🔴 Do not use for conclusion",IF(OR(R159="Official / Institutional",I159="Official / contextual"),"🔵 Official / contextual",IF(OR(I159="Definition",I159="Framework",I159="Paradigm shift"),"🟣 Conceptual key source",IF(AND(CJ159="Yes",CL159="Yes",OR(CG159="High",CG159="Moderate"),CH159&lt;&gt;"High",CH159&lt;&gt;"Critical",F159="Claim-ready"),"🟢 Claim-ready","🟡 Caution / context")))))</x:f>
      </x:c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6"/>
      <x:c r="P159" s="174"/>
      <x:c r="Q159" s="174"/>
      <x:c r="R159" s="174"/>
      <x:c r="S159" s="174"/>
      <x:c r="T159" s="174"/>
      <x:c r="U159" s="174"/>
      <x:c r="V159" s="174"/>
      <x:c r="W159" s="175" t="str">
        <x:f>IF(V159="","",LOWER(SUBSTITUTE(SUBSTITUTE(SUBSTITUTE(SUBSTITUTE(TRIM(V159),"https://doi.org/",""),"http://doi.org/",""),"https://dx.doi.org/",""),"doi:","")))</x:f>
      </x:c>
      <x:c r="X159" s="174"/>
      <x:c r="Y159" s="174"/>
      <x:c r="Z159" s="174"/>
      <x:c r="AA159" s="174"/>
      <x:c r="AB159" s="174"/>
      <x:c r="AC159" s="174"/>
      <x:c r="AD159" s="177"/>
      <x:c r="AE159" s="177"/>
      <x:c r="AF159" s="174"/>
      <x:c r="AG159" s="174"/>
      <x:c r="AH159" s="174"/>
      <x:c r="AI159" s="174"/>
      <x:c r="AJ159" s="174"/>
      <x:c r="AK159" s="175" t="str">
        <x:f>IF(AJ159="","",IF(OR(LOWER(AJ159)="brazil",LOWER(AJ159)="brasil"),"Yes","No"))</x:f>
      </x:c>
      <x:c r="AL159" s="174"/>
      <x:c r="AM159" s="174"/>
      <x:c r="AN159" s="174"/>
      <x:c r="AO159" s="178"/>
      <x:c r="AP159" s="174"/>
      <x:c r="AQ159" s="174"/>
      <x:c r="AR159" s="174"/>
      <x:c r="AS159" s="174"/>
      <x:c r="AT159" s="174"/>
      <x:c r="AU159" s="174"/>
      <x:c r="AV159" s="174"/>
      <x:c r="AW159" s="174"/>
      <x:c r="AX159" s="174"/>
      <x:c r="AY159" s="174"/>
      <x:c r="AZ159" s="174"/>
      <x:c r="BA159" s="174"/>
      <x:c r="BB159" s="174"/>
      <x:c r="BC159" s="174"/>
      <x:c r="BD159" s="174"/>
      <x:c r="BE159" s="174"/>
      <x:c r="BF159" s="174"/>
      <x:c r="BG159" s="174"/>
      <x:c r="BH159" s="174"/>
      <x:c r="BI159" s="174"/>
      <x:c r="BJ159" s="174"/>
      <x:c r="BK159" s="174"/>
      <x:c r="BL159" s="174"/>
      <x:c r="BM159" s="174"/>
      <x:c r="BN159" s="174"/>
      <x:c r="BO159" s="174"/>
      <x:c r="BP159" s="174"/>
      <x:c r="BQ159" s="174"/>
      <x:c r="BR159" s="174"/>
      <x:c r="BS159" s="174"/>
      <x:c r="BT159" s="174"/>
      <x:c r="BU159" s="174"/>
      <x:c r="BV159" s="174"/>
      <x:c r="BW159" s="174"/>
      <x:c r="BX159" s="174"/>
      <x:c r="BY159" s="174"/>
      <x:c r="BZ159" s="174"/>
      <x:c r="CA159" s="174"/>
      <x:c r="CB159" s="174"/>
      <x:c r="CC159" s="174"/>
      <x:c r="CD159" s="174"/>
      <x:c r="CE159" s="174"/>
      <x:c r="CF159" s="174"/>
      <x:c r="CG159" s="174"/>
      <x:c r="CH159" s="174"/>
      <x:c r="CI159" s="179"/>
      <x:c r="CJ159" s="174"/>
      <x:c r="CK159" s="174"/>
      <x:c r="CL159" s="174"/>
      <x:c r="CM159" s="174"/>
      <x:c r="CN159" s="174"/>
      <x:c r="CO159" s="177"/>
      <x:c r="CP159" s="174"/>
      <x:c r="CQ159" s="174"/>
      <x:c r="CR159" s="174"/>
      <x:c r="CS159" s="174"/>
      <x:c r="CT159" s="174"/>
      <x:c r="CU159" s="176"/>
      <x:c r="CV159" s="176"/>
      <x:c r="CW159" s="176"/>
      <x:c r="CX159" s="176"/>
      <x:c r="CY159" s="176"/>
      <x:c r="CZ159" s="176"/>
      <x:c r="DA159" s="176"/>
      <x:c r="DB159" s="175" t="str">
        <x:f>IF(L159="","",IF(COUNT(CU159:DA159)&lt;7,"",SUM(CU159:DA159)))</x:f>
      </x:c>
      <x:c r="DC159" s="180" t="str">
        <x:f>IF(DB159="","",ROUND(DB159/14*10,1))</x:f>
      </x:c>
      <x:c r="DD159" s="174"/>
      <x:c r="DE159" s="175" t="str">
        <x:f>IF(L159="","",IF(DC159="","Pending",IF(DD159="Yes","CONDITIONAL — safety override",IF(DC159&gt;=8,"HIGH",IF(DC159&gt;=5,"CONDITIONAL","LOW")))))</x:f>
      </x:c>
      <x:c r="DF159" s="174"/>
      <x:c r="DG159" s="174"/>
      <x:c r="DH159" s="174"/>
      <x:c r="DI159" s="174"/>
      <x:c r="DJ159" s="174"/>
      <x:c r="DK159" s="174"/>
      <x:c r="DL159" s="174"/>
      <x:c r="DM159" s="174"/>
      <x:c r="DN159" s="174"/>
      <x:c r="DO159" s="174"/>
      <x:c r="DP159" s="174"/>
      <x:c r="DQ159" s="174"/>
      <x:c r="DR159" s="174"/>
      <x:c r="DS159" s="174"/>
      <x:c r="DT159" s="174"/>
      <x:c r="DU159" s="174"/>
      <x:c r="DV159" s="174"/>
      <x:c r="DW159" s="174"/>
      <x:c r="DX159" s="174"/>
      <x:c r="DY159" s="174"/>
      <x:c r="DZ159" s="174"/>
      <x:c r="EA159" s="174"/>
      <x:c r="EB159" s="175" t="str">
        <x:f>IF(L159="","",IF(AND(F159="Claim-ready",CJ159="Yes",CL159="Yes",DZ159&lt;&gt;""),"Yes","No / Pending"))</x:f>
      </x:c>
      <x:c r="EC159" s="174"/>
      <x:c r="ED159" s="174"/>
      <x:c r="EE159" s="174"/>
      <x:c r="EF159" s="174"/>
      <x:c r="EG159" s="174"/>
      <x:c r="EH159" s="177"/>
      <x:c r="EI159" s="174"/>
      <x:c r="EJ159" s="174"/>
      <x:c r="EK159" s="174"/>
      <x:c r="EL159" s="177"/>
      <x:c r="EM159" s="174"/>
      <x:c r="EN159" s="181" t="str">
        <x:f>IF(L159="","",(IF(N159&lt;&gt;"",1,0)+IF(O159&lt;&gt;"",1,0)+IF(AJ159&lt;&gt;"",1,0)+IF(AU159&lt;&gt;"",1,0)+IF(BE159&lt;&gt;"",1,0)+IF(CF159&lt;&gt;"",1,0)+IF(CJ159="Yes",1,0)+IF(CL159="Yes",1,0)+IF(DE159&lt;&gt;"Pending",1,0)+IF(F159&lt;&gt;"",1,0)+IF(DZ159&lt;&gt;"",1,0)+IF(EI159&lt;&gt;"",1,0))/12)</x:f>
      </x:c>
    </x:row>
    <x:row r="160">
      <x:c r="A160" s="175" t="str">
        <x:f>IF(L160="","","EV-"&amp;TEXT(ROW()-3,"0000"))</x:f>
      </x:c>
      <x:c r="B160" s="174"/>
      <x:c r="C160" s="175" t="str">
        <x:f>IF(L160="","",IF(OR(CM160="Retracted",CN160="Retracted",F160="Not used"),"🔴 Do not use for conclusion",IF(OR(R160="Official / Institutional",I160="Official / contextual"),"🔵 Official / contextual",IF(OR(I160="Definition",I160="Framework",I160="Paradigm shift"),"🟣 Conceptual key source",IF(AND(CJ160="Yes",CL160="Yes",OR(CG160="High",CG160="Moderate"),CH160&lt;&gt;"High",CH160&lt;&gt;"Critical",F160="Claim-ready"),"🟢 Claim-ready","🟡 Caution / context")))))</x:f>
      </x:c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6"/>
      <x:c r="P160" s="174"/>
      <x:c r="Q160" s="174"/>
      <x:c r="R160" s="174"/>
      <x:c r="S160" s="174"/>
      <x:c r="T160" s="174"/>
      <x:c r="U160" s="174"/>
      <x:c r="V160" s="174"/>
      <x:c r="W160" s="175" t="str">
        <x:f>IF(V160="","",LOWER(SUBSTITUTE(SUBSTITUTE(SUBSTITUTE(SUBSTITUTE(TRIM(V160),"https://doi.org/",""),"http://doi.org/",""),"https://dx.doi.org/",""),"doi:","")))</x:f>
      </x:c>
      <x:c r="X160" s="174"/>
      <x:c r="Y160" s="174"/>
      <x:c r="Z160" s="174"/>
      <x:c r="AA160" s="174"/>
      <x:c r="AB160" s="174"/>
      <x:c r="AC160" s="174"/>
      <x:c r="AD160" s="177"/>
      <x:c r="AE160" s="177"/>
      <x:c r="AF160" s="174"/>
      <x:c r="AG160" s="174"/>
      <x:c r="AH160" s="174"/>
      <x:c r="AI160" s="174"/>
      <x:c r="AJ160" s="174"/>
      <x:c r="AK160" s="175" t="str">
        <x:f>IF(AJ160="","",IF(OR(LOWER(AJ160)="brazil",LOWER(AJ160)="brasil"),"Yes","No"))</x:f>
      </x:c>
      <x:c r="AL160" s="174"/>
      <x:c r="AM160" s="174"/>
      <x:c r="AN160" s="174"/>
      <x:c r="AO160" s="178"/>
      <x:c r="AP160" s="174"/>
      <x:c r="AQ160" s="174"/>
      <x:c r="AR160" s="174"/>
      <x:c r="AS160" s="174"/>
      <x:c r="AT160" s="174"/>
      <x:c r="AU160" s="174"/>
      <x:c r="AV160" s="174"/>
      <x:c r="AW160" s="174"/>
      <x:c r="AX160" s="174"/>
      <x:c r="AY160" s="174"/>
      <x:c r="AZ160" s="174"/>
      <x:c r="BA160" s="174"/>
      <x:c r="BB160" s="174"/>
      <x:c r="BC160" s="174"/>
      <x:c r="BD160" s="174"/>
      <x:c r="BE160" s="174"/>
      <x:c r="BF160" s="174"/>
      <x:c r="BG160" s="174"/>
      <x:c r="BH160" s="174"/>
      <x:c r="BI160" s="174"/>
      <x:c r="BJ160" s="174"/>
      <x:c r="BK160" s="174"/>
      <x:c r="BL160" s="174"/>
      <x:c r="BM160" s="174"/>
      <x:c r="BN160" s="174"/>
      <x:c r="BO160" s="174"/>
      <x:c r="BP160" s="174"/>
      <x:c r="BQ160" s="174"/>
      <x:c r="BR160" s="174"/>
      <x:c r="BS160" s="174"/>
      <x:c r="BT160" s="174"/>
      <x:c r="BU160" s="174"/>
      <x:c r="BV160" s="174"/>
      <x:c r="BW160" s="174"/>
      <x:c r="BX160" s="174"/>
      <x:c r="BY160" s="174"/>
      <x:c r="BZ160" s="174"/>
      <x:c r="CA160" s="174"/>
      <x:c r="CB160" s="174"/>
      <x:c r="CC160" s="174"/>
      <x:c r="CD160" s="174"/>
      <x:c r="CE160" s="174"/>
      <x:c r="CF160" s="174"/>
      <x:c r="CG160" s="174"/>
      <x:c r="CH160" s="174"/>
      <x:c r="CI160" s="179"/>
      <x:c r="CJ160" s="174"/>
      <x:c r="CK160" s="174"/>
      <x:c r="CL160" s="174"/>
      <x:c r="CM160" s="174"/>
      <x:c r="CN160" s="174"/>
      <x:c r="CO160" s="177"/>
      <x:c r="CP160" s="174"/>
      <x:c r="CQ160" s="174"/>
      <x:c r="CR160" s="174"/>
      <x:c r="CS160" s="174"/>
      <x:c r="CT160" s="174"/>
      <x:c r="CU160" s="176"/>
      <x:c r="CV160" s="176"/>
      <x:c r="CW160" s="176"/>
      <x:c r="CX160" s="176"/>
      <x:c r="CY160" s="176"/>
      <x:c r="CZ160" s="176"/>
      <x:c r="DA160" s="176"/>
      <x:c r="DB160" s="175" t="str">
        <x:f>IF(L160="","",IF(COUNT(CU160:DA160)&lt;7,"",SUM(CU160:DA160)))</x:f>
      </x:c>
      <x:c r="DC160" s="180" t="str">
        <x:f>IF(DB160="","",ROUND(DB160/14*10,1))</x:f>
      </x:c>
      <x:c r="DD160" s="174"/>
      <x:c r="DE160" s="175" t="str">
        <x:f>IF(L160="","",IF(DC160="","Pending",IF(DD160="Yes","CONDITIONAL — safety override",IF(DC160&gt;=8,"HIGH",IF(DC160&gt;=5,"CONDITIONAL","LOW")))))</x:f>
      </x:c>
      <x:c r="DF160" s="174"/>
      <x:c r="DG160" s="174"/>
      <x:c r="DH160" s="174"/>
      <x:c r="DI160" s="174"/>
      <x:c r="DJ160" s="174"/>
      <x:c r="DK160" s="174"/>
      <x:c r="DL160" s="174"/>
      <x:c r="DM160" s="174"/>
      <x:c r="DN160" s="174"/>
      <x:c r="DO160" s="174"/>
      <x:c r="DP160" s="174"/>
      <x:c r="DQ160" s="174"/>
      <x:c r="DR160" s="174"/>
      <x:c r="DS160" s="174"/>
      <x:c r="DT160" s="174"/>
      <x:c r="DU160" s="174"/>
      <x:c r="DV160" s="174"/>
      <x:c r="DW160" s="174"/>
      <x:c r="DX160" s="174"/>
      <x:c r="DY160" s="174"/>
      <x:c r="DZ160" s="174"/>
      <x:c r="EA160" s="174"/>
      <x:c r="EB160" s="175" t="str">
        <x:f>IF(L160="","",IF(AND(F160="Claim-ready",CJ160="Yes",CL160="Yes",DZ160&lt;&gt;""),"Yes","No / Pending"))</x:f>
      </x:c>
      <x:c r="EC160" s="174"/>
      <x:c r="ED160" s="174"/>
      <x:c r="EE160" s="174"/>
      <x:c r="EF160" s="174"/>
      <x:c r="EG160" s="174"/>
      <x:c r="EH160" s="177"/>
      <x:c r="EI160" s="174"/>
      <x:c r="EJ160" s="174"/>
      <x:c r="EK160" s="174"/>
      <x:c r="EL160" s="177"/>
      <x:c r="EM160" s="174"/>
      <x:c r="EN160" s="181" t="str">
        <x:f>IF(L160="","",(IF(N160&lt;&gt;"",1,0)+IF(O160&lt;&gt;"",1,0)+IF(AJ160&lt;&gt;"",1,0)+IF(AU160&lt;&gt;"",1,0)+IF(BE160&lt;&gt;"",1,0)+IF(CF160&lt;&gt;"",1,0)+IF(CJ160="Yes",1,0)+IF(CL160="Yes",1,0)+IF(DE160&lt;&gt;"Pending",1,0)+IF(F160&lt;&gt;"",1,0)+IF(DZ160&lt;&gt;"",1,0)+IF(EI160&lt;&gt;"",1,0))/12)</x:f>
      </x:c>
    </x:row>
    <x:row r="161">
      <x:c r="A161" s="175" t="str">
        <x:f>IF(L161="","","EV-"&amp;TEXT(ROW()-3,"0000"))</x:f>
      </x:c>
      <x:c r="B161" s="174"/>
      <x:c r="C161" s="175" t="str">
        <x:f>IF(L161="","",IF(OR(CM161="Retracted",CN161="Retracted",F161="Not used"),"🔴 Do not use for conclusion",IF(OR(R161="Official / Institutional",I161="Official / contextual"),"🔵 Official / contextual",IF(OR(I161="Definition",I161="Framework",I161="Paradigm shift"),"🟣 Conceptual key source",IF(AND(CJ161="Yes",CL161="Yes",OR(CG161="High",CG161="Moderate"),CH161&lt;&gt;"High",CH161&lt;&gt;"Critical",F161="Claim-ready"),"🟢 Claim-ready","🟡 Caution / context")))))</x:f>
      </x:c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6"/>
      <x:c r="P161" s="174"/>
      <x:c r="Q161" s="174"/>
      <x:c r="R161" s="174"/>
      <x:c r="S161" s="174"/>
      <x:c r="T161" s="174"/>
      <x:c r="U161" s="174"/>
      <x:c r="V161" s="174"/>
      <x:c r="W161" s="175" t="str">
        <x:f>IF(V161="","",LOWER(SUBSTITUTE(SUBSTITUTE(SUBSTITUTE(SUBSTITUTE(TRIM(V161),"https://doi.org/",""),"http://doi.org/",""),"https://dx.doi.org/",""),"doi:","")))</x:f>
      </x:c>
      <x:c r="X161" s="174"/>
      <x:c r="Y161" s="174"/>
      <x:c r="Z161" s="174"/>
      <x:c r="AA161" s="174"/>
      <x:c r="AB161" s="174"/>
      <x:c r="AC161" s="174"/>
      <x:c r="AD161" s="177"/>
      <x:c r="AE161" s="177"/>
      <x:c r="AF161" s="174"/>
      <x:c r="AG161" s="174"/>
      <x:c r="AH161" s="174"/>
      <x:c r="AI161" s="174"/>
      <x:c r="AJ161" s="174"/>
      <x:c r="AK161" s="175" t="str">
        <x:f>IF(AJ161="","",IF(OR(LOWER(AJ161)="brazil",LOWER(AJ161)="brasil"),"Yes","No"))</x:f>
      </x:c>
      <x:c r="AL161" s="174"/>
      <x:c r="AM161" s="174"/>
      <x:c r="AN161" s="174"/>
      <x:c r="AO161" s="178"/>
      <x:c r="AP161" s="174"/>
      <x:c r="AQ161" s="174"/>
      <x:c r="AR161" s="174"/>
      <x:c r="AS161" s="174"/>
      <x:c r="AT161" s="174"/>
      <x:c r="AU161" s="174"/>
      <x:c r="AV161" s="174"/>
      <x:c r="AW161" s="174"/>
      <x:c r="AX161" s="174"/>
      <x:c r="AY161" s="174"/>
      <x:c r="AZ161" s="174"/>
      <x:c r="BA161" s="174"/>
      <x:c r="BB161" s="174"/>
      <x:c r="BC161" s="174"/>
      <x:c r="BD161" s="174"/>
      <x:c r="BE161" s="174"/>
      <x:c r="BF161" s="174"/>
      <x:c r="BG161" s="174"/>
      <x:c r="BH161" s="174"/>
      <x:c r="BI161" s="174"/>
      <x:c r="BJ161" s="174"/>
      <x:c r="BK161" s="174"/>
      <x:c r="BL161" s="174"/>
      <x:c r="BM161" s="174"/>
      <x:c r="BN161" s="174"/>
      <x:c r="BO161" s="174"/>
      <x:c r="BP161" s="174"/>
      <x:c r="BQ161" s="174"/>
      <x:c r="BR161" s="174"/>
      <x:c r="BS161" s="174"/>
      <x:c r="BT161" s="174"/>
      <x:c r="BU161" s="174"/>
      <x:c r="BV161" s="174"/>
      <x:c r="BW161" s="174"/>
      <x:c r="BX161" s="174"/>
      <x:c r="BY161" s="174"/>
      <x:c r="BZ161" s="174"/>
      <x:c r="CA161" s="174"/>
      <x:c r="CB161" s="174"/>
      <x:c r="CC161" s="174"/>
      <x:c r="CD161" s="174"/>
      <x:c r="CE161" s="174"/>
      <x:c r="CF161" s="174"/>
      <x:c r="CG161" s="174"/>
      <x:c r="CH161" s="174"/>
      <x:c r="CI161" s="179"/>
      <x:c r="CJ161" s="174"/>
      <x:c r="CK161" s="174"/>
      <x:c r="CL161" s="174"/>
      <x:c r="CM161" s="174"/>
      <x:c r="CN161" s="174"/>
      <x:c r="CO161" s="177"/>
      <x:c r="CP161" s="174"/>
      <x:c r="CQ161" s="174"/>
      <x:c r="CR161" s="174"/>
      <x:c r="CS161" s="174"/>
      <x:c r="CT161" s="174"/>
      <x:c r="CU161" s="176"/>
      <x:c r="CV161" s="176"/>
      <x:c r="CW161" s="176"/>
      <x:c r="CX161" s="176"/>
      <x:c r="CY161" s="176"/>
      <x:c r="CZ161" s="176"/>
      <x:c r="DA161" s="176"/>
      <x:c r="DB161" s="175" t="str">
        <x:f>IF(L161="","",IF(COUNT(CU161:DA161)&lt;7,"",SUM(CU161:DA161)))</x:f>
      </x:c>
      <x:c r="DC161" s="180" t="str">
        <x:f>IF(DB161="","",ROUND(DB161/14*10,1))</x:f>
      </x:c>
      <x:c r="DD161" s="174"/>
      <x:c r="DE161" s="175" t="str">
        <x:f>IF(L161="","",IF(DC161="","Pending",IF(DD161="Yes","CONDITIONAL — safety override",IF(DC161&gt;=8,"HIGH",IF(DC161&gt;=5,"CONDITIONAL","LOW")))))</x:f>
      </x:c>
      <x:c r="DF161" s="174"/>
      <x:c r="DG161" s="174"/>
      <x:c r="DH161" s="174"/>
      <x:c r="DI161" s="174"/>
      <x:c r="DJ161" s="174"/>
      <x:c r="DK161" s="174"/>
      <x:c r="DL161" s="174"/>
      <x:c r="DM161" s="174"/>
      <x:c r="DN161" s="174"/>
      <x:c r="DO161" s="174"/>
      <x:c r="DP161" s="174"/>
      <x:c r="DQ161" s="174"/>
      <x:c r="DR161" s="174"/>
      <x:c r="DS161" s="174"/>
      <x:c r="DT161" s="174"/>
      <x:c r="DU161" s="174"/>
      <x:c r="DV161" s="174"/>
      <x:c r="DW161" s="174"/>
      <x:c r="DX161" s="174"/>
      <x:c r="DY161" s="174"/>
      <x:c r="DZ161" s="174"/>
      <x:c r="EA161" s="174"/>
      <x:c r="EB161" s="175" t="str">
        <x:f>IF(L161="","",IF(AND(F161="Claim-ready",CJ161="Yes",CL161="Yes",DZ161&lt;&gt;""),"Yes","No / Pending"))</x:f>
      </x:c>
      <x:c r="EC161" s="174"/>
      <x:c r="ED161" s="174"/>
      <x:c r="EE161" s="174"/>
      <x:c r="EF161" s="174"/>
      <x:c r="EG161" s="174"/>
      <x:c r="EH161" s="177"/>
      <x:c r="EI161" s="174"/>
      <x:c r="EJ161" s="174"/>
      <x:c r="EK161" s="174"/>
      <x:c r="EL161" s="177"/>
      <x:c r="EM161" s="174"/>
      <x:c r="EN161" s="181" t="str">
        <x:f>IF(L161="","",(IF(N161&lt;&gt;"",1,0)+IF(O161&lt;&gt;"",1,0)+IF(AJ161&lt;&gt;"",1,0)+IF(AU161&lt;&gt;"",1,0)+IF(BE161&lt;&gt;"",1,0)+IF(CF161&lt;&gt;"",1,0)+IF(CJ161="Yes",1,0)+IF(CL161="Yes",1,0)+IF(DE161&lt;&gt;"Pending",1,0)+IF(F161&lt;&gt;"",1,0)+IF(DZ161&lt;&gt;"",1,0)+IF(EI161&lt;&gt;"",1,0))/12)</x:f>
      </x:c>
    </x:row>
    <x:row r="162">
      <x:c r="A162" s="175" t="str">
        <x:f>IF(L162="","","EV-"&amp;TEXT(ROW()-3,"0000"))</x:f>
      </x:c>
      <x:c r="B162" s="174"/>
      <x:c r="C162" s="175" t="str">
        <x:f>IF(L162="","",IF(OR(CM162="Retracted",CN162="Retracted",F162="Not used"),"🔴 Do not use for conclusion",IF(OR(R162="Official / Institutional",I162="Official / contextual"),"🔵 Official / contextual",IF(OR(I162="Definition",I162="Framework",I162="Paradigm shift"),"🟣 Conceptual key source",IF(AND(CJ162="Yes",CL162="Yes",OR(CG162="High",CG162="Moderate"),CH162&lt;&gt;"High",CH162&lt;&gt;"Critical",F162="Claim-ready"),"🟢 Claim-ready","🟡 Caution / context")))))</x:f>
      </x:c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6"/>
      <x:c r="P162" s="174"/>
      <x:c r="Q162" s="174"/>
      <x:c r="R162" s="174"/>
      <x:c r="S162" s="174"/>
      <x:c r="T162" s="174"/>
      <x:c r="U162" s="174"/>
      <x:c r="V162" s="174"/>
      <x:c r="W162" s="175" t="str">
        <x:f>IF(V162="","",LOWER(SUBSTITUTE(SUBSTITUTE(SUBSTITUTE(SUBSTITUTE(TRIM(V162),"https://doi.org/",""),"http://doi.org/",""),"https://dx.doi.org/",""),"doi:","")))</x:f>
      </x:c>
      <x:c r="X162" s="174"/>
      <x:c r="Y162" s="174"/>
      <x:c r="Z162" s="174"/>
      <x:c r="AA162" s="174"/>
      <x:c r="AB162" s="174"/>
      <x:c r="AC162" s="174"/>
      <x:c r="AD162" s="177"/>
      <x:c r="AE162" s="177"/>
      <x:c r="AF162" s="174"/>
      <x:c r="AG162" s="174"/>
      <x:c r="AH162" s="174"/>
      <x:c r="AI162" s="174"/>
      <x:c r="AJ162" s="174"/>
      <x:c r="AK162" s="175" t="str">
        <x:f>IF(AJ162="","",IF(OR(LOWER(AJ162)="brazil",LOWER(AJ162)="brasil"),"Yes","No"))</x:f>
      </x:c>
      <x:c r="AL162" s="174"/>
      <x:c r="AM162" s="174"/>
      <x:c r="AN162" s="174"/>
      <x:c r="AO162" s="178"/>
      <x:c r="AP162" s="174"/>
      <x:c r="AQ162" s="174"/>
      <x:c r="AR162" s="174"/>
      <x:c r="AS162" s="174"/>
      <x:c r="AT162" s="174"/>
      <x:c r="AU162" s="174"/>
      <x:c r="AV162" s="174"/>
      <x:c r="AW162" s="174"/>
      <x:c r="AX162" s="174"/>
      <x:c r="AY162" s="174"/>
      <x:c r="AZ162" s="174"/>
      <x:c r="BA162" s="174"/>
      <x:c r="BB162" s="174"/>
      <x:c r="BC162" s="174"/>
      <x:c r="BD162" s="174"/>
      <x:c r="BE162" s="174"/>
      <x:c r="BF162" s="174"/>
      <x:c r="BG162" s="174"/>
      <x:c r="BH162" s="174"/>
      <x:c r="BI162" s="174"/>
      <x:c r="BJ162" s="174"/>
      <x:c r="BK162" s="174"/>
      <x:c r="BL162" s="174"/>
      <x:c r="BM162" s="174"/>
      <x:c r="BN162" s="174"/>
      <x:c r="BO162" s="174"/>
      <x:c r="BP162" s="174"/>
      <x:c r="BQ162" s="174"/>
      <x:c r="BR162" s="174"/>
      <x:c r="BS162" s="174"/>
      <x:c r="BT162" s="174"/>
      <x:c r="BU162" s="174"/>
      <x:c r="BV162" s="174"/>
      <x:c r="BW162" s="174"/>
      <x:c r="BX162" s="174"/>
      <x:c r="BY162" s="174"/>
      <x:c r="BZ162" s="174"/>
      <x:c r="CA162" s="174"/>
      <x:c r="CB162" s="174"/>
      <x:c r="CC162" s="174"/>
      <x:c r="CD162" s="174"/>
      <x:c r="CE162" s="174"/>
      <x:c r="CF162" s="174"/>
      <x:c r="CG162" s="174"/>
      <x:c r="CH162" s="174"/>
      <x:c r="CI162" s="179"/>
      <x:c r="CJ162" s="174"/>
      <x:c r="CK162" s="174"/>
      <x:c r="CL162" s="174"/>
      <x:c r="CM162" s="174"/>
      <x:c r="CN162" s="174"/>
      <x:c r="CO162" s="177"/>
      <x:c r="CP162" s="174"/>
      <x:c r="CQ162" s="174"/>
      <x:c r="CR162" s="174"/>
      <x:c r="CS162" s="174"/>
      <x:c r="CT162" s="174"/>
      <x:c r="CU162" s="176"/>
      <x:c r="CV162" s="176"/>
      <x:c r="CW162" s="176"/>
      <x:c r="CX162" s="176"/>
      <x:c r="CY162" s="176"/>
      <x:c r="CZ162" s="176"/>
      <x:c r="DA162" s="176"/>
      <x:c r="DB162" s="175" t="str">
        <x:f>IF(L162="","",IF(COUNT(CU162:DA162)&lt;7,"",SUM(CU162:DA162)))</x:f>
      </x:c>
      <x:c r="DC162" s="180" t="str">
        <x:f>IF(DB162="","",ROUND(DB162/14*10,1))</x:f>
      </x:c>
      <x:c r="DD162" s="174"/>
      <x:c r="DE162" s="175" t="str">
        <x:f>IF(L162="","",IF(DC162="","Pending",IF(DD162="Yes","CONDITIONAL — safety override",IF(DC162&gt;=8,"HIGH",IF(DC162&gt;=5,"CONDITIONAL","LOW")))))</x:f>
      </x:c>
      <x:c r="DF162" s="174"/>
      <x:c r="DG162" s="174"/>
      <x:c r="DH162" s="174"/>
      <x:c r="DI162" s="174"/>
      <x:c r="DJ162" s="174"/>
      <x:c r="DK162" s="174"/>
      <x:c r="DL162" s="174"/>
      <x:c r="DM162" s="174"/>
      <x:c r="DN162" s="174"/>
      <x:c r="DO162" s="174"/>
      <x:c r="DP162" s="174"/>
      <x:c r="DQ162" s="174"/>
      <x:c r="DR162" s="174"/>
      <x:c r="DS162" s="174"/>
      <x:c r="DT162" s="174"/>
      <x:c r="DU162" s="174"/>
      <x:c r="DV162" s="174"/>
      <x:c r="DW162" s="174"/>
      <x:c r="DX162" s="174"/>
      <x:c r="DY162" s="174"/>
      <x:c r="DZ162" s="174"/>
      <x:c r="EA162" s="174"/>
      <x:c r="EB162" s="175" t="str">
        <x:f>IF(L162="","",IF(AND(F162="Claim-ready",CJ162="Yes",CL162="Yes",DZ162&lt;&gt;""),"Yes","No / Pending"))</x:f>
      </x:c>
      <x:c r="EC162" s="174"/>
      <x:c r="ED162" s="174"/>
      <x:c r="EE162" s="174"/>
      <x:c r="EF162" s="174"/>
      <x:c r="EG162" s="174"/>
      <x:c r="EH162" s="177"/>
      <x:c r="EI162" s="174"/>
      <x:c r="EJ162" s="174"/>
      <x:c r="EK162" s="174"/>
      <x:c r="EL162" s="177"/>
      <x:c r="EM162" s="174"/>
      <x:c r="EN162" s="181" t="str">
        <x:f>IF(L162="","",(IF(N162&lt;&gt;"",1,0)+IF(O162&lt;&gt;"",1,0)+IF(AJ162&lt;&gt;"",1,0)+IF(AU162&lt;&gt;"",1,0)+IF(BE162&lt;&gt;"",1,0)+IF(CF162&lt;&gt;"",1,0)+IF(CJ162="Yes",1,0)+IF(CL162="Yes",1,0)+IF(DE162&lt;&gt;"Pending",1,0)+IF(F162&lt;&gt;"",1,0)+IF(DZ162&lt;&gt;"",1,0)+IF(EI162&lt;&gt;"",1,0))/12)</x:f>
      </x:c>
    </x:row>
    <x:row r="163">
      <x:c r="A163" s="175" t="str">
        <x:f>IF(L163="","","EV-"&amp;TEXT(ROW()-3,"0000"))</x:f>
      </x:c>
      <x:c r="B163" s="174"/>
      <x:c r="C163" s="175" t="str">
        <x:f>IF(L163="","",IF(OR(CM163="Retracted",CN163="Retracted",F163="Not used"),"🔴 Do not use for conclusion",IF(OR(R163="Official / Institutional",I163="Official / contextual"),"🔵 Official / contextual",IF(OR(I163="Definition",I163="Framework",I163="Paradigm shift"),"🟣 Conceptual key source",IF(AND(CJ163="Yes",CL163="Yes",OR(CG163="High",CG163="Moderate"),CH163&lt;&gt;"High",CH163&lt;&gt;"Critical",F163="Claim-ready"),"🟢 Claim-ready","🟡 Caution / context")))))</x:f>
      </x:c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6"/>
      <x:c r="P163" s="174"/>
      <x:c r="Q163" s="174"/>
      <x:c r="R163" s="174"/>
      <x:c r="S163" s="174"/>
      <x:c r="T163" s="174"/>
      <x:c r="U163" s="174"/>
      <x:c r="V163" s="174"/>
      <x:c r="W163" s="175" t="str">
        <x:f>IF(V163="","",LOWER(SUBSTITUTE(SUBSTITUTE(SUBSTITUTE(SUBSTITUTE(TRIM(V163),"https://doi.org/",""),"http://doi.org/",""),"https://dx.doi.org/",""),"doi:","")))</x:f>
      </x:c>
      <x:c r="X163" s="174"/>
      <x:c r="Y163" s="174"/>
      <x:c r="Z163" s="174"/>
      <x:c r="AA163" s="174"/>
      <x:c r="AB163" s="174"/>
      <x:c r="AC163" s="174"/>
      <x:c r="AD163" s="177"/>
      <x:c r="AE163" s="177"/>
      <x:c r="AF163" s="174"/>
      <x:c r="AG163" s="174"/>
      <x:c r="AH163" s="174"/>
      <x:c r="AI163" s="174"/>
      <x:c r="AJ163" s="174"/>
      <x:c r="AK163" s="175" t="str">
        <x:f>IF(AJ163="","",IF(OR(LOWER(AJ163)="brazil",LOWER(AJ163)="brasil"),"Yes","No"))</x:f>
      </x:c>
      <x:c r="AL163" s="174"/>
      <x:c r="AM163" s="174"/>
      <x:c r="AN163" s="174"/>
      <x:c r="AO163" s="178"/>
      <x:c r="AP163" s="174"/>
      <x:c r="AQ163" s="174"/>
      <x:c r="AR163" s="174"/>
      <x:c r="AS163" s="174"/>
      <x:c r="AT163" s="174"/>
      <x:c r="AU163" s="174"/>
      <x:c r="AV163" s="174"/>
      <x:c r="AW163" s="174"/>
      <x:c r="AX163" s="174"/>
      <x:c r="AY163" s="174"/>
      <x:c r="AZ163" s="174"/>
      <x:c r="BA163" s="174"/>
      <x:c r="BB163" s="174"/>
      <x:c r="BC163" s="174"/>
      <x:c r="BD163" s="174"/>
      <x:c r="BE163" s="174"/>
      <x:c r="BF163" s="174"/>
      <x:c r="BG163" s="174"/>
      <x:c r="BH163" s="174"/>
      <x:c r="BI163" s="174"/>
      <x:c r="BJ163" s="174"/>
      <x:c r="BK163" s="174"/>
      <x:c r="BL163" s="174"/>
      <x:c r="BM163" s="174"/>
      <x:c r="BN163" s="174"/>
      <x:c r="BO163" s="174"/>
      <x:c r="BP163" s="174"/>
      <x:c r="BQ163" s="174"/>
      <x:c r="BR163" s="174"/>
      <x:c r="BS163" s="174"/>
      <x:c r="BT163" s="174"/>
      <x:c r="BU163" s="174"/>
      <x:c r="BV163" s="174"/>
      <x:c r="BW163" s="174"/>
      <x:c r="BX163" s="174"/>
      <x:c r="BY163" s="174"/>
      <x:c r="BZ163" s="174"/>
      <x:c r="CA163" s="174"/>
      <x:c r="CB163" s="174"/>
      <x:c r="CC163" s="174"/>
      <x:c r="CD163" s="174"/>
      <x:c r="CE163" s="174"/>
      <x:c r="CF163" s="174"/>
      <x:c r="CG163" s="174"/>
      <x:c r="CH163" s="174"/>
      <x:c r="CI163" s="179"/>
      <x:c r="CJ163" s="174"/>
      <x:c r="CK163" s="174"/>
      <x:c r="CL163" s="174"/>
      <x:c r="CM163" s="174"/>
      <x:c r="CN163" s="174"/>
      <x:c r="CO163" s="177"/>
      <x:c r="CP163" s="174"/>
      <x:c r="CQ163" s="174"/>
      <x:c r="CR163" s="174"/>
      <x:c r="CS163" s="174"/>
      <x:c r="CT163" s="174"/>
      <x:c r="CU163" s="176"/>
      <x:c r="CV163" s="176"/>
      <x:c r="CW163" s="176"/>
      <x:c r="CX163" s="176"/>
      <x:c r="CY163" s="176"/>
      <x:c r="CZ163" s="176"/>
      <x:c r="DA163" s="176"/>
      <x:c r="DB163" s="175" t="str">
        <x:f>IF(L163="","",IF(COUNT(CU163:DA163)&lt;7,"",SUM(CU163:DA163)))</x:f>
      </x:c>
      <x:c r="DC163" s="180" t="str">
        <x:f>IF(DB163="","",ROUND(DB163/14*10,1))</x:f>
      </x:c>
      <x:c r="DD163" s="174"/>
      <x:c r="DE163" s="175" t="str">
        <x:f>IF(L163="","",IF(DC163="","Pending",IF(DD163="Yes","CONDITIONAL — safety override",IF(DC163&gt;=8,"HIGH",IF(DC163&gt;=5,"CONDITIONAL","LOW")))))</x:f>
      </x:c>
      <x:c r="DF163" s="174"/>
      <x:c r="DG163" s="174"/>
      <x:c r="DH163" s="174"/>
      <x:c r="DI163" s="174"/>
      <x:c r="DJ163" s="174"/>
      <x:c r="DK163" s="174"/>
      <x:c r="DL163" s="174"/>
      <x:c r="DM163" s="174"/>
      <x:c r="DN163" s="174"/>
      <x:c r="DO163" s="174"/>
      <x:c r="DP163" s="174"/>
      <x:c r="DQ163" s="174"/>
      <x:c r="DR163" s="174"/>
      <x:c r="DS163" s="174"/>
      <x:c r="DT163" s="174"/>
      <x:c r="DU163" s="174"/>
      <x:c r="DV163" s="174"/>
      <x:c r="DW163" s="174"/>
      <x:c r="DX163" s="174"/>
      <x:c r="DY163" s="174"/>
      <x:c r="DZ163" s="174"/>
      <x:c r="EA163" s="174"/>
      <x:c r="EB163" s="175" t="str">
        <x:f>IF(L163="","",IF(AND(F163="Claim-ready",CJ163="Yes",CL163="Yes",DZ163&lt;&gt;""),"Yes","No / Pending"))</x:f>
      </x:c>
      <x:c r="EC163" s="174"/>
      <x:c r="ED163" s="174"/>
      <x:c r="EE163" s="174"/>
      <x:c r="EF163" s="174"/>
      <x:c r="EG163" s="174"/>
      <x:c r="EH163" s="177"/>
      <x:c r="EI163" s="174"/>
      <x:c r="EJ163" s="174"/>
      <x:c r="EK163" s="174"/>
      <x:c r="EL163" s="177"/>
      <x:c r="EM163" s="174"/>
      <x:c r="EN163" s="181" t="str">
        <x:f>IF(L163="","",(IF(N163&lt;&gt;"",1,0)+IF(O163&lt;&gt;"",1,0)+IF(AJ163&lt;&gt;"",1,0)+IF(AU163&lt;&gt;"",1,0)+IF(BE163&lt;&gt;"",1,0)+IF(CF163&lt;&gt;"",1,0)+IF(CJ163="Yes",1,0)+IF(CL163="Yes",1,0)+IF(DE163&lt;&gt;"Pending",1,0)+IF(F163&lt;&gt;"",1,0)+IF(DZ163&lt;&gt;"",1,0)+IF(EI163&lt;&gt;"",1,0))/12)</x:f>
      </x:c>
    </x:row>
    <x:row r="164">
      <x:c r="A164" s="175" t="str">
        <x:f>IF(L164="","","EV-"&amp;TEXT(ROW()-3,"0000"))</x:f>
      </x:c>
      <x:c r="B164" s="174"/>
      <x:c r="C164" s="175" t="str">
        <x:f>IF(L164="","",IF(OR(CM164="Retracted",CN164="Retracted",F164="Not used"),"🔴 Do not use for conclusion",IF(OR(R164="Official / Institutional",I164="Official / contextual"),"🔵 Official / contextual",IF(OR(I164="Definition",I164="Framework",I164="Paradigm shift"),"🟣 Conceptual key source",IF(AND(CJ164="Yes",CL164="Yes",OR(CG164="High",CG164="Moderate"),CH164&lt;&gt;"High",CH164&lt;&gt;"Critical",F164="Claim-ready"),"🟢 Claim-ready","🟡 Caution / context")))))</x:f>
      </x:c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6"/>
      <x:c r="P164" s="174"/>
      <x:c r="Q164" s="174"/>
      <x:c r="R164" s="174"/>
      <x:c r="S164" s="174"/>
      <x:c r="T164" s="174"/>
      <x:c r="U164" s="174"/>
      <x:c r="V164" s="174"/>
      <x:c r="W164" s="175" t="str">
        <x:f>IF(V164="","",LOWER(SUBSTITUTE(SUBSTITUTE(SUBSTITUTE(SUBSTITUTE(TRIM(V164),"https://doi.org/",""),"http://doi.org/",""),"https://dx.doi.org/",""),"doi:","")))</x:f>
      </x:c>
      <x:c r="X164" s="174"/>
      <x:c r="Y164" s="174"/>
      <x:c r="Z164" s="174"/>
      <x:c r="AA164" s="174"/>
      <x:c r="AB164" s="174"/>
      <x:c r="AC164" s="174"/>
      <x:c r="AD164" s="177"/>
      <x:c r="AE164" s="177"/>
      <x:c r="AF164" s="174"/>
      <x:c r="AG164" s="174"/>
      <x:c r="AH164" s="174"/>
      <x:c r="AI164" s="174"/>
      <x:c r="AJ164" s="174"/>
      <x:c r="AK164" s="175" t="str">
        <x:f>IF(AJ164="","",IF(OR(LOWER(AJ164)="brazil",LOWER(AJ164)="brasil"),"Yes","No"))</x:f>
      </x:c>
      <x:c r="AL164" s="174"/>
      <x:c r="AM164" s="174"/>
      <x:c r="AN164" s="174"/>
      <x:c r="AO164" s="178"/>
      <x:c r="AP164" s="174"/>
      <x:c r="AQ164" s="174"/>
      <x:c r="AR164" s="174"/>
      <x:c r="AS164" s="174"/>
      <x:c r="AT164" s="174"/>
      <x:c r="AU164" s="174"/>
      <x:c r="AV164" s="174"/>
      <x:c r="AW164" s="174"/>
      <x:c r="AX164" s="174"/>
      <x:c r="AY164" s="174"/>
      <x:c r="AZ164" s="174"/>
      <x:c r="BA164" s="174"/>
      <x:c r="BB164" s="174"/>
      <x:c r="BC164" s="174"/>
      <x:c r="BD164" s="174"/>
      <x:c r="BE164" s="174"/>
      <x:c r="BF164" s="174"/>
      <x:c r="BG164" s="174"/>
      <x:c r="BH164" s="174"/>
      <x:c r="BI164" s="174"/>
      <x:c r="BJ164" s="174"/>
      <x:c r="BK164" s="174"/>
      <x:c r="BL164" s="174"/>
      <x:c r="BM164" s="174"/>
      <x:c r="BN164" s="174"/>
      <x:c r="BO164" s="174"/>
      <x:c r="BP164" s="174"/>
      <x:c r="BQ164" s="174"/>
      <x:c r="BR164" s="174"/>
      <x:c r="BS164" s="174"/>
      <x:c r="BT164" s="174"/>
      <x:c r="BU164" s="174"/>
      <x:c r="BV164" s="174"/>
      <x:c r="BW164" s="174"/>
      <x:c r="BX164" s="174"/>
      <x:c r="BY164" s="174"/>
      <x:c r="BZ164" s="174"/>
      <x:c r="CA164" s="174"/>
      <x:c r="CB164" s="174"/>
      <x:c r="CC164" s="174"/>
      <x:c r="CD164" s="174"/>
      <x:c r="CE164" s="174"/>
      <x:c r="CF164" s="174"/>
      <x:c r="CG164" s="174"/>
      <x:c r="CH164" s="174"/>
      <x:c r="CI164" s="179"/>
      <x:c r="CJ164" s="174"/>
      <x:c r="CK164" s="174"/>
      <x:c r="CL164" s="174"/>
      <x:c r="CM164" s="174"/>
      <x:c r="CN164" s="174"/>
      <x:c r="CO164" s="177"/>
      <x:c r="CP164" s="174"/>
      <x:c r="CQ164" s="174"/>
      <x:c r="CR164" s="174"/>
      <x:c r="CS164" s="174"/>
      <x:c r="CT164" s="174"/>
      <x:c r="CU164" s="176"/>
      <x:c r="CV164" s="176"/>
      <x:c r="CW164" s="176"/>
      <x:c r="CX164" s="176"/>
      <x:c r="CY164" s="176"/>
      <x:c r="CZ164" s="176"/>
      <x:c r="DA164" s="176"/>
      <x:c r="DB164" s="175" t="str">
        <x:f>IF(L164="","",IF(COUNT(CU164:DA164)&lt;7,"",SUM(CU164:DA164)))</x:f>
      </x:c>
      <x:c r="DC164" s="180" t="str">
        <x:f>IF(DB164="","",ROUND(DB164/14*10,1))</x:f>
      </x:c>
      <x:c r="DD164" s="174"/>
      <x:c r="DE164" s="175" t="str">
        <x:f>IF(L164="","",IF(DC164="","Pending",IF(DD164="Yes","CONDITIONAL — safety override",IF(DC164&gt;=8,"HIGH",IF(DC164&gt;=5,"CONDITIONAL","LOW")))))</x:f>
      </x:c>
      <x:c r="DF164" s="174"/>
      <x:c r="DG164" s="174"/>
      <x:c r="DH164" s="174"/>
      <x:c r="DI164" s="174"/>
      <x:c r="DJ164" s="174"/>
      <x:c r="DK164" s="174"/>
      <x:c r="DL164" s="174"/>
      <x:c r="DM164" s="174"/>
      <x:c r="DN164" s="174"/>
      <x:c r="DO164" s="174"/>
      <x:c r="DP164" s="174"/>
      <x:c r="DQ164" s="174"/>
      <x:c r="DR164" s="174"/>
      <x:c r="DS164" s="174"/>
      <x:c r="DT164" s="174"/>
      <x:c r="DU164" s="174"/>
      <x:c r="DV164" s="174"/>
      <x:c r="DW164" s="174"/>
      <x:c r="DX164" s="174"/>
      <x:c r="DY164" s="174"/>
      <x:c r="DZ164" s="174"/>
      <x:c r="EA164" s="174"/>
      <x:c r="EB164" s="175" t="str">
        <x:f>IF(L164="","",IF(AND(F164="Claim-ready",CJ164="Yes",CL164="Yes",DZ164&lt;&gt;""),"Yes","No / Pending"))</x:f>
      </x:c>
      <x:c r="EC164" s="174"/>
      <x:c r="ED164" s="174"/>
      <x:c r="EE164" s="174"/>
      <x:c r="EF164" s="174"/>
      <x:c r="EG164" s="174"/>
      <x:c r="EH164" s="177"/>
      <x:c r="EI164" s="174"/>
      <x:c r="EJ164" s="174"/>
      <x:c r="EK164" s="174"/>
      <x:c r="EL164" s="177"/>
      <x:c r="EM164" s="174"/>
      <x:c r="EN164" s="181" t="str">
        <x:f>IF(L164="","",(IF(N164&lt;&gt;"",1,0)+IF(O164&lt;&gt;"",1,0)+IF(AJ164&lt;&gt;"",1,0)+IF(AU164&lt;&gt;"",1,0)+IF(BE164&lt;&gt;"",1,0)+IF(CF164&lt;&gt;"",1,0)+IF(CJ164="Yes",1,0)+IF(CL164="Yes",1,0)+IF(DE164&lt;&gt;"Pending",1,0)+IF(F164&lt;&gt;"",1,0)+IF(DZ164&lt;&gt;"",1,0)+IF(EI164&lt;&gt;"",1,0))/12)</x:f>
      </x:c>
    </x:row>
    <x:row r="165">
      <x:c r="A165" s="175" t="str">
        <x:f>IF(L165="","","EV-"&amp;TEXT(ROW()-3,"0000"))</x:f>
      </x:c>
      <x:c r="B165" s="174"/>
      <x:c r="C165" s="175" t="str">
        <x:f>IF(L165="","",IF(OR(CM165="Retracted",CN165="Retracted",F165="Not used"),"🔴 Do not use for conclusion",IF(OR(R165="Official / Institutional",I165="Official / contextual"),"🔵 Official / contextual",IF(OR(I165="Definition",I165="Framework",I165="Paradigm shift"),"🟣 Conceptual key source",IF(AND(CJ165="Yes",CL165="Yes",OR(CG165="High",CG165="Moderate"),CH165&lt;&gt;"High",CH165&lt;&gt;"Critical",F165="Claim-ready"),"🟢 Claim-ready","🟡 Caution / context")))))</x:f>
      </x:c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6"/>
      <x:c r="P165" s="174"/>
      <x:c r="Q165" s="174"/>
      <x:c r="R165" s="174"/>
      <x:c r="S165" s="174"/>
      <x:c r="T165" s="174"/>
      <x:c r="U165" s="174"/>
      <x:c r="V165" s="174"/>
      <x:c r="W165" s="175" t="str">
        <x:f>IF(V165="","",LOWER(SUBSTITUTE(SUBSTITUTE(SUBSTITUTE(SUBSTITUTE(TRIM(V165),"https://doi.org/",""),"http://doi.org/",""),"https://dx.doi.org/",""),"doi:","")))</x:f>
      </x:c>
      <x:c r="X165" s="174"/>
      <x:c r="Y165" s="174"/>
      <x:c r="Z165" s="174"/>
      <x:c r="AA165" s="174"/>
      <x:c r="AB165" s="174"/>
      <x:c r="AC165" s="174"/>
      <x:c r="AD165" s="177"/>
      <x:c r="AE165" s="177"/>
      <x:c r="AF165" s="174"/>
      <x:c r="AG165" s="174"/>
      <x:c r="AH165" s="174"/>
      <x:c r="AI165" s="174"/>
      <x:c r="AJ165" s="174"/>
      <x:c r="AK165" s="175" t="str">
        <x:f>IF(AJ165="","",IF(OR(LOWER(AJ165)="brazil",LOWER(AJ165)="brasil"),"Yes","No"))</x:f>
      </x:c>
      <x:c r="AL165" s="174"/>
      <x:c r="AM165" s="174"/>
      <x:c r="AN165" s="174"/>
      <x:c r="AO165" s="178"/>
      <x:c r="AP165" s="174"/>
      <x:c r="AQ165" s="174"/>
      <x:c r="AR165" s="174"/>
      <x:c r="AS165" s="174"/>
      <x:c r="AT165" s="174"/>
      <x:c r="AU165" s="174"/>
      <x:c r="AV165" s="174"/>
      <x:c r="AW165" s="174"/>
      <x:c r="AX165" s="174"/>
      <x:c r="AY165" s="174"/>
      <x:c r="AZ165" s="174"/>
      <x:c r="BA165" s="174"/>
      <x:c r="BB165" s="174"/>
      <x:c r="BC165" s="174"/>
      <x:c r="BD165" s="174"/>
      <x:c r="BE165" s="174"/>
      <x:c r="BF165" s="174"/>
      <x:c r="BG165" s="174"/>
      <x:c r="BH165" s="174"/>
      <x:c r="BI165" s="174"/>
      <x:c r="BJ165" s="174"/>
      <x:c r="BK165" s="174"/>
      <x:c r="BL165" s="174"/>
      <x:c r="BM165" s="174"/>
      <x:c r="BN165" s="174"/>
      <x:c r="BO165" s="174"/>
      <x:c r="BP165" s="174"/>
      <x:c r="BQ165" s="174"/>
      <x:c r="BR165" s="174"/>
      <x:c r="BS165" s="174"/>
      <x:c r="BT165" s="174"/>
      <x:c r="BU165" s="174"/>
      <x:c r="BV165" s="174"/>
      <x:c r="BW165" s="174"/>
      <x:c r="BX165" s="174"/>
      <x:c r="BY165" s="174"/>
      <x:c r="BZ165" s="174"/>
      <x:c r="CA165" s="174"/>
      <x:c r="CB165" s="174"/>
      <x:c r="CC165" s="174"/>
      <x:c r="CD165" s="174"/>
      <x:c r="CE165" s="174"/>
      <x:c r="CF165" s="174"/>
      <x:c r="CG165" s="174"/>
      <x:c r="CH165" s="174"/>
      <x:c r="CI165" s="179"/>
      <x:c r="CJ165" s="174"/>
      <x:c r="CK165" s="174"/>
      <x:c r="CL165" s="174"/>
      <x:c r="CM165" s="174"/>
      <x:c r="CN165" s="174"/>
      <x:c r="CO165" s="177"/>
      <x:c r="CP165" s="174"/>
      <x:c r="CQ165" s="174"/>
      <x:c r="CR165" s="174"/>
      <x:c r="CS165" s="174"/>
      <x:c r="CT165" s="174"/>
      <x:c r="CU165" s="176"/>
      <x:c r="CV165" s="176"/>
      <x:c r="CW165" s="176"/>
      <x:c r="CX165" s="176"/>
      <x:c r="CY165" s="176"/>
      <x:c r="CZ165" s="176"/>
      <x:c r="DA165" s="176"/>
      <x:c r="DB165" s="175" t="str">
        <x:f>IF(L165="","",IF(COUNT(CU165:DA165)&lt;7,"",SUM(CU165:DA165)))</x:f>
      </x:c>
      <x:c r="DC165" s="180" t="str">
        <x:f>IF(DB165="","",ROUND(DB165/14*10,1))</x:f>
      </x:c>
      <x:c r="DD165" s="174"/>
      <x:c r="DE165" s="175" t="str">
        <x:f>IF(L165="","",IF(DC165="","Pending",IF(DD165="Yes","CONDITIONAL — safety override",IF(DC165&gt;=8,"HIGH",IF(DC165&gt;=5,"CONDITIONAL","LOW")))))</x:f>
      </x:c>
      <x:c r="DF165" s="174"/>
      <x:c r="DG165" s="174"/>
      <x:c r="DH165" s="174"/>
      <x:c r="DI165" s="174"/>
      <x:c r="DJ165" s="174"/>
      <x:c r="DK165" s="174"/>
      <x:c r="DL165" s="174"/>
      <x:c r="DM165" s="174"/>
      <x:c r="DN165" s="174"/>
      <x:c r="DO165" s="174"/>
      <x:c r="DP165" s="174"/>
      <x:c r="DQ165" s="174"/>
      <x:c r="DR165" s="174"/>
      <x:c r="DS165" s="174"/>
      <x:c r="DT165" s="174"/>
      <x:c r="DU165" s="174"/>
      <x:c r="DV165" s="174"/>
      <x:c r="DW165" s="174"/>
      <x:c r="DX165" s="174"/>
      <x:c r="DY165" s="174"/>
      <x:c r="DZ165" s="174"/>
      <x:c r="EA165" s="174"/>
      <x:c r="EB165" s="175" t="str">
        <x:f>IF(L165="","",IF(AND(F165="Claim-ready",CJ165="Yes",CL165="Yes",DZ165&lt;&gt;""),"Yes","No / Pending"))</x:f>
      </x:c>
      <x:c r="EC165" s="174"/>
      <x:c r="ED165" s="174"/>
      <x:c r="EE165" s="174"/>
      <x:c r="EF165" s="174"/>
      <x:c r="EG165" s="174"/>
      <x:c r="EH165" s="177"/>
      <x:c r="EI165" s="174"/>
      <x:c r="EJ165" s="174"/>
      <x:c r="EK165" s="174"/>
      <x:c r="EL165" s="177"/>
      <x:c r="EM165" s="174"/>
      <x:c r="EN165" s="181" t="str">
        <x:f>IF(L165="","",(IF(N165&lt;&gt;"",1,0)+IF(O165&lt;&gt;"",1,0)+IF(AJ165&lt;&gt;"",1,0)+IF(AU165&lt;&gt;"",1,0)+IF(BE165&lt;&gt;"",1,0)+IF(CF165&lt;&gt;"",1,0)+IF(CJ165="Yes",1,0)+IF(CL165="Yes",1,0)+IF(DE165&lt;&gt;"Pending",1,0)+IF(F165&lt;&gt;"",1,0)+IF(DZ165&lt;&gt;"",1,0)+IF(EI165&lt;&gt;"",1,0))/12)</x:f>
      </x:c>
    </x:row>
    <x:row r="166">
      <x:c r="A166" s="175" t="str">
        <x:f>IF(L166="","","EV-"&amp;TEXT(ROW()-3,"0000"))</x:f>
      </x:c>
      <x:c r="B166" s="174"/>
      <x:c r="C166" s="175" t="str">
        <x:f>IF(L166="","",IF(OR(CM166="Retracted",CN166="Retracted",F166="Not used"),"🔴 Do not use for conclusion",IF(OR(R166="Official / Institutional",I166="Official / contextual"),"🔵 Official / contextual",IF(OR(I166="Definition",I166="Framework",I166="Paradigm shift"),"🟣 Conceptual key source",IF(AND(CJ166="Yes",CL166="Yes",OR(CG166="High",CG166="Moderate"),CH166&lt;&gt;"High",CH166&lt;&gt;"Critical",F166="Claim-ready"),"🟢 Claim-ready","🟡 Caution / context")))))</x:f>
      </x:c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6"/>
      <x:c r="P166" s="174"/>
      <x:c r="Q166" s="174"/>
      <x:c r="R166" s="174"/>
      <x:c r="S166" s="174"/>
      <x:c r="T166" s="174"/>
      <x:c r="U166" s="174"/>
      <x:c r="V166" s="174"/>
      <x:c r="W166" s="175" t="str">
        <x:f>IF(V166="","",LOWER(SUBSTITUTE(SUBSTITUTE(SUBSTITUTE(SUBSTITUTE(TRIM(V166),"https://doi.org/",""),"http://doi.org/",""),"https://dx.doi.org/",""),"doi:","")))</x:f>
      </x:c>
      <x:c r="X166" s="174"/>
      <x:c r="Y166" s="174"/>
      <x:c r="Z166" s="174"/>
      <x:c r="AA166" s="174"/>
      <x:c r="AB166" s="174"/>
      <x:c r="AC166" s="174"/>
      <x:c r="AD166" s="177"/>
      <x:c r="AE166" s="177"/>
      <x:c r="AF166" s="174"/>
      <x:c r="AG166" s="174"/>
      <x:c r="AH166" s="174"/>
      <x:c r="AI166" s="174"/>
      <x:c r="AJ166" s="174"/>
      <x:c r="AK166" s="175" t="str">
        <x:f>IF(AJ166="","",IF(OR(LOWER(AJ166)="brazil",LOWER(AJ166)="brasil"),"Yes","No"))</x:f>
      </x:c>
      <x:c r="AL166" s="174"/>
      <x:c r="AM166" s="174"/>
      <x:c r="AN166" s="174"/>
      <x:c r="AO166" s="178"/>
      <x:c r="AP166" s="174"/>
      <x:c r="AQ166" s="174"/>
      <x:c r="AR166" s="174"/>
      <x:c r="AS166" s="174"/>
      <x:c r="AT166" s="174"/>
      <x:c r="AU166" s="174"/>
      <x:c r="AV166" s="174"/>
      <x:c r="AW166" s="174"/>
      <x:c r="AX166" s="174"/>
      <x:c r="AY166" s="174"/>
      <x:c r="AZ166" s="174"/>
      <x:c r="BA166" s="174"/>
      <x:c r="BB166" s="174"/>
      <x:c r="BC166" s="174"/>
      <x:c r="BD166" s="174"/>
      <x:c r="BE166" s="174"/>
      <x:c r="BF166" s="174"/>
      <x:c r="BG166" s="174"/>
      <x:c r="BH166" s="174"/>
      <x:c r="BI166" s="174"/>
      <x:c r="BJ166" s="174"/>
      <x:c r="BK166" s="174"/>
      <x:c r="BL166" s="174"/>
      <x:c r="BM166" s="174"/>
      <x:c r="BN166" s="174"/>
      <x:c r="BO166" s="174"/>
      <x:c r="BP166" s="174"/>
      <x:c r="BQ166" s="174"/>
      <x:c r="BR166" s="174"/>
      <x:c r="BS166" s="174"/>
      <x:c r="BT166" s="174"/>
      <x:c r="BU166" s="174"/>
      <x:c r="BV166" s="174"/>
      <x:c r="BW166" s="174"/>
      <x:c r="BX166" s="174"/>
      <x:c r="BY166" s="174"/>
      <x:c r="BZ166" s="174"/>
      <x:c r="CA166" s="174"/>
      <x:c r="CB166" s="174"/>
      <x:c r="CC166" s="174"/>
      <x:c r="CD166" s="174"/>
      <x:c r="CE166" s="174"/>
      <x:c r="CF166" s="174"/>
      <x:c r="CG166" s="174"/>
      <x:c r="CH166" s="174"/>
      <x:c r="CI166" s="179"/>
      <x:c r="CJ166" s="174"/>
      <x:c r="CK166" s="174"/>
      <x:c r="CL166" s="174"/>
      <x:c r="CM166" s="174"/>
      <x:c r="CN166" s="174"/>
      <x:c r="CO166" s="177"/>
      <x:c r="CP166" s="174"/>
      <x:c r="CQ166" s="174"/>
      <x:c r="CR166" s="174"/>
      <x:c r="CS166" s="174"/>
      <x:c r="CT166" s="174"/>
      <x:c r="CU166" s="176"/>
      <x:c r="CV166" s="176"/>
      <x:c r="CW166" s="176"/>
      <x:c r="CX166" s="176"/>
      <x:c r="CY166" s="176"/>
      <x:c r="CZ166" s="176"/>
      <x:c r="DA166" s="176"/>
      <x:c r="DB166" s="175" t="str">
        <x:f>IF(L166="","",IF(COUNT(CU166:DA166)&lt;7,"",SUM(CU166:DA166)))</x:f>
      </x:c>
      <x:c r="DC166" s="180" t="str">
        <x:f>IF(DB166="","",ROUND(DB166/14*10,1))</x:f>
      </x:c>
      <x:c r="DD166" s="174"/>
      <x:c r="DE166" s="175" t="str">
        <x:f>IF(L166="","",IF(DC166="","Pending",IF(DD166="Yes","CONDITIONAL — safety override",IF(DC166&gt;=8,"HIGH",IF(DC166&gt;=5,"CONDITIONAL","LOW")))))</x:f>
      </x:c>
      <x:c r="DF166" s="174"/>
      <x:c r="DG166" s="174"/>
      <x:c r="DH166" s="174"/>
      <x:c r="DI166" s="174"/>
      <x:c r="DJ166" s="174"/>
      <x:c r="DK166" s="174"/>
      <x:c r="DL166" s="174"/>
      <x:c r="DM166" s="174"/>
      <x:c r="DN166" s="174"/>
      <x:c r="DO166" s="174"/>
      <x:c r="DP166" s="174"/>
      <x:c r="DQ166" s="174"/>
      <x:c r="DR166" s="174"/>
      <x:c r="DS166" s="174"/>
      <x:c r="DT166" s="174"/>
      <x:c r="DU166" s="174"/>
      <x:c r="DV166" s="174"/>
      <x:c r="DW166" s="174"/>
      <x:c r="DX166" s="174"/>
      <x:c r="DY166" s="174"/>
      <x:c r="DZ166" s="174"/>
      <x:c r="EA166" s="174"/>
      <x:c r="EB166" s="175" t="str">
        <x:f>IF(L166="","",IF(AND(F166="Claim-ready",CJ166="Yes",CL166="Yes",DZ166&lt;&gt;""),"Yes","No / Pending"))</x:f>
      </x:c>
      <x:c r="EC166" s="174"/>
      <x:c r="ED166" s="174"/>
      <x:c r="EE166" s="174"/>
      <x:c r="EF166" s="174"/>
      <x:c r="EG166" s="174"/>
      <x:c r="EH166" s="177"/>
      <x:c r="EI166" s="174"/>
      <x:c r="EJ166" s="174"/>
      <x:c r="EK166" s="174"/>
      <x:c r="EL166" s="177"/>
      <x:c r="EM166" s="174"/>
      <x:c r="EN166" s="181" t="str">
        <x:f>IF(L166="","",(IF(N166&lt;&gt;"",1,0)+IF(O166&lt;&gt;"",1,0)+IF(AJ166&lt;&gt;"",1,0)+IF(AU166&lt;&gt;"",1,0)+IF(BE166&lt;&gt;"",1,0)+IF(CF166&lt;&gt;"",1,0)+IF(CJ166="Yes",1,0)+IF(CL166="Yes",1,0)+IF(DE166&lt;&gt;"Pending",1,0)+IF(F166&lt;&gt;"",1,0)+IF(DZ166&lt;&gt;"",1,0)+IF(EI166&lt;&gt;"",1,0))/12)</x:f>
      </x:c>
    </x:row>
    <x:row r="167">
      <x:c r="A167" s="175" t="str">
        <x:f>IF(L167="","","EV-"&amp;TEXT(ROW()-3,"0000"))</x:f>
      </x:c>
      <x:c r="B167" s="174"/>
      <x:c r="C167" s="175" t="str">
        <x:f>IF(L167="","",IF(OR(CM167="Retracted",CN167="Retracted",F167="Not used"),"🔴 Do not use for conclusion",IF(OR(R167="Official / Institutional",I167="Official / contextual"),"🔵 Official / contextual",IF(OR(I167="Definition",I167="Framework",I167="Paradigm shift"),"🟣 Conceptual key source",IF(AND(CJ167="Yes",CL167="Yes",OR(CG167="High",CG167="Moderate"),CH167&lt;&gt;"High",CH167&lt;&gt;"Critical",F167="Claim-ready"),"🟢 Claim-ready","🟡 Caution / context")))))</x:f>
      </x:c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6"/>
      <x:c r="P167" s="174"/>
      <x:c r="Q167" s="174"/>
      <x:c r="R167" s="174"/>
      <x:c r="S167" s="174"/>
      <x:c r="T167" s="174"/>
      <x:c r="U167" s="174"/>
      <x:c r="V167" s="174"/>
      <x:c r="W167" s="175" t="str">
        <x:f>IF(V167="","",LOWER(SUBSTITUTE(SUBSTITUTE(SUBSTITUTE(SUBSTITUTE(TRIM(V167),"https://doi.org/",""),"http://doi.org/",""),"https://dx.doi.org/",""),"doi:","")))</x:f>
      </x:c>
      <x:c r="X167" s="174"/>
      <x:c r="Y167" s="174"/>
      <x:c r="Z167" s="174"/>
      <x:c r="AA167" s="174"/>
      <x:c r="AB167" s="174"/>
      <x:c r="AC167" s="174"/>
      <x:c r="AD167" s="177"/>
      <x:c r="AE167" s="177"/>
      <x:c r="AF167" s="174"/>
      <x:c r="AG167" s="174"/>
      <x:c r="AH167" s="174"/>
      <x:c r="AI167" s="174"/>
      <x:c r="AJ167" s="174"/>
      <x:c r="AK167" s="175" t="str">
        <x:f>IF(AJ167="","",IF(OR(LOWER(AJ167)="brazil",LOWER(AJ167)="brasil"),"Yes","No"))</x:f>
      </x:c>
      <x:c r="AL167" s="174"/>
      <x:c r="AM167" s="174"/>
      <x:c r="AN167" s="174"/>
      <x:c r="AO167" s="178"/>
      <x:c r="AP167" s="174"/>
      <x:c r="AQ167" s="174"/>
      <x:c r="AR167" s="174"/>
      <x:c r="AS167" s="174"/>
      <x:c r="AT167" s="174"/>
      <x:c r="AU167" s="174"/>
      <x:c r="AV167" s="174"/>
      <x:c r="AW167" s="174"/>
      <x:c r="AX167" s="174"/>
      <x:c r="AY167" s="174"/>
      <x:c r="AZ167" s="174"/>
      <x:c r="BA167" s="174"/>
      <x:c r="BB167" s="174"/>
      <x:c r="BC167" s="174"/>
      <x:c r="BD167" s="174"/>
      <x:c r="BE167" s="174"/>
      <x:c r="BF167" s="174"/>
      <x:c r="BG167" s="174"/>
      <x:c r="BH167" s="174"/>
      <x:c r="BI167" s="174"/>
      <x:c r="BJ167" s="174"/>
      <x:c r="BK167" s="174"/>
      <x:c r="BL167" s="174"/>
      <x:c r="BM167" s="174"/>
      <x:c r="BN167" s="174"/>
      <x:c r="BO167" s="174"/>
      <x:c r="BP167" s="174"/>
      <x:c r="BQ167" s="174"/>
      <x:c r="BR167" s="174"/>
      <x:c r="BS167" s="174"/>
      <x:c r="BT167" s="174"/>
      <x:c r="BU167" s="174"/>
      <x:c r="BV167" s="174"/>
      <x:c r="BW167" s="174"/>
      <x:c r="BX167" s="174"/>
      <x:c r="BY167" s="174"/>
      <x:c r="BZ167" s="174"/>
      <x:c r="CA167" s="174"/>
      <x:c r="CB167" s="174"/>
      <x:c r="CC167" s="174"/>
      <x:c r="CD167" s="174"/>
      <x:c r="CE167" s="174"/>
      <x:c r="CF167" s="174"/>
      <x:c r="CG167" s="174"/>
      <x:c r="CH167" s="174"/>
      <x:c r="CI167" s="179"/>
      <x:c r="CJ167" s="174"/>
      <x:c r="CK167" s="174"/>
      <x:c r="CL167" s="174"/>
      <x:c r="CM167" s="174"/>
      <x:c r="CN167" s="174"/>
      <x:c r="CO167" s="177"/>
      <x:c r="CP167" s="174"/>
      <x:c r="CQ167" s="174"/>
      <x:c r="CR167" s="174"/>
      <x:c r="CS167" s="174"/>
      <x:c r="CT167" s="174"/>
      <x:c r="CU167" s="176"/>
      <x:c r="CV167" s="176"/>
      <x:c r="CW167" s="176"/>
      <x:c r="CX167" s="176"/>
      <x:c r="CY167" s="176"/>
      <x:c r="CZ167" s="176"/>
      <x:c r="DA167" s="176"/>
      <x:c r="DB167" s="175" t="str">
        <x:f>IF(L167="","",IF(COUNT(CU167:DA167)&lt;7,"",SUM(CU167:DA167)))</x:f>
      </x:c>
      <x:c r="DC167" s="180" t="str">
        <x:f>IF(DB167="","",ROUND(DB167/14*10,1))</x:f>
      </x:c>
      <x:c r="DD167" s="174"/>
      <x:c r="DE167" s="175" t="str">
        <x:f>IF(L167="","",IF(DC167="","Pending",IF(DD167="Yes","CONDITIONAL — safety override",IF(DC167&gt;=8,"HIGH",IF(DC167&gt;=5,"CONDITIONAL","LOW")))))</x:f>
      </x:c>
      <x:c r="DF167" s="174"/>
      <x:c r="DG167" s="174"/>
      <x:c r="DH167" s="174"/>
      <x:c r="DI167" s="174"/>
      <x:c r="DJ167" s="174"/>
      <x:c r="DK167" s="174"/>
      <x:c r="DL167" s="174"/>
      <x:c r="DM167" s="174"/>
      <x:c r="DN167" s="174"/>
      <x:c r="DO167" s="174"/>
      <x:c r="DP167" s="174"/>
      <x:c r="DQ167" s="174"/>
      <x:c r="DR167" s="174"/>
      <x:c r="DS167" s="174"/>
      <x:c r="DT167" s="174"/>
      <x:c r="DU167" s="174"/>
      <x:c r="DV167" s="174"/>
      <x:c r="DW167" s="174"/>
      <x:c r="DX167" s="174"/>
      <x:c r="DY167" s="174"/>
      <x:c r="DZ167" s="174"/>
      <x:c r="EA167" s="174"/>
      <x:c r="EB167" s="175" t="str">
        <x:f>IF(L167="","",IF(AND(F167="Claim-ready",CJ167="Yes",CL167="Yes",DZ167&lt;&gt;""),"Yes","No / Pending"))</x:f>
      </x:c>
      <x:c r="EC167" s="174"/>
      <x:c r="ED167" s="174"/>
      <x:c r="EE167" s="174"/>
      <x:c r="EF167" s="174"/>
      <x:c r="EG167" s="174"/>
      <x:c r="EH167" s="177"/>
      <x:c r="EI167" s="174"/>
      <x:c r="EJ167" s="174"/>
      <x:c r="EK167" s="174"/>
      <x:c r="EL167" s="177"/>
      <x:c r="EM167" s="174"/>
      <x:c r="EN167" s="181" t="str">
        <x:f>IF(L167="","",(IF(N167&lt;&gt;"",1,0)+IF(O167&lt;&gt;"",1,0)+IF(AJ167&lt;&gt;"",1,0)+IF(AU167&lt;&gt;"",1,0)+IF(BE167&lt;&gt;"",1,0)+IF(CF167&lt;&gt;"",1,0)+IF(CJ167="Yes",1,0)+IF(CL167="Yes",1,0)+IF(DE167&lt;&gt;"Pending",1,0)+IF(F167&lt;&gt;"",1,0)+IF(DZ167&lt;&gt;"",1,0)+IF(EI167&lt;&gt;"",1,0))/12)</x:f>
      </x:c>
    </x:row>
    <x:row r="168">
      <x:c r="A168" s="175" t="str">
        <x:f>IF(L168="","","EV-"&amp;TEXT(ROW()-3,"0000"))</x:f>
      </x:c>
      <x:c r="B168" s="174"/>
      <x:c r="C168" s="175" t="str">
        <x:f>IF(L168="","",IF(OR(CM168="Retracted",CN168="Retracted",F168="Not used"),"🔴 Do not use for conclusion",IF(OR(R168="Official / Institutional",I168="Official / contextual"),"🔵 Official / contextual",IF(OR(I168="Definition",I168="Framework",I168="Paradigm shift"),"🟣 Conceptual key source",IF(AND(CJ168="Yes",CL168="Yes",OR(CG168="High",CG168="Moderate"),CH168&lt;&gt;"High",CH168&lt;&gt;"Critical",F168="Claim-ready"),"🟢 Claim-ready","🟡 Caution / context")))))</x:f>
      </x:c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6"/>
      <x:c r="P168" s="174"/>
      <x:c r="Q168" s="174"/>
      <x:c r="R168" s="174"/>
      <x:c r="S168" s="174"/>
      <x:c r="T168" s="174"/>
      <x:c r="U168" s="174"/>
      <x:c r="V168" s="174"/>
      <x:c r="W168" s="175" t="str">
        <x:f>IF(V168="","",LOWER(SUBSTITUTE(SUBSTITUTE(SUBSTITUTE(SUBSTITUTE(TRIM(V168),"https://doi.org/",""),"http://doi.org/",""),"https://dx.doi.org/",""),"doi:","")))</x:f>
      </x:c>
      <x:c r="X168" s="174"/>
      <x:c r="Y168" s="174"/>
      <x:c r="Z168" s="174"/>
      <x:c r="AA168" s="174"/>
      <x:c r="AB168" s="174"/>
      <x:c r="AC168" s="174"/>
      <x:c r="AD168" s="177"/>
      <x:c r="AE168" s="177"/>
      <x:c r="AF168" s="174"/>
      <x:c r="AG168" s="174"/>
      <x:c r="AH168" s="174"/>
      <x:c r="AI168" s="174"/>
      <x:c r="AJ168" s="174"/>
      <x:c r="AK168" s="175" t="str">
        <x:f>IF(AJ168="","",IF(OR(LOWER(AJ168)="brazil",LOWER(AJ168)="brasil"),"Yes","No"))</x:f>
      </x:c>
      <x:c r="AL168" s="174"/>
      <x:c r="AM168" s="174"/>
      <x:c r="AN168" s="174"/>
      <x:c r="AO168" s="178"/>
      <x:c r="AP168" s="174"/>
      <x:c r="AQ168" s="174"/>
      <x:c r="AR168" s="174"/>
      <x:c r="AS168" s="174"/>
      <x:c r="AT168" s="174"/>
      <x:c r="AU168" s="174"/>
      <x:c r="AV168" s="174"/>
      <x:c r="AW168" s="174"/>
      <x:c r="AX168" s="174"/>
      <x:c r="AY168" s="174"/>
      <x:c r="AZ168" s="174"/>
      <x:c r="BA168" s="174"/>
      <x:c r="BB168" s="174"/>
      <x:c r="BC168" s="174"/>
      <x:c r="BD168" s="174"/>
      <x:c r="BE168" s="174"/>
      <x:c r="BF168" s="174"/>
      <x:c r="BG168" s="174"/>
      <x:c r="BH168" s="174"/>
      <x:c r="BI168" s="174"/>
      <x:c r="BJ168" s="174"/>
      <x:c r="BK168" s="174"/>
      <x:c r="BL168" s="174"/>
      <x:c r="BM168" s="174"/>
      <x:c r="BN168" s="174"/>
      <x:c r="BO168" s="174"/>
      <x:c r="BP168" s="174"/>
      <x:c r="BQ168" s="174"/>
      <x:c r="BR168" s="174"/>
      <x:c r="BS168" s="174"/>
      <x:c r="BT168" s="174"/>
      <x:c r="BU168" s="174"/>
      <x:c r="BV168" s="174"/>
      <x:c r="BW168" s="174"/>
      <x:c r="BX168" s="174"/>
      <x:c r="BY168" s="174"/>
      <x:c r="BZ168" s="174"/>
      <x:c r="CA168" s="174"/>
      <x:c r="CB168" s="174"/>
      <x:c r="CC168" s="174"/>
      <x:c r="CD168" s="174"/>
      <x:c r="CE168" s="174"/>
      <x:c r="CF168" s="174"/>
      <x:c r="CG168" s="174"/>
      <x:c r="CH168" s="174"/>
      <x:c r="CI168" s="179"/>
      <x:c r="CJ168" s="174"/>
      <x:c r="CK168" s="174"/>
      <x:c r="CL168" s="174"/>
      <x:c r="CM168" s="174"/>
      <x:c r="CN168" s="174"/>
      <x:c r="CO168" s="177"/>
      <x:c r="CP168" s="174"/>
      <x:c r="CQ168" s="174"/>
      <x:c r="CR168" s="174"/>
      <x:c r="CS168" s="174"/>
      <x:c r="CT168" s="174"/>
      <x:c r="CU168" s="176"/>
      <x:c r="CV168" s="176"/>
      <x:c r="CW168" s="176"/>
      <x:c r="CX168" s="176"/>
      <x:c r="CY168" s="176"/>
      <x:c r="CZ168" s="176"/>
      <x:c r="DA168" s="176"/>
      <x:c r="DB168" s="175" t="str">
        <x:f>IF(L168="","",IF(COUNT(CU168:DA168)&lt;7,"",SUM(CU168:DA168)))</x:f>
      </x:c>
      <x:c r="DC168" s="180" t="str">
        <x:f>IF(DB168="","",ROUND(DB168/14*10,1))</x:f>
      </x:c>
      <x:c r="DD168" s="174"/>
      <x:c r="DE168" s="175" t="str">
        <x:f>IF(L168="","",IF(DC168="","Pending",IF(DD168="Yes","CONDITIONAL — safety override",IF(DC168&gt;=8,"HIGH",IF(DC168&gt;=5,"CONDITIONAL","LOW")))))</x:f>
      </x:c>
      <x:c r="DF168" s="174"/>
      <x:c r="DG168" s="174"/>
      <x:c r="DH168" s="174"/>
      <x:c r="DI168" s="174"/>
      <x:c r="DJ168" s="174"/>
      <x:c r="DK168" s="174"/>
      <x:c r="DL168" s="174"/>
      <x:c r="DM168" s="174"/>
      <x:c r="DN168" s="174"/>
      <x:c r="DO168" s="174"/>
      <x:c r="DP168" s="174"/>
      <x:c r="DQ168" s="174"/>
      <x:c r="DR168" s="174"/>
      <x:c r="DS168" s="174"/>
      <x:c r="DT168" s="174"/>
      <x:c r="DU168" s="174"/>
      <x:c r="DV168" s="174"/>
      <x:c r="DW168" s="174"/>
      <x:c r="DX168" s="174"/>
      <x:c r="DY168" s="174"/>
      <x:c r="DZ168" s="174"/>
      <x:c r="EA168" s="174"/>
      <x:c r="EB168" s="175" t="str">
        <x:f>IF(L168="","",IF(AND(F168="Claim-ready",CJ168="Yes",CL168="Yes",DZ168&lt;&gt;""),"Yes","No / Pending"))</x:f>
      </x:c>
      <x:c r="EC168" s="174"/>
      <x:c r="ED168" s="174"/>
      <x:c r="EE168" s="174"/>
      <x:c r="EF168" s="174"/>
      <x:c r="EG168" s="174"/>
      <x:c r="EH168" s="177"/>
      <x:c r="EI168" s="174"/>
      <x:c r="EJ168" s="174"/>
      <x:c r="EK168" s="174"/>
      <x:c r="EL168" s="177"/>
      <x:c r="EM168" s="174"/>
      <x:c r="EN168" s="181" t="str">
        <x:f>IF(L168="","",(IF(N168&lt;&gt;"",1,0)+IF(O168&lt;&gt;"",1,0)+IF(AJ168&lt;&gt;"",1,0)+IF(AU168&lt;&gt;"",1,0)+IF(BE168&lt;&gt;"",1,0)+IF(CF168&lt;&gt;"",1,0)+IF(CJ168="Yes",1,0)+IF(CL168="Yes",1,0)+IF(DE168&lt;&gt;"Pending",1,0)+IF(F168&lt;&gt;"",1,0)+IF(DZ168&lt;&gt;"",1,0)+IF(EI168&lt;&gt;"",1,0))/12)</x:f>
      </x:c>
    </x:row>
    <x:row r="169">
      <x:c r="A169" s="175" t="str">
        <x:f>IF(L169="","","EV-"&amp;TEXT(ROW()-3,"0000"))</x:f>
      </x:c>
      <x:c r="B169" s="174"/>
      <x:c r="C169" s="175" t="str">
        <x:f>IF(L169="","",IF(OR(CM169="Retracted",CN169="Retracted",F169="Not used"),"🔴 Do not use for conclusion",IF(OR(R169="Official / Institutional",I169="Official / contextual"),"🔵 Official / contextual",IF(OR(I169="Definition",I169="Framework",I169="Paradigm shift"),"🟣 Conceptual key source",IF(AND(CJ169="Yes",CL169="Yes",OR(CG169="High",CG169="Moderate"),CH169&lt;&gt;"High",CH169&lt;&gt;"Critical",F169="Claim-ready"),"🟢 Claim-ready","🟡 Caution / context")))))</x:f>
      </x:c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6"/>
      <x:c r="P169" s="174"/>
      <x:c r="Q169" s="174"/>
      <x:c r="R169" s="174"/>
      <x:c r="S169" s="174"/>
      <x:c r="T169" s="174"/>
      <x:c r="U169" s="174"/>
      <x:c r="V169" s="174"/>
      <x:c r="W169" s="175" t="str">
        <x:f>IF(V169="","",LOWER(SUBSTITUTE(SUBSTITUTE(SUBSTITUTE(SUBSTITUTE(TRIM(V169),"https://doi.org/",""),"http://doi.org/",""),"https://dx.doi.org/",""),"doi:","")))</x:f>
      </x:c>
      <x:c r="X169" s="174"/>
      <x:c r="Y169" s="174"/>
      <x:c r="Z169" s="174"/>
      <x:c r="AA169" s="174"/>
      <x:c r="AB169" s="174"/>
      <x:c r="AC169" s="174"/>
      <x:c r="AD169" s="177"/>
      <x:c r="AE169" s="177"/>
      <x:c r="AF169" s="174"/>
      <x:c r="AG169" s="174"/>
      <x:c r="AH169" s="174"/>
      <x:c r="AI169" s="174"/>
      <x:c r="AJ169" s="174"/>
      <x:c r="AK169" s="175" t="str">
        <x:f>IF(AJ169="","",IF(OR(LOWER(AJ169)="brazil",LOWER(AJ169)="brasil"),"Yes","No"))</x:f>
      </x:c>
      <x:c r="AL169" s="174"/>
      <x:c r="AM169" s="174"/>
      <x:c r="AN169" s="174"/>
      <x:c r="AO169" s="178"/>
      <x:c r="AP169" s="174"/>
      <x:c r="AQ169" s="174"/>
      <x:c r="AR169" s="174"/>
      <x:c r="AS169" s="174"/>
      <x:c r="AT169" s="174"/>
      <x:c r="AU169" s="174"/>
      <x:c r="AV169" s="174"/>
      <x:c r="AW169" s="174"/>
      <x:c r="AX169" s="174"/>
      <x:c r="AY169" s="174"/>
      <x:c r="AZ169" s="174"/>
      <x:c r="BA169" s="174"/>
      <x:c r="BB169" s="174"/>
      <x:c r="BC169" s="174"/>
      <x:c r="BD169" s="174"/>
      <x:c r="BE169" s="174"/>
      <x:c r="BF169" s="174"/>
      <x:c r="BG169" s="174"/>
      <x:c r="BH169" s="174"/>
      <x:c r="BI169" s="174"/>
      <x:c r="BJ169" s="174"/>
      <x:c r="BK169" s="174"/>
      <x:c r="BL169" s="174"/>
      <x:c r="BM169" s="174"/>
      <x:c r="BN169" s="174"/>
      <x:c r="BO169" s="174"/>
      <x:c r="BP169" s="174"/>
      <x:c r="BQ169" s="174"/>
      <x:c r="BR169" s="174"/>
      <x:c r="BS169" s="174"/>
      <x:c r="BT169" s="174"/>
      <x:c r="BU169" s="174"/>
      <x:c r="BV169" s="174"/>
      <x:c r="BW169" s="174"/>
      <x:c r="BX169" s="174"/>
      <x:c r="BY169" s="174"/>
      <x:c r="BZ169" s="174"/>
      <x:c r="CA169" s="174"/>
      <x:c r="CB169" s="174"/>
      <x:c r="CC169" s="174"/>
      <x:c r="CD169" s="174"/>
      <x:c r="CE169" s="174"/>
      <x:c r="CF169" s="174"/>
      <x:c r="CG169" s="174"/>
      <x:c r="CH169" s="174"/>
      <x:c r="CI169" s="179"/>
      <x:c r="CJ169" s="174"/>
      <x:c r="CK169" s="174"/>
      <x:c r="CL169" s="174"/>
      <x:c r="CM169" s="174"/>
      <x:c r="CN169" s="174"/>
      <x:c r="CO169" s="177"/>
      <x:c r="CP169" s="174"/>
      <x:c r="CQ169" s="174"/>
      <x:c r="CR169" s="174"/>
      <x:c r="CS169" s="174"/>
      <x:c r="CT169" s="174"/>
      <x:c r="CU169" s="176"/>
      <x:c r="CV169" s="176"/>
      <x:c r="CW169" s="176"/>
      <x:c r="CX169" s="176"/>
      <x:c r="CY169" s="176"/>
      <x:c r="CZ169" s="176"/>
      <x:c r="DA169" s="176"/>
      <x:c r="DB169" s="175" t="str">
        <x:f>IF(L169="","",IF(COUNT(CU169:DA169)&lt;7,"",SUM(CU169:DA169)))</x:f>
      </x:c>
      <x:c r="DC169" s="180" t="str">
        <x:f>IF(DB169="","",ROUND(DB169/14*10,1))</x:f>
      </x:c>
      <x:c r="DD169" s="174"/>
      <x:c r="DE169" s="175" t="str">
        <x:f>IF(L169="","",IF(DC169="","Pending",IF(DD169="Yes","CONDITIONAL — safety override",IF(DC169&gt;=8,"HIGH",IF(DC169&gt;=5,"CONDITIONAL","LOW")))))</x:f>
      </x:c>
      <x:c r="DF169" s="174"/>
      <x:c r="DG169" s="174"/>
      <x:c r="DH169" s="174"/>
      <x:c r="DI169" s="174"/>
      <x:c r="DJ169" s="174"/>
      <x:c r="DK169" s="174"/>
      <x:c r="DL169" s="174"/>
      <x:c r="DM169" s="174"/>
      <x:c r="DN169" s="174"/>
      <x:c r="DO169" s="174"/>
      <x:c r="DP169" s="174"/>
      <x:c r="DQ169" s="174"/>
      <x:c r="DR169" s="174"/>
      <x:c r="DS169" s="174"/>
      <x:c r="DT169" s="174"/>
      <x:c r="DU169" s="174"/>
      <x:c r="DV169" s="174"/>
      <x:c r="DW169" s="174"/>
      <x:c r="DX169" s="174"/>
      <x:c r="DY169" s="174"/>
      <x:c r="DZ169" s="174"/>
      <x:c r="EA169" s="174"/>
      <x:c r="EB169" s="175" t="str">
        <x:f>IF(L169="","",IF(AND(F169="Claim-ready",CJ169="Yes",CL169="Yes",DZ169&lt;&gt;""),"Yes","No / Pending"))</x:f>
      </x:c>
      <x:c r="EC169" s="174"/>
      <x:c r="ED169" s="174"/>
      <x:c r="EE169" s="174"/>
      <x:c r="EF169" s="174"/>
      <x:c r="EG169" s="174"/>
      <x:c r="EH169" s="177"/>
      <x:c r="EI169" s="174"/>
      <x:c r="EJ169" s="174"/>
      <x:c r="EK169" s="174"/>
      <x:c r="EL169" s="177"/>
      <x:c r="EM169" s="174"/>
      <x:c r="EN169" s="181" t="str">
        <x:f>IF(L169="","",(IF(N169&lt;&gt;"",1,0)+IF(O169&lt;&gt;"",1,0)+IF(AJ169&lt;&gt;"",1,0)+IF(AU169&lt;&gt;"",1,0)+IF(BE169&lt;&gt;"",1,0)+IF(CF169&lt;&gt;"",1,0)+IF(CJ169="Yes",1,0)+IF(CL169="Yes",1,0)+IF(DE169&lt;&gt;"Pending",1,0)+IF(F169&lt;&gt;"",1,0)+IF(DZ169&lt;&gt;"",1,0)+IF(EI169&lt;&gt;"",1,0))/12)</x:f>
      </x:c>
    </x:row>
    <x:row r="170">
      <x:c r="A170" s="175" t="str">
        <x:f>IF(L170="","","EV-"&amp;TEXT(ROW()-3,"0000"))</x:f>
      </x:c>
      <x:c r="B170" s="174"/>
      <x:c r="C170" s="175" t="str">
        <x:f>IF(L170="","",IF(OR(CM170="Retracted",CN170="Retracted",F170="Not used"),"🔴 Do not use for conclusion",IF(OR(R170="Official / Institutional",I170="Official / contextual"),"🔵 Official / contextual",IF(OR(I170="Definition",I170="Framework",I170="Paradigm shift"),"🟣 Conceptual key source",IF(AND(CJ170="Yes",CL170="Yes",OR(CG170="High",CG170="Moderate"),CH170&lt;&gt;"High",CH170&lt;&gt;"Critical",F170="Claim-ready"),"🟢 Claim-ready","🟡 Caution / context")))))</x:f>
      </x:c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6"/>
      <x:c r="P170" s="174"/>
      <x:c r="Q170" s="174"/>
      <x:c r="R170" s="174"/>
      <x:c r="S170" s="174"/>
      <x:c r="T170" s="174"/>
      <x:c r="U170" s="174"/>
      <x:c r="V170" s="174"/>
      <x:c r="W170" s="175" t="str">
        <x:f>IF(V170="","",LOWER(SUBSTITUTE(SUBSTITUTE(SUBSTITUTE(SUBSTITUTE(TRIM(V170),"https://doi.org/",""),"http://doi.org/",""),"https://dx.doi.org/",""),"doi:","")))</x:f>
      </x:c>
      <x:c r="X170" s="174"/>
      <x:c r="Y170" s="174"/>
      <x:c r="Z170" s="174"/>
      <x:c r="AA170" s="174"/>
      <x:c r="AB170" s="174"/>
      <x:c r="AC170" s="174"/>
      <x:c r="AD170" s="177"/>
      <x:c r="AE170" s="177"/>
      <x:c r="AF170" s="174"/>
      <x:c r="AG170" s="174"/>
      <x:c r="AH170" s="174"/>
      <x:c r="AI170" s="174"/>
      <x:c r="AJ170" s="174"/>
      <x:c r="AK170" s="175" t="str">
        <x:f>IF(AJ170="","",IF(OR(LOWER(AJ170)="brazil",LOWER(AJ170)="brasil"),"Yes","No"))</x:f>
      </x:c>
      <x:c r="AL170" s="174"/>
      <x:c r="AM170" s="174"/>
      <x:c r="AN170" s="174"/>
      <x:c r="AO170" s="178"/>
      <x:c r="AP170" s="174"/>
      <x:c r="AQ170" s="174"/>
      <x:c r="AR170" s="174"/>
      <x:c r="AS170" s="174"/>
      <x:c r="AT170" s="174"/>
      <x:c r="AU170" s="174"/>
      <x:c r="AV170" s="174"/>
      <x:c r="AW170" s="174"/>
      <x:c r="AX170" s="174"/>
      <x:c r="AY170" s="174"/>
      <x:c r="AZ170" s="174"/>
      <x:c r="BA170" s="174"/>
      <x:c r="BB170" s="174"/>
      <x:c r="BC170" s="174"/>
      <x:c r="BD170" s="174"/>
      <x:c r="BE170" s="174"/>
      <x:c r="BF170" s="174"/>
      <x:c r="BG170" s="174"/>
      <x:c r="BH170" s="174"/>
      <x:c r="BI170" s="174"/>
      <x:c r="BJ170" s="174"/>
      <x:c r="BK170" s="174"/>
      <x:c r="BL170" s="174"/>
      <x:c r="BM170" s="174"/>
      <x:c r="BN170" s="174"/>
      <x:c r="BO170" s="174"/>
      <x:c r="BP170" s="174"/>
      <x:c r="BQ170" s="174"/>
      <x:c r="BR170" s="174"/>
      <x:c r="BS170" s="174"/>
      <x:c r="BT170" s="174"/>
      <x:c r="BU170" s="174"/>
      <x:c r="BV170" s="174"/>
      <x:c r="BW170" s="174"/>
      <x:c r="BX170" s="174"/>
      <x:c r="BY170" s="174"/>
      <x:c r="BZ170" s="174"/>
      <x:c r="CA170" s="174"/>
      <x:c r="CB170" s="174"/>
      <x:c r="CC170" s="174"/>
      <x:c r="CD170" s="174"/>
      <x:c r="CE170" s="174"/>
      <x:c r="CF170" s="174"/>
      <x:c r="CG170" s="174"/>
      <x:c r="CH170" s="174"/>
      <x:c r="CI170" s="179"/>
      <x:c r="CJ170" s="174"/>
      <x:c r="CK170" s="174"/>
      <x:c r="CL170" s="174"/>
      <x:c r="CM170" s="174"/>
      <x:c r="CN170" s="174"/>
      <x:c r="CO170" s="177"/>
      <x:c r="CP170" s="174"/>
      <x:c r="CQ170" s="174"/>
      <x:c r="CR170" s="174"/>
      <x:c r="CS170" s="174"/>
      <x:c r="CT170" s="174"/>
      <x:c r="CU170" s="176"/>
      <x:c r="CV170" s="176"/>
      <x:c r="CW170" s="176"/>
      <x:c r="CX170" s="176"/>
      <x:c r="CY170" s="176"/>
      <x:c r="CZ170" s="176"/>
      <x:c r="DA170" s="176"/>
      <x:c r="DB170" s="175" t="str">
        <x:f>IF(L170="","",IF(COUNT(CU170:DA170)&lt;7,"",SUM(CU170:DA170)))</x:f>
      </x:c>
      <x:c r="DC170" s="180" t="str">
        <x:f>IF(DB170="","",ROUND(DB170/14*10,1))</x:f>
      </x:c>
      <x:c r="DD170" s="174"/>
      <x:c r="DE170" s="175" t="str">
        <x:f>IF(L170="","",IF(DC170="","Pending",IF(DD170="Yes","CONDITIONAL — safety override",IF(DC170&gt;=8,"HIGH",IF(DC170&gt;=5,"CONDITIONAL","LOW")))))</x:f>
      </x:c>
      <x:c r="DF170" s="174"/>
      <x:c r="DG170" s="174"/>
      <x:c r="DH170" s="174"/>
      <x:c r="DI170" s="174"/>
      <x:c r="DJ170" s="174"/>
      <x:c r="DK170" s="174"/>
      <x:c r="DL170" s="174"/>
      <x:c r="DM170" s="174"/>
      <x:c r="DN170" s="174"/>
      <x:c r="DO170" s="174"/>
      <x:c r="DP170" s="174"/>
      <x:c r="DQ170" s="174"/>
      <x:c r="DR170" s="174"/>
      <x:c r="DS170" s="174"/>
      <x:c r="DT170" s="174"/>
      <x:c r="DU170" s="174"/>
      <x:c r="DV170" s="174"/>
      <x:c r="DW170" s="174"/>
      <x:c r="DX170" s="174"/>
      <x:c r="DY170" s="174"/>
      <x:c r="DZ170" s="174"/>
      <x:c r="EA170" s="174"/>
      <x:c r="EB170" s="175" t="str">
        <x:f>IF(L170="","",IF(AND(F170="Claim-ready",CJ170="Yes",CL170="Yes",DZ170&lt;&gt;""),"Yes","No / Pending"))</x:f>
      </x:c>
      <x:c r="EC170" s="174"/>
      <x:c r="ED170" s="174"/>
      <x:c r="EE170" s="174"/>
      <x:c r="EF170" s="174"/>
      <x:c r="EG170" s="174"/>
      <x:c r="EH170" s="177"/>
      <x:c r="EI170" s="174"/>
      <x:c r="EJ170" s="174"/>
      <x:c r="EK170" s="174"/>
      <x:c r="EL170" s="177"/>
      <x:c r="EM170" s="174"/>
      <x:c r="EN170" s="181" t="str">
        <x:f>IF(L170="","",(IF(N170&lt;&gt;"",1,0)+IF(O170&lt;&gt;"",1,0)+IF(AJ170&lt;&gt;"",1,0)+IF(AU170&lt;&gt;"",1,0)+IF(BE170&lt;&gt;"",1,0)+IF(CF170&lt;&gt;"",1,0)+IF(CJ170="Yes",1,0)+IF(CL170="Yes",1,0)+IF(DE170&lt;&gt;"Pending",1,0)+IF(F170&lt;&gt;"",1,0)+IF(DZ170&lt;&gt;"",1,0)+IF(EI170&lt;&gt;"",1,0))/12)</x:f>
      </x:c>
    </x:row>
    <x:row r="171">
      <x:c r="A171" s="175" t="str">
        <x:f>IF(L171="","","EV-"&amp;TEXT(ROW()-3,"0000"))</x:f>
      </x:c>
      <x:c r="B171" s="174"/>
      <x:c r="C171" s="175" t="str">
        <x:f>IF(L171="","",IF(OR(CM171="Retracted",CN171="Retracted",F171="Not used"),"🔴 Do not use for conclusion",IF(OR(R171="Official / Institutional",I171="Official / contextual"),"🔵 Official / contextual",IF(OR(I171="Definition",I171="Framework",I171="Paradigm shift"),"🟣 Conceptual key source",IF(AND(CJ171="Yes",CL171="Yes",OR(CG171="High",CG171="Moderate"),CH171&lt;&gt;"High",CH171&lt;&gt;"Critical",F171="Claim-ready"),"🟢 Claim-ready","🟡 Caution / context")))))</x:f>
      </x:c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6"/>
      <x:c r="P171" s="174"/>
      <x:c r="Q171" s="174"/>
      <x:c r="R171" s="174"/>
      <x:c r="S171" s="174"/>
      <x:c r="T171" s="174"/>
      <x:c r="U171" s="174"/>
      <x:c r="V171" s="174"/>
      <x:c r="W171" s="175" t="str">
        <x:f>IF(V171="","",LOWER(SUBSTITUTE(SUBSTITUTE(SUBSTITUTE(SUBSTITUTE(TRIM(V171),"https://doi.org/",""),"http://doi.org/",""),"https://dx.doi.org/",""),"doi:","")))</x:f>
      </x:c>
      <x:c r="X171" s="174"/>
      <x:c r="Y171" s="174"/>
      <x:c r="Z171" s="174"/>
      <x:c r="AA171" s="174"/>
      <x:c r="AB171" s="174"/>
      <x:c r="AC171" s="174"/>
      <x:c r="AD171" s="177"/>
      <x:c r="AE171" s="177"/>
      <x:c r="AF171" s="174"/>
      <x:c r="AG171" s="174"/>
      <x:c r="AH171" s="174"/>
      <x:c r="AI171" s="174"/>
      <x:c r="AJ171" s="174"/>
      <x:c r="AK171" s="175" t="str">
        <x:f>IF(AJ171="","",IF(OR(LOWER(AJ171)="brazil",LOWER(AJ171)="brasil"),"Yes","No"))</x:f>
      </x:c>
      <x:c r="AL171" s="174"/>
      <x:c r="AM171" s="174"/>
      <x:c r="AN171" s="174"/>
      <x:c r="AO171" s="178"/>
      <x:c r="AP171" s="174"/>
      <x:c r="AQ171" s="174"/>
      <x:c r="AR171" s="174"/>
      <x:c r="AS171" s="174"/>
      <x:c r="AT171" s="174"/>
      <x:c r="AU171" s="174"/>
      <x:c r="AV171" s="174"/>
      <x:c r="AW171" s="174"/>
      <x:c r="AX171" s="174"/>
      <x:c r="AY171" s="174"/>
      <x:c r="AZ171" s="174"/>
      <x:c r="BA171" s="174"/>
      <x:c r="BB171" s="174"/>
      <x:c r="BC171" s="174"/>
      <x:c r="BD171" s="174"/>
      <x:c r="BE171" s="174"/>
      <x:c r="BF171" s="174"/>
      <x:c r="BG171" s="174"/>
      <x:c r="BH171" s="174"/>
      <x:c r="BI171" s="174"/>
      <x:c r="BJ171" s="174"/>
      <x:c r="BK171" s="174"/>
      <x:c r="BL171" s="174"/>
      <x:c r="BM171" s="174"/>
      <x:c r="BN171" s="174"/>
      <x:c r="BO171" s="174"/>
      <x:c r="BP171" s="174"/>
      <x:c r="BQ171" s="174"/>
      <x:c r="BR171" s="174"/>
      <x:c r="BS171" s="174"/>
      <x:c r="BT171" s="174"/>
      <x:c r="BU171" s="174"/>
      <x:c r="BV171" s="174"/>
      <x:c r="BW171" s="174"/>
      <x:c r="BX171" s="174"/>
      <x:c r="BY171" s="174"/>
      <x:c r="BZ171" s="174"/>
      <x:c r="CA171" s="174"/>
      <x:c r="CB171" s="174"/>
      <x:c r="CC171" s="174"/>
      <x:c r="CD171" s="174"/>
      <x:c r="CE171" s="174"/>
      <x:c r="CF171" s="174"/>
      <x:c r="CG171" s="174"/>
      <x:c r="CH171" s="174"/>
      <x:c r="CI171" s="179"/>
      <x:c r="CJ171" s="174"/>
      <x:c r="CK171" s="174"/>
      <x:c r="CL171" s="174"/>
      <x:c r="CM171" s="174"/>
      <x:c r="CN171" s="174"/>
      <x:c r="CO171" s="177"/>
      <x:c r="CP171" s="174"/>
      <x:c r="CQ171" s="174"/>
      <x:c r="CR171" s="174"/>
      <x:c r="CS171" s="174"/>
      <x:c r="CT171" s="174"/>
      <x:c r="CU171" s="176"/>
      <x:c r="CV171" s="176"/>
      <x:c r="CW171" s="176"/>
      <x:c r="CX171" s="176"/>
      <x:c r="CY171" s="176"/>
      <x:c r="CZ171" s="176"/>
      <x:c r="DA171" s="176"/>
      <x:c r="DB171" s="175" t="str">
        <x:f>IF(L171="","",IF(COUNT(CU171:DA171)&lt;7,"",SUM(CU171:DA171)))</x:f>
      </x:c>
      <x:c r="DC171" s="180" t="str">
        <x:f>IF(DB171="","",ROUND(DB171/14*10,1))</x:f>
      </x:c>
      <x:c r="DD171" s="174"/>
      <x:c r="DE171" s="175" t="str">
        <x:f>IF(L171="","",IF(DC171="","Pending",IF(DD171="Yes","CONDITIONAL — safety override",IF(DC171&gt;=8,"HIGH",IF(DC171&gt;=5,"CONDITIONAL","LOW")))))</x:f>
      </x:c>
      <x:c r="DF171" s="174"/>
      <x:c r="DG171" s="174"/>
      <x:c r="DH171" s="174"/>
      <x:c r="DI171" s="174"/>
      <x:c r="DJ171" s="174"/>
      <x:c r="DK171" s="174"/>
      <x:c r="DL171" s="174"/>
      <x:c r="DM171" s="174"/>
      <x:c r="DN171" s="174"/>
      <x:c r="DO171" s="174"/>
      <x:c r="DP171" s="174"/>
      <x:c r="DQ171" s="174"/>
      <x:c r="DR171" s="174"/>
      <x:c r="DS171" s="174"/>
      <x:c r="DT171" s="174"/>
      <x:c r="DU171" s="174"/>
      <x:c r="DV171" s="174"/>
      <x:c r="DW171" s="174"/>
      <x:c r="DX171" s="174"/>
      <x:c r="DY171" s="174"/>
      <x:c r="DZ171" s="174"/>
      <x:c r="EA171" s="174"/>
      <x:c r="EB171" s="175" t="str">
        <x:f>IF(L171="","",IF(AND(F171="Claim-ready",CJ171="Yes",CL171="Yes",DZ171&lt;&gt;""),"Yes","No / Pending"))</x:f>
      </x:c>
      <x:c r="EC171" s="174"/>
      <x:c r="ED171" s="174"/>
      <x:c r="EE171" s="174"/>
      <x:c r="EF171" s="174"/>
      <x:c r="EG171" s="174"/>
      <x:c r="EH171" s="177"/>
      <x:c r="EI171" s="174"/>
      <x:c r="EJ171" s="174"/>
      <x:c r="EK171" s="174"/>
      <x:c r="EL171" s="177"/>
      <x:c r="EM171" s="174"/>
      <x:c r="EN171" s="181" t="str">
        <x:f>IF(L171="","",(IF(N171&lt;&gt;"",1,0)+IF(O171&lt;&gt;"",1,0)+IF(AJ171&lt;&gt;"",1,0)+IF(AU171&lt;&gt;"",1,0)+IF(BE171&lt;&gt;"",1,0)+IF(CF171&lt;&gt;"",1,0)+IF(CJ171="Yes",1,0)+IF(CL171="Yes",1,0)+IF(DE171&lt;&gt;"Pending",1,0)+IF(F171&lt;&gt;"",1,0)+IF(DZ171&lt;&gt;"",1,0)+IF(EI171&lt;&gt;"",1,0))/12)</x:f>
      </x:c>
    </x:row>
    <x:row r="172">
      <x:c r="A172" s="175" t="str">
        <x:f>IF(L172="","","EV-"&amp;TEXT(ROW()-3,"0000"))</x:f>
      </x:c>
      <x:c r="B172" s="174"/>
      <x:c r="C172" s="175" t="str">
        <x:f>IF(L172="","",IF(OR(CM172="Retracted",CN172="Retracted",F172="Not used"),"🔴 Do not use for conclusion",IF(OR(R172="Official / Institutional",I172="Official / contextual"),"🔵 Official / contextual",IF(OR(I172="Definition",I172="Framework",I172="Paradigm shift"),"🟣 Conceptual key source",IF(AND(CJ172="Yes",CL172="Yes",OR(CG172="High",CG172="Moderate"),CH172&lt;&gt;"High",CH172&lt;&gt;"Critical",F172="Claim-ready"),"🟢 Claim-ready","🟡 Caution / context")))))</x:f>
      </x:c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6"/>
      <x:c r="P172" s="174"/>
      <x:c r="Q172" s="174"/>
      <x:c r="R172" s="174"/>
      <x:c r="S172" s="174"/>
      <x:c r="T172" s="174"/>
      <x:c r="U172" s="174"/>
      <x:c r="V172" s="174"/>
      <x:c r="W172" s="175" t="str">
        <x:f>IF(V172="","",LOWER(SUBSTITUTE(SUBSTITUTE(SUBSTITUTE(SUBSTITUTE(TRIM(V172),"https://doi.org/",""),"http://doi.org/",""),"https://dx.doi.org/",""),"doi:","")))</x:f>
      </x:c>
      <x:c r="X172" s="174"/>
      <x:c r="Y172" s="174"/>
      <x:c r="Z172" s="174"/>
      <x:c r="AA172" s="174"/>
      <x:c r="AB172" s="174"/>
      <x:c r="AC172" s="174"/>
      <x:c r="AD172" s="177"/>
      <x:c r="AE172" s="177"/>
      <x:c r="AF172" s="174"/>
      <x:c r="AG172" s="174"/>
      <x:c r="AH172" s="174"/>
      <x:c r="AI172" s="174"/>
      <x:c r="AJ172" s="174"/>
      <x:c r="AK172" s="175" t="str">
        <x:f>IF(AJ172="","",IF(OR(LOWER(AJ172)="brazil",LOWER(AJ172)="brasil"),"Yes","No"))</x:f>
      </x:c>
      <x:c r="AL172" s="174"/>
      <x:c r="AM172" s="174"/>
      <x:c r="AN172" s="174"/>
      <x:c r="AO172" s="178"/>
      <x:c r="AP172" s="174"/>
      <x:c r="AQ172" s="174"/>
      <x:c r="AR172" s="174"/>
      <x:c r="AS172" s="174"/>
      <x:c r="AT172" s="174"/>
      <x:c r="AU172" s="174"/>
      <x:c r="AV172" s="174"/>
      <x:c r="AW172" s="174"/>
      <x:c r="AX172" s="174"/>
      <x:c r="AY172" s="174"/>
      <x:c r="AZ172" s="174"/>
      <x:c r="BA172" s="174"/>
      <x:c r="BB172" s="174"/>
      <x:c r="BC172" s="174"/>
      <x:c r="BD172" s="174"/>
      <x:c r="BE172" s="174"/>
      <x:c r="BF172" s="174"/>
      <x:c r="BG172" s="174"/>
      <x:c r="BH172" s="174"/>
      <x:c r="BI172" s="174"/>
      <x:c r="BJ172" s="174"/>
      <x:c r="BK172" s="174"/>
      <x:c r="BL172" s="174"/>
      <x:c r="BM172" s="174"/>
      <x:c r="BN172" s="174"/>
      <x:c r="BO172" s="174"/>
      <x:c r="BP172" s="174"/>
      <x:c r="BQ172" s="174"/>
      <x:c r="BR172" s="174"/>
      <x:c r="BS172" s="174"/>
      <x:c r="BT172" s="174"/>
      <x:c r="BU172" s="174"/>
      <x:c r="BV172" s="174"/>
      <x:c r="BW172" s="174"/>
      <x:c r="BX172" s="174"/>
      <x:c r="BY172" s="174"/>
      <x:c r="BZ172" s="174"/>
      <x:c r="CA172" s="174"/>
      <x:c r="CB172" s="174"/>
      <x:c r="CC172" s="174"/>
      <x:c r="CD172" s="174"/>
      <x:c r="CE172" s="174"/>
      <x:c r="CF172" s="174"/>
      <x:c r="CG172" s="174"/>
      <x:c r="CH172" s="174"/>
      <x:c r="CI172" s="179"/>
      <x:c r="CJ172" s="174"/>
      <x:c r="CK172" s="174"/>
      <x:c r="CL172" s="174"/>
      <x:c r="CM172" s="174"/>
      <x:c r="CN172" s="174"/>
      <x:c r="CO172" s="177"/>
      <x:c r="CP172" s="174"/>
      <x:c r="CQ172" s="174"/>
      <x:c r="CR172" s="174"/>
      <x:c r="CS172" s="174"/>
      <x:c r="CT172" s="174"/>
      <x:c r="CU172" s="176"/>
      <x:c r="CV172" s="176"/>
      <x:c r="CW172" s="176"/>
      <x:c r="CX172" s="176"/>
      <x:c r="CY172" s="176"/>
      <x:c r="CZ172" s="176"/>
      <x:c r="DA172" s="176"/>
      <x:c r="DB172" s="175" t="str">
        <x:f>IF(L172="","",IF(COUNT(CU172:DA172)&lt;7,"",SUM(CU172:DA172)))</x:f>
      </x:c>
      <x:c r="DC172" s="180" t="str">
        <x:f>IF(DB172="","",ROUND(DB172/14*10,1))</x:f>
      </x:c>
      <x:c r="DD172" s="174"/>
      <x:c r="DE172" s="175" t="str">
        <x:f>IF(L172="","",IF(DC172="","Pending",IF(DD172="Yes","CONDITIONAL — safety override",IF(DC172&gt;=8,"HIGH",IF(DC172&gt;=5,"CONDITIONAL","LOW")))))</x:f>
      </x:c>
      <x:c r="DF172" s="174"/>
      <x:c r="DG172" s="174"/>
      <x:c r="DH172" s="174"/>
      <x:c r="DI172" s="174"/>
      <x:c r="DJ172" s="174"/>
      <x:c r="DK172" s="174"/>
      <x:c r="DL172" s="174"/>
      <x:c r="DM172" s="174"/>
      <x:c r="DN172" s="174"/>
      <x:c r="DO172" s="174"/>
      <x:c r="DP172" s="174"/>
      <x:c r="DQ172" s="174"/>
      <x:c r="DR172" s="174"/>
      <x:c r="DS172" s="174"/>
      <x:c r="DT172" s="174"/>
      <x:c r="DU172" s="174"/>
      <x:c r="DV172" s="174"/>
      <x:c r="DW172" s="174"/>
      <x:c r="DX172" s="174"/>
      <x:c r="DY172" s="174"/>
      <x:c r="DZ172" s="174"/>
      <x:c r="EA172" s="174"/>
      <x:c r="EB172" s="175" t="str">
        <x:f>IF(L172="","",IF(AND(F172="Claim-ready",CJ172="Yes",CL172="Yes",DZ172&lt;&gt;""),"Yes","No / Pending"))</x:f>
      </x:c>
      <x:c r="EC172" s="174"/>
      <x:c r="ED172" s="174"/>
      <x:c r="EE172" s="174"/>
      <x:c r="EF172" s="174"/>
      <x:c r="EG172" s="174"/>
      <x:c r="EH172" s="177"/>
      <x:c r="EI172" s="174"/>
      <x:c r="EJ172" s="174"/>
      <x:c r="EK172" s="174"/>
      <x:c r="EL172" s="177"/>
      <x:c r="EM172" s="174"/>
      <x:c r="EN172" s="181" t="str">
        <x:f>IF(L172="","",(IF(N172&lt;&gt;"",1,0)+IF(O172&lt;&gt;"",1,0)+IF(AJ172&lt;&gt;"",1,0)+IF(AU172&lt;&gt;"",1,0)+IF(BE172&lt;&gt;"",1,0)+IF(CF172&lt;&gt;"",1,0)+IF(CJ172="Yes",1,0)+IF(CL172="Yes",1,0)+IF(DE172&lt;&gt;"Pending",1,0)+IF(F172&lt;&gt;"",1,0)+IF(DZ172&lt;&gt;"",1,0)+IF(EI172&lt;&gt;"",1,0))/12)</x:f>
      </x:c>
    </x:row>
    <x:row r="173">
      <x:c r="A173" s="175" t="str">
        <x:f>IF(L173="","","EV-"&amp;TEXT(ROW()-3,"0000"))</x:f>
      </x:c>
      <x:c r="B173" s="174"/>
      <x:c r="C173" s="175" t="str">
        <x:f>IF(L173="","",IF(OR(CM173="Retracted",CN173="Retracted",F173="Not used"),"🔴 Do not use for conclusion",IF(OR(R173="Official / Institutional",I173="Official / contextual"),"🔵 Official / contextual",IF(OR(I173="Definition",I173="Framework",I173="Paradigm shift"),"🟣 Conceptual key source",IF(AND(CJ173="Yes",CL173="Yes",OR(CG173="High",CG173="Moderate"),CH173&lt;&gt;"High",CH173&lt;&gt;"Critical",F173="Claim-ready"),"🟢 Claim-ready","🟡 Caution / context")))))</x:f>
      </x:c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6"/>
      <x:c r="P173" s="174"/>
      <x:c r="Q173" s="174"/>
      <x:c r="R173" s="174"/>
      <x:c r="S173" s="174"/>
      <x:c r="T173" s="174"/>
      <x:c r="U173" s="174"/>
      <x:c r="V173" s="174"/>
      <x:c r="W173" s="175" t="str">
        <x:f>IF(V173="","",LOWER(SUBSTITUTE(SUBSTITUTE(SUBSTITUTE(SUBSTITUTE(TRIM(V173),"https://doi.org/",""),"http://doi.org/",""),"https://dx.doi.org/",""),"doi:","")))</x:f>
      </x:c>
      <x:c r="X173" s="174"/>
      <x:c r="Y173" s="174"/>
      <x:c r="Z173" s="174"/>
      <x:c r="AA173" s="174"/>
      <x:c r="AB173" s="174"/>
      <x:c r="AC173" s="174"/>
      <x:c r="AD173" s="177"/>
      <x:c r="AE173" s="177"/>
      <x:c r="AF173" s="174"/>
      <x:c r="AG173" s="174"/>
      <x:c r="AH173" s="174"/>
      <x:c r="AI173" s="174"/>
      <x:c r="AJ173" s="174"/>
      <x:c r="AK173" s="175" t="str">
        <x:f>IF(AJ173="","",IF(OR(LOWER(AJ173)="brazil",LOWER(AJ173)="brasil"),"Yes","No"))</x:f>
      </x:c>
      <x:c r="AL173" s="174"/>
      <x:c r="AM173" s="174"/>
      <x:c r="AN173" s="174"/>
      <x:c r="AO173" s="178"/>
      <x:c r="AP173" s="174"/>
      <x:c r="AQ173" s="174"/>
      <x:c r="AR173" s="174"/>
      <x:c r="AS173" s="174"/>
      <x:c r="AT173" s="174"/>
      <x:c r="AU173" s="174"/>
      <x:c r="AV173" s="174"/>
      <x:c r="AW173" s="174"/>
      <x:c r="AX173" s="174"/>
      <x:c r="AY173" s="174"/>
      <x:c r="AZ173" s="174"/>
      <x:c r="BA173" s="174"/>
      <x:c r="BB173" s="174"/>
      <x:c r="BC173" s="174"/>
      <x:c r="BD173" s="174"/>
      <x:c r="BE173" s="174"/>
      <x:c r="BF173" s="174"/>
      <x:c r="BG173" s="174"/>
      <x:c r="BH173" s="174"/>
      <x:c r="BI173" s="174"/>
      <x:c r="BJ173" s="174"/>
      <x:c r="BK173" s="174"/>
      <x:c r="BL173" s="174"/>
      <x:c r="BM173" s="174"/>
      <x:c r="BN173" s="174"/>
      <x:c r="BO173" s="174"/>
      <x:c r="BP173" s="174"/>
      <x:c r="BQ173" s="174"/>
      <x:c r="BR173" s="174"/>
      <x:c r="BS173" s="174"/>
      <x:c r="BT173" s="174"/>
      <x:c r="BU173" s="174"/>
      <x:c r="BV173" s="174"/>
      <x:c r="BW173" s="174"/>
      <x:c r="BX173" s="174"/>
      <x:c r="BY173" s="174"/>
      <x:c r="BZ173" s="174"/>
      <x:c r="CA173" s="174"/>
      <x:c r="CB173" s="174"/>
      <x:c r="CC173" s="174"/>
      <x:c r="CD173" s="174"/>
      <x:c r="CE173" s="174"/>
      <x:c r="CF173" s="174"/>
      <x:c r="CG173" s="174"/>
      <x:c r="CH173" s="174"/>
      <x:c r="CI173" s="179"/>
      <x:c r="CJ173" s="174"/>
      <x:c r="CK173" s="174"/>
      <x:c r="CL173" s="174"/>
      <x:c r="CM173" s="174"/>
      <x:c r="CN173" s="174"/>
      <x:c r="CO173" s="177"/>
      <x:c r="CP173" s="174"/>
      <x:c r="CQ173" s="174"/>
      <x:c r="CR173" s="174"/>
      <x:c r="CS173" s="174"/>
      <x:c r="CT173" s="174"/>
      <x:c r="CU173" s="176"/>
      <x:c r="CV173" s="176"/>
      <x:c r="CW173" s="176"/>
      <x:c r="CX173" s="176"/>
      <x:c r="CY173" s="176"/>
      <x:c r="CZ173" s="176"/>
      <x:c r="DA173" s="176"/>
      <x:c r="DB173" s="175" t="str">
        <x:f>IF(L173="","",IF(COUNT(CU173:DA173)&lt;7,"",SUM(CU173:DA173)))</x:f>
      </x:c>
      <x:c r="DC173" s="180" t="str">
        <x:f>IF(DB173="","",ROUND(DB173/14*10,1))</x:f>
      </x:c>
      <x:c r="DD173" s="174"/>
      <x:c r="DE173" s="175" t="str">
        <x:f>IF(L173="","",IF(DC173="","Pending",IF(DD173="Yes","CONDITIONAL — safety override",IF(DC173&gt;=8,"HIGH",IF(DC173&gt;=5,"CONDITIONAL","LOW")))))</x:f>
      </x:c>
      <x:c r="DF173" s="174"/>
      <x:c r="DG173" s="174"/>
      <x:c r="DH173" s="174"/>
      <x:c r="DI173" s="174"/>
      <x:c r="DJ173" s="174"/>
      <x:c r="DK173" s="174"/>
      <x:c r="DL173" s="174"/>
      <x:c r="DM173" s="174"/>
      <x:c r="DN173" s="174"/>
      <x:c r="DO173" s="174"/>
      <x:c r="DP173" s="174"/>
      <x:c r="DQ173" s="174"/>
      <x:c r="DR173" s="174"/>
      <x:c r="DS173" s="174"/>
      <x:c r="DT173" s="174"/>
      <x:c r="DU173" s="174"/>
      <x:c r="DV173" s="174"/>
      <x:c r="DW173" s="174"/>
      <x:c r="DX173" s="174"/>
      <x:c r="DY173" s="174"/>
      <x:c r="DZ173" s="174"/>
      <x:c r="EA173" s="174"/>
      <x:c r="EB173" s="175" t="str">
        <x:f>IF(L173="","",IF(AND(F173="Claim-ready",CJ173="Yes",CL173="Yes",DZ173&lt;&gt;""),"Yes","No / Pending"))</x:f>
      </x:c>
      <x:c r="EC173" s="174"/>
      <x:c r="ED173" s="174"/>
      <x:c r="EE173" s="174"/>
      <x:c r="EF173" s="174"/>
      <x:c r="EG173" s="174"/>
      <x:c r="EH173" s="177"/>
      <x:c r="EI173" s="174"/>
      <x:c r="EJ173" s="174"/>
      <x:c r="EK173" s="174"/>
      <x:c r="EL173" s="177"/>
      <x:c r="EM173" s="174"/>
      <x:c r="EN173" s="181" t="str">
        <x:f>IF(L173="","",(IF(N173&lt;&gt;"",1,0)+IF(O173&lt;&gt;"",1,0)+IF(AJ173&lt;&gt;"",1,0)+IF(AU173&lt;&gt;"",1,0)+IF(BE173&lt;&gt;"",1,0)+IF(CF173&lt;&gt;"",1,0)+IF(CJ173="Yes",1,0)+IF(CL173="Yes",1,0)+IF(DE173&lt;&gt;"Pending",1,0)+IF(F173&lt;&gt;"",1,0)+IF(DZ173&lt;&gt;"",1,0)+IF(EI173&lt;&gt;"",1,0))/12)</x:f>
      </x:c>
    </x:row>
    <x:row r="174">
      <x:c r="A174" s="175" t="str">
        <x:f>IF(L174="","","EV-"&amp;TEXT(ROW()-3,"0000"))</x:f>
      </x:c>
      <x:c r="B174" s="174"/>
      <x:c r="C174" s="175" t="str">
        <x:f>IF(L174="","",IF(OR(CM174="Retracted",CN174="Retracted",F174="Not used"),"🔴 Do not use for conclusion",IF(OR(R174="Official / Institutional",I174="Official / contextual"),"🔵 Official / contextual",IF(OR(I174="Definition",I174="Framework",I174="Paradigm shift"),"🟣 Conceptual key source",IF(AND(CJ174="Yes",CL174="Yes",OR(CG174="High",CG174="Moderate"),CH174&lt;&gt;"High",CH174&lt;&gt;"Critical",F174="Claim-ready"),"🟢 Claim-ready","🟡 Caution / context")))))</x:f>
      </x:c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6"/>
      <x:c r="P174" s="174"/>
      <x:c r="Q174" s="174"/>
      <x:c r="R174" s="174"/>
      <x:c r="S174" s="174"/>
      <x:c r="T174" s="174"/>
      <x:c r="U174" s="174"/>
      <x:c r="V174" s="174"/>
      <x:c r="W174" s="175" t="str">
        <x:f>IF(V174="","",LOWER(SUBSTITUTE(SUBSTITUTE(SUBSTITUTE(SUBSTITUTE(TRIM(V174),"https://doi.org/",""),"http://doi.org/",""),"https://dx.doi.org/",""),"doi:","")))</x:f>
      </x:c>
      <x:c r="X174" s="174"/>
      <x:c r="Y174" s="174"/>
      <x:c r="Z174" s="174"/>
      <x:c r="AA174" s="174"/>
      <x:c r="AB174" s="174"/>
      <x:c r="AC174" s="174"/>
      <x:c r="AD174" s="177"/>
      <x:c r="AE174" s="177"/>
      <x:c r="AF174" s="174"/>
      <x:c r="AG174" s="174"/>
      <x:c r="AH174" s="174"/>
      <x:c r="AI174" s="174"/>
      <x:c r="AJ174" s="174"/>
      <x:c r="AK174" s="175" t="str">
        <x:f>IF(AJ174="","",IF(OR(LOWER(AJ174)="brazil",LOWER(AJ174)="brasil"),"Yes","No"))</x:f>
      </x:c>
      <x:c r="AL174" s="174"/>
      <x:c r="AM174" s="174"/>
      <x:c r="AN174" s="174"/>
      <x:c r="AO174" s="178"/>
      <x:c r="AP174" s="174"/>
      <x:c r="AQ174" s="174"/>
      <x:c r="AR174" s="174"/>
      <x:c r="AS174" s="174"/>
      <x:c r="AT174" s="174"/>
      <x:c r="AU174" s="174"/>
      <x:c r="AV174" s="174"/>
      <x:c r="AW174" s="174"/>
      <x:c r="AX174" s="174"/>
      <x:c r="AY174" s="174"/>
      <x:c r="AZ174" s="174"/>
      <x:c r="BA174" s="174"/>
      <x:c r="BB174" s="174"/>
      <x:c r="BC174" s="174"/>
      <x:c r="BD174" s="174"/>
      <x:c r="BE174" s="174"/>
      <x:c r="BF174" s="174"/>
      <x:c r="BG174" s="174"/>
      <x:c r="BH174" s="174"/>
      <x:c r="BI174" s="174"/>
      <x:c r="BJ174" s="174"/>
      <x:c r="BK174" s="174"/>
      <x:c r="BL174" s="174"/>
      <x:c r="BM174" s="174"/>
      <x:c r="BN174" s="174"/>
      <x:c r="BO174" s="174"/>
      <x:c r="BP174" s="174"/>
      <x:c r="BQ174" s="174"/>
      <x:c r="BR174" s="174"/>
      <x:c r="BS174" s="174"/>
      <x:c r="BT174" s="174"/>
      <x:c r="BU174" s="174"/>
      <x:c r="BV174" s="174"/>
      <x:c r="BW174" s="174"/>
      <x:c r="BX174" s="174"/>
      <x:c r="BY174" s="174"/>
      <x:c r="BZ174" s="174"/>
      <x:c r="CA174" s="174"/>
      <x:c r="CB174" s="174"/>
      <x:c r="CC174" s="174"/>
      <x:c r="CD174" s="174"/>
      <x:c r="CE174" s="174"/>
      <x:c r="CF174" s="174"/>
      <x:c r="CG174" s="174"/>
      <x:c r="CH174" s="174"/>
      <x:c r="CI174" s="179"/>
      <x:c r="CJ174" s="174"/>
      <x:c r="CK174" s="174"/>
      <x:c r="CL174" s="174"/>
      <x:c r="CM174" s="174"/>
      <x:c r="CN174" s="174"/>
      <x:c r="CO174" s="177"/>
      <x:c r="CP174" s="174"/>
      <x:c r="CQ174" s="174"/>
      <x:c r="CR174" s="174"/>
      <x:c r="CS174" s="174"/>
      <x:c r="CT174" s="174"/>
      <x:c r="CU174" s="176"/>
      <x:c r="CV174" s="176"/>
      <x:c r="CW174" s="176"/>
      <x:c r="CX174" s="176"/>
      <x:c r="CY174" s="176"/>
      <x:c r="CZ174" s="176"/>
      <x:c r="DA174" s="176"/>
      <x:c r="DB174" s="175" t="str">
        <x:f>IF(L174="","",IF(COUNT(CU174:DA174)&lt;7,"",SUM(CU174:DA174)))</x:f>
      </x:c>
      <x:c r="DC174" s="180" t="str">
        <x:f>IF(DB174="","",ROUND(DB174/14*10,1))</x:f>
      </x:c>
      <x:c r="DD174" s="174"/>
      <x:c r="DE174" s="175" t="str">
        <x:f>IF(L174="","",IF(DC174="","Pending",IF(DD174="Yes","CONDITIONAL — safety override",IF(DC174&gt;=8,"HIGH",IF(DC174&gt;=5,"CONDITIONAL","LOW")))))</x:f>
      </x:c>
      <x:c r="DF174" s="174"/>
      <x:c r="DG174" s="174"/>
      <x:c r="DH174" s="174"/>
      <x:c r="DI174" s="174"/>
      <x:c r="DJ174" s="174"/>
      <x:c r="DK174" s="174"/>
      <x:c r="DL174" s="174"/>
      <x:c r="DM174" s="174"/>
      <x:c r="DN174" s="174"/>
      <x:c r="DO174" s="174"/>
      <x:c r="DP174" s="174"/>
      <x:c r="DQ174" s="174"/>
      <x:c r="DR174" s="174"/>
      <x:c r="DS174" s="174"/>
      <x:c r="DT174" s="174"/>
      <x:c r="DU174" s="174"/>
      <x:c r="DV174" s="174"/>
      <x:c r="DW174" s="174"/>
      <x:c r="DX174" s="174"/>
      <x:c r="DY174" s="174"/>
      <x:c r="DZ174" s="174"/>
      <x:c r="EA174" s="174"/>
      <x:c r="EB174" s="175" t="str">
        <x:f>IF(L174="","",IF(AND(F174="Claim-ready",CJ174="Yes",CL174="Yes",DZ174&lt;&gt;""),"Yes","No / Pending"))</x:f>
      </x:c>
      <x:c r="EC174" s="174"/>
      <x:c r="ED174" s="174"/>
      <x:c r="EE174" s="174"/>
      <x:c r="EF174" s="174"/>
      <x:c r="EG174" s="174"/>
      <x:c r="EH174" s="177"/>
      <x:c r="EI174" s="174"/>
      <x:c r="EJ174" s="174"/>
      <x:c r="EK174" s="174"/>
      <x:c r="EL174" s="177"/>
      <x:c r="EM174" s="174"/>
      <x:c r="EN174" s="181" t="str">
        <x:f>IF(L174="","",(IF(N174&lt;&gt;"",1,0)+IF(O174&lt;&gt;"",1,0)+IF(AJ174&lt;&gt;"",1,0)+IF(AU174&lt;&gt;"",1,0)+IF(BE174&lt;&gt;"",1,0)+IF(CF174&lt;&gt;"",1,0)+IF(CJ174="Yes",1,0)+IF(CL174="Yes",1,0)+IF(DE174&lt;&gt;"Pending",1,0)+IF(F174&lt;&gt;"",1,0)+IF(DZ174&lt;&gt;"",1,0)+IF(EI174&lt;&gt;"",1,0))/12)</x:f>
      </x:c>
    </x:row>
    <x:row r="175">
      <x:c r="A175" s="175" t="str">
        <x:f>IF(L175="","","EV-"&amp;TEXT(ROW()-3,"0000"))</x:f>
      </x:c>
      <x:c r="B175" s="174"/>
      <x:c r="C175" s="175" t="str">
        <x:f>IF(L175="","",IF(OR(CM175="Retracted",CN175="Retracted",F175="Not used"),"🔴 Do not use for conclusion",IF(OR(R175="Official / Institutional",I175="Official / contextual"),"🔵 Official / contextual",IF(OR(I175="Definition",I175="Framework",I175="Paradigm shift"),"🟣 Conceptual key source",IF(AND(CJ175="Yes",CL175="Yes",OR(CG175="High",CG175="Moderate"),CH175&lt;&gt;"High",CH175&lt;&gt;"Critical",F175="Claim-ready"),"🟢 Claim-ready","🟡 Caution / context")))))</x:f>
      </x:c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6"/>
      <x:c r="P175" s="174"/>
      <x:c r="Q175" s="174"/>
      <x:c r="R175" s="174"/>
      <x:c r="S175" s="174"/>
      <x:c r="T175" s="174"/>
      <x:c r="U175" s="174"/>
      <x:c r="V175" s="174"/>
      <x:c r="W175" s="175" t="str">
        <x:f>IF(V175="","",LOWER(SUBSTITUTE(SUBSTITUTE(SUBSTITUTE(SUBSTITUTE(TRIM(V175),"https://doi.org/",""),"http://doi.org/",""),"https://dx.doi.org/",""),"doi:","")))</x:f>
      </x:c>
      <x:c r="X175" s="174"/>
      <x:c r="Y175" s="174"/>
      <x:c r="Z175" s="174"/>
      <x:c r="AA175" s="174"/>
      <x:c r="AB175" s="174"/>
      <x:c r="AC175" s="174"/>
      <x:c r="AD175" s="177"/>
      <x:c r="AE175" s="177"/>
      <x:c r="AF175" s="174"/>
      <x:c r="AG175" s="174"/>
      <x:c r="AH175" s="174"/>
      <x:c r="AI175" s="174"/>
      <x:c r="AJ175" s="174"/>
      <x:c r="AK175" s="175" t="str">
        <x:f>IF(AJ175="","",IF(OR(LOWER(AJ175)="brazil",LOWER(AJ175)="brasil"),"Yes","No"))</x:f>
      </x:c>
      <x:c r="AL175" s="174"/>
      <x:c r="AM175" s="174"/>
      <x:c r="AN175" s="174"/>
      <x:c r="AO175" s="178"/>
      <x:c r="AP175" s="174"/>
      <x:c r="AQ175" s="174"/>
      <x:c r="AR175" s="174"/>
      <x:c r="AS175" s="174"/>
      <x:c r="AT175" s="174"/>
      <x:c r="AU175" s="174"/>
      <x:c r="AV175" s="174"/>
      <x:c r="AW175" s="174"/>
      <x:c r="AX175" s="174"/>
      <x:c r="AY175" s="174"/>
      <x:c r="AZ175" s="174"/>
      <x:c r="BA175" s="174"/>
      <x:c r="BB175" s="174"/>
      <x:c r="BC175" s="174"/>
      <x:c r="BD175" s="174"/>
      <x:c r="BE175" s="174"/>
      <x:c r="BF175" s="174"/>
      <x:c r="BG175" s="174"/>
      <x:c r="BH175" s="174"/>
      <x:c r="BI175" s="174"/>
      <x:c r="BJ175" s="174"/>
      <x:c r="BK175" s="174"/>
      <x:c r="BL175" s="174"/>
      <x:c r="BM175" s="174"/>
      <x:c r="BN175" s="174"/>
      <x:c r="BO175" s="174"/>
      <x:c r="BP175" s="174"/>
      <x:c r="BQ175" s="174"/>
      <x:c r="BR175" s="174"/>
      <x:c r="BS175" s="174"/>
      <x:c r="BT175" s="174"/>
      <x:c r="BU175" s="174"/>
      <x:c r="BV175" s="174"/>
      <x:c r="BW175" s="174"/>
      <x:c r="BX175" s="174"/>
      <x:c r="BY175" s="174"/>
      <x:c r="BZ175" s="174"/>
      <x:c r="CA175" s="174"/>
      <x:c r="CB175" s="174"/>
      <x:c r="CC175" s="174"/>
      <x:c r="CD175" s="174"/>
      <x:c r="CE175" s="174"/>
      <x:c r="CF175" s="174"/>
      <x:c r="CG175" s="174"/>
      <x:c r="CH175" s="174"/>
      <x:c r="CI175" s="179"/>
      <x:c r="CJ175" s="174"/>
      <x:c r="CK175" s="174"/>
      <x:c r="CL175" s="174"/>
      <x:c r="CM175" s="174"/>
      <x:c r="CN175" s="174"/>
      <x:c r="CO175" s="177"/>
      <x:c r="CP175" s="174"/>
      <x:c r="CQ175" s="174"/>
      <x:c r="CR175" s="174"/>
      <x:c r="CS175" s="174"/>
      <x:c r="CT175" s="174"/>
      <x:c r="CU175" s="176"/>
      <x:c r="CV175" s="176"/>
      <x:c r="CW175" s="176"/>
      <x:c r="CX175" s="176"/>
      <x:c r="CY175" s="176"/>
      <x:c r="CZ175" s="176"/>
      <x:c r="DA175" s="176"/>
      <x:c r="DB175" s="175" t="str">
        <x:f>IF(L175="","",IF(COUNT(CU175:DA175)&lt;7,"",SUM(CU175:DA175)))</x:f>
      </x:c>
      <x:c r="DC175" s="180" t="str">
        <x:f>IF(DB175="","",ROUND(DB175/14*10,1))</x:f>
      </x:c>
      <x:c r="DD175" s="174"/>
      <x:c r="DE175" s="175" t="str">
        <x:f>IF(L175="","",IF(DC175="","Pending",IF(DD175="Yes","CONDITIONAL — safety override",IF(DC175&gt;=8,"HIGH",IF(DC175&gt;=5,"CONDITIONAL","LOW")))))</x:f>
      </x:c>
      <x:c r="DF175" s="174"/>
      <x:c r="DG175" s="174"/>
      <x:c r="DH175" s="174"/>
      <x:c r="DI175" s="174"/>
      <x:c r="DJ175" s="174"/>
      <x:c r="DK175" s="174"/>
      <x:c r="DL175" s="174"/>
      <x:c r="DM175" s="174"/>
      <x:c r="DN175" s="174"/>
      <x:c r="DO175" s="174"/>
      <x:c r="DP175" s="174"/>
      <x:c r="DQ175" s="174"/>
      <x:c r="DR175" s="174"/>
      <x:c r="DS175" s="174"/>
      <x:c r="DT175" s="174"/>
      <x:c r="DU175" s="174"/>
      <x:c r="DV175" s="174"/>
      <x:c r="DW175" s="174"/>
      <x:c r="DX175" s="174"/>
      <x:c r="DY175" s="174"/>
      <x:c r="DZ175" s="174"/>
      <x:c r="EA175" s="174"/>
      <x:c r="EB175" s="175" t="str">
        <x:f>IF(L175="","",IF(AND(F175="Claim-ready",CJ175="Yes",CL175="Yes",DZ175&lt;&gt;""),"Yes","No / Pending"))</x:f>
      </x:c>
      <x:c r="EC175" s="174"/>
      <x:c r="ED175" s="174"/>
      <x:c r="EE175" s="174"/>
      <x:c r="EF175" s="174"/>
      <x:c r="EG175" s="174"/>
      <x:c r="EH175" s="177"/>
      <x:c r="EI175" s="174"/>
      <x:c r="EJ175" s="174"/>
      <x:c r="EK175" s="174"/>
      <x:c r="EL175" s="177"/>
      <x:c r="EM175" s="174"/>
      <x:c r="EN175" s="181" t="str">
        <x:f>IF(L175="","",(IF(N175&lt;&gt;"",1,0)+IF(O175&lt;&gt;"",1,0)+IF(AJ175&lt;&gt;"",1,0)+IF(AU175&lt;&gt;"",1,0)+IF(BE175&lt;&gt;"",1,0)+IF(CF175&lt;&gt;"",1,0)+IF(CJ175="Yes",1,0)+IF(CL175="Yes",1,0)+IF(DE175&lt;&gt;"Pending",1,0)+IF(F175&lt;&gt;"",1,0)+IF(DZ175&lt;&gt;"",1,0)+IF(EI175&lt;&gt;"",1,0))/12)</x:f>
      </x:c>
    </x:row>
    <x:row r="176">
      <x:c r="A176" s="175" t="str">
        <x:f>IF(L176="","","EV-"&amp;TEXT(ROW()-3,"0000"))</x:f>
      </x:c>
      <x:c r="B176" s="174"/>
      <x:c r="C176" s="175" t="str">
        <x:f>IF(L176="","",IF(OR(CM176="Retracted",CN176="Retracted",F176="Not used"),"🔴 Do not use for conclusion",IF(OR(R176="Official / Institutional",I176="Official / contextual"),"🔵 Official / contextual",IF(OR(I176="Definition",I176="Framework",I176="Paradigm shift"),"🟣 Conceptual key source",IF(AND(CJ176="Yes",CL176="Yes",OR(CG176="High",CG176="Moderate"),CH176&lt;&gt;"High",CH176&lt;&gt;"Critical",F176="Claim-ready"),"🟢 Claim-ready","🟡 Caution / context")))))</x:f>
      </x:c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6"/>
      <x:c r="P176" s="174"/>
      <x:c r="Q176" s="174"/>
      <x:c r="R176" s="174"/>
      <x:c r="S176" s="174"/>
      <x:c r="T176" s="174"/>
      <x:c r="U176" s="174"/>
      <x:c r="V176" s="174"/>
      <x:c r="W176" s="175" t="str">
        <x:f>IF(V176="","",LOWER(SUBSTITUTE(SUBSTITUTE(SUBSTITUTE(SUBSTITUTE(TRIM(V176),"https://doi.org/",""),"http://doi.org/",""),"https://dx.doi.org/",""),"doi:","")))</x:f>
      </x:c>
      <x:c r="X176" s="174"/>
      <x:c r="Y176" s="174"/>
      <x:c r="Z176" s="174"/>
      <x:c r="AA176" s="174"/>
      <x:c r="AB176" s="174"/>
      <x:c r="AC176" s="174"/>
      <x:c r="AD176" s="177"/>
      <x:c r="AE176" s="177"/>
      <x:c r="AF176" s="174"/>
      <x:c r="AG176" s="174"/>
      <x:c r="AH176" s="174"/>
      <x:c r="AI176" s="174"/>
      <x:c r="AJ176" s="174"/>
      <x:c r="AK176" s="175" t="str">
        <x:f>IF(AJ176="","",IF(OR(LOWER(AJ176)="brazil",LOWER(AJ176)="brasil"),"Yes","No"))</x:f>
      </x:c>
      <x:c r="AL176" s="174"/>
      <x:c r="AM176" s="174"/>
      <x:c r="AN176" s="174"/>
      <x:c r="AO176" s="178"/>
      <x:c r="AP176" s="174"/>
      <x:c r="AQ176" s="174"/>
      <x:c r="AR176" s="174"/>
      <x:c r="AS176" s="174"/>
      <x:c r="AT176" s="174"/>
      <x:c r="AU176" s="174"/>
      <x:c r="AV176" s="174"/>
      <x:c r="AW176" s="174"/>
      <x:c r="AX176" s="174"/>
      <x:c r="AY176" s="174"/>
      <x:c r="AZ176" s="174"/>
      <x:c r="BA176" s="174"/>
      <x:c r="BB176" s="174"/>
      <x:c r="BC176" s="174"/>
      <x:c r="BD176" s="174"/>
      <x:c r="BE176" s="174"/>
      <x:c r="BF176" s="174"/>
      <x:c r="BG176" s="174"/>
      <x:c r="BH176" s="174"/>
      <x:c r="BI176" s="174"/>
      <x:c r="BJ176" s="174"/>
      <x:c r="BK176" s="174"/>
      <x:c r="BL176" s="174"/>
      <x:c r="BM176" s="174"/>
      <x:c r="BN176" s="174"/>
      <x:c r="BO176" s="174"/>
      <x:c r="BP176" s="174"/>
      <x:c r="BQ176" s="174"/>
      <x:c r="BR176" s="174"/>
      <x:c r="BS176" s="174"/>
      <x:c r="BT176" s="174"/>
      <x:c r="BU176" s="174"/>
      <x:c r="BV176" s="174"/>
      <x:c r="BW176" s="174"/>
      <x:c r="BX176" s="174"/>
      <x:c r="BY176" s="174"/>
      <x:c r="BZ176" s="174"/>
      <x:c r="CA176" s="174"/>
      <x:c r="CB176" s="174"/>
      <x:c r="CC176" s="174"/>
      <x:c r="CD176" s="174"/>
      <x:c r="CE176" s="174"/>
      <x:c r="CF176" s="174"/>
      <x:c r="CG176" s="174"/>
      <x:c r="CH176" s="174"/>
      <x:c r="CI176" s="179"/>
      <x:c r="CJ176" s="174"/>
      <x:c r="CK176" s="174"/>
      <x:c r="CL176" s="174"/>
      <x:c r="CM176" s="174"/>
      <x:c r="CN176" s="174"/>
      <x:c r="CO176" s="177"/>
      <x:c r="CP176" s="174"/>
      <x:c r="CQ176" s="174"/>
      <x:c r="CR176" s="174"/>
      <x:c r="CS176" s="174"/>
      <x:c r="CT176" s="174"/>
      <x:c r="CU176" s="176"/>
      <x:c r="CV176" s="176"/>
      <x:c r="CW176" s="176"/>
      <x:c r="CX176" s="176"/>
      <x:c r="CY176" s="176"/>
      <x:c r="CZ176" s="176"/>
      <x:c r="DA176" s="176"/>
      <x:c r="DB176" s="175" t="str">
        <x:f>IF(L176="","",IF(COUNT(CU176:DA176)&lt;7,"",SUM(CU176:DA176)))</x:f>
      </x:c>
      <x:c r="DC176" s="180" t="str">
        <x:f>IF(DB176="","",ROUND(DB176/14*10,1))</x:f>
      </x:c>
      <x:c r="DD176" s="174"/>
      <x:c r="DE176" s="175" t="str">
        <x:f>IF(L176="","",IF(DC176="","Pending",IF(DD176="Yes","CONDITIONAL — safety override",IF(DC176&gt;=8,"HIGH",IF(DC176&gt;=5,"CONDITIONAL","LOW")))))</x:f>
      </x:c>
      <x:c r="DF176" s="174"/>
      <x:c r="DG176" s="174"/>
      <x:c r="DH176" s="174"/>
      <x:c r="DI176" s="174"/>
      <x:c r="DJ176" s="174"/>
      <x:c r="DK176" s="174"/>
      <x:c r="DL176" s="174"/>
      <x:c r="DM176" s="174"/>
      <x:c r="DN176" s="174"/>
      <x:c r="DO176" s="174"/>
      <x:c r="DP176" s="174"/>
      <x:c r="DQ176" s="174"/>
      <x:c r="DR176" s="174"/>
      <x:c r="DS176" s="174"/>
      <x:c r="DT176" s="174"/>
      <x:c r="DU176" s="174"/>
      <x:c r="DV176" s="174"/>
      <x:c r="DW176" s="174"/>
      <x:c r="DX176" s="174"/>
      <x:c r="DY176" s="174"/>
      <x:c r="DZ176" s="174"/>
      <x:c r="EA176" s="174"/>
      <x:c r="EB176" s="175" t="str">
        <x:f>IF(L176="","",IF(AND(F176="Claim-ready",CJ176="Yes",CL176="Yes",DZ176&lt;&gt;""),"Yes","No / Pending"))</x:f>
      </x:c>
      <x:c r="EC176" s="174"/>
      <x:c r="ED176" s="174"/>
      <x:c r="EE176" s="174"/>
      <x:c r="EF176" s="174"/>
      <x:c r="EG176" s="174"/>
      <x:c r="EH176" s="177"/>
      <x:c r="EI176" s="174"/>
      <x:c r="EJ176" s="174"/>
      <x:c r="EK176" s="174"/>
      <x:c r="EL176" s="177"/>
      <x:c r="EM176" s="174"/>
      <x:c r="EN176" s="181" t="str">
        <x:f>IF(L176="","",(IF(N176&lt;&gt;"",1,0)+IF(O176&lt;&gt;"",1,0)+IF(AJ176&lt;&gt;"",1,0)+IF(AU176&lt;&gt;"",1,0)+IF(BE176&lt;&gt;"",1,0)+IF(CF176&lt;&gt;"",1,0)+IF(CJ176="Yes",1,0)+IF(CL176="Yes",1,0)+IF(DE176&lt;&gt;"Pending",1,0)+IF(F176&lt;&gt;"",1,0)+IF(DZ176&lt;&gt;"",1,0)+IF(EI176&lt;&gt;"",1,0))/12)</x:f>
      </x:c>
    </x:row>
    <x:row r="177">
      <x:c r="A177" s="175" t="str">
        <x:f>IF(L177="","","EV-"&amp;TEXT(ROW()-3,"0000"))</x:f>
      </x:c>
      <x:c r="B177" s="174"/>
      <x:c r="C177" s="175" t="str">
        <x:f>IF(L177="","",IF(OR(CM177="Retracted",CN177="Retracted",F177="Not used"),"🔴 Do not use for conclusion",IF(OR(R177="Official / Institutional",I177="Official / contextual"),"🔵 Official / contextual",IF(OR(I177="Definition",I177="Framework",I177="Paradigm shift"),"🟣 Conceptual key source",IF(AND(CJ177="Yes",CL177="Yes",OR(CG177="High",CG177="Moderate"),CH177&lt;&gt;"High",CH177&lt;&gt;"Critical",F177="Claim-ready"),"🟢 Claim-ready","🟡 Caution / context")))))</x:f>
      </x:c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6"/>
      <x:c r="P177" s="174"/>
      <x:c r="Q177" s="174"/>
      <x:c r="R177" s="174"/>
      <x:c r="S177" s="174"/>
      <x:c r="T177" s="174"/>
      <x:c r="U177" s="174"/>
      <x:c r="V177" s="174"/>
      <x:c r="W177" s="175" t="str">
        <x:f>IF(V177="","",LOWER(SUBSTITUTE(SUBSTITUTE(SUBSTITUTE(SUBSTITUTE(TRIM(V177),"https://doi.org/",""),"http://doi.org/",""),"https://dx.doi.org/",""),"doi:","")))</x:f>
      </x:c>
      <x:c r="X177" s="174"/>
      <x:c r="Y177" s="174"/>
      <x:c r="Z177" s="174"/>
      <x:c r="AA177" s="174"/>
      <x:c r="AB177" s="174"/>
      <x:c r="AC177" s="174"/>
      <x:c r="AD177" s="177"/>
      <x:c r="AE177" s="177"/>
      <x:c r="AF177" s="174"/>
      <x:c r="AG177" s="174"/>
      <x:c r="AH177" s="174"/>
      <x:c r="AI177" s="174"/>
      <x:c r="AJ177" s="174"/>
      <x:c r="AK177" s="175" t="str">
        <x:f>IF(AJ177="","",IF(OR(LOWER(AJ177)="brazil",LOWER(AJ177)="brasil"),"Yes","No"))</x:f>
      </x:c>
      <x:c r="AL177" s="174"/>
      <x:c r="AM177" s="174"/>
      <x:c r="AN177" s="174"/>
      <x:c r="AO177" s="178"/>
      <x:c r="AP177" s="174"/>
      <x:c r="AQ177" s="174"/>
      <x:c r="AR177" s="174"/>
      <x:c r="AS177" s="174"/>
      <x:c r="AT177" s="174"/>
      <x:c r="AU177" s="174"/>
      <x:c r="AV177" s="174"/>
      <x:c r="AW177" s="174"/>
      <x:c r="AX177" s="174"/>
      <x:c r="AY177" s="174"/>
      <x:c r="AZ177" s="174"/>
      <x:c r="BA177" s="174"/>
      <x:c r="BB177" s="174"/>
      <x:c r="BC177" s="174"/>
      <x:c r="BD177" s="174"/>
      <x:c r="BE177" s="174"/>
      <x:c r="BF177" s="174"/>
      <x:c r="BG177" s="174"/>
      <x:c r="BH177" s="174"/>
      <x:c r="BI177" s="174"/>
      <x:c r="BJ177" s="174"/>
      <x:c r="BK177" s="174"/>
      <x:c r="BL177" s="174"/>
      <x:c r="BM177" s="174"/>
      <x:c r="BN177" s="174"/>
      <x:c r="BO177" s="174"/>
      <x:c r="BP177" s="174"/>
      <x:c r="BQ177" s="174"/>
      <x:c r="BR177" s="174"/>
      <x:c r="BS177" s="174"/>
      <x:c r="BT177" s="174"/>
      <x:c r="BU177" s="174"/>
      <x:c r="BV177" s="174"/>
      <x:c r="BW177" s="174"/>
      <x:c r="BX177" s="174"/>
      <x:c r="BY177" s="174"/>
      <x:c r="BZ177" s="174"/>
      <x:c r="CA177" s="174"/>
      <x:c r="CB177" s="174"/>
      <x:c r="CC177" s="174"/>
      <x:c r="CD177" s="174"/>
      <x:c r="CE177" s="174"/>
      <x:c r="CF177" s="174"/>
      <x:c r="CG177" s="174"/>
      <x:c r="CH177" s="174"/>
      <x:c r="CI177" s="179"/>
      <x:c r="CJ177" s="174"/>
      <x:c r="CK177" s="174"/>
      <x:c r="CL177" s="174"/>
      <x:c r="CM177" s="174"/>
      <x:c r="CN177" s="174"/>
      <x:c r="CO177" s="177"/>
      <x:c r="CP177" s="174"/>
      <x:c r="CQ177" s="174"/>
      <x:c r="CR177" s="174"/>
      <x:c r="CS177" s="174"/>
      <x:c r="CT177" s="174"/>
      <x:c r="CU177" s="176"/>
      <x:c r="CV177" s="176"/>
      <x:c r="CW177" s="176"/>
      <x:c r="CX177" s="176"/>
      <x:c r="CY177" s="176"/>
      <x:c r="CZ177" s="176"/>
      <x:c r="DA177" s="176"/>
      <x:c r="DB177" s="175" t="str">
        <x:f>IF(L177="","",IF(COUNT(CU177:DA177)&lt;7,"",SUM(CU177:DA177)))</x:f>
      </x:c>
      <x:c r="DC177" s="180" t="str">
        <x:f>IF(DB177="","",ROUND(DB177/14*10,1))</x:f>
      </x:c>
      <x:c r="DD177" s="174"/>
      <x:c r="DE177" s="175" t="str">
        <x:f>IF(L177="","",IF(DC177="","Pending",IF(DD177="Yes","CONDITIONAL — safety override",IF(DC177&gt;=8,"HIGH",IF(DC177&gt;=5,"CONDITIONAL","LOW")))))</x:f>
      </x:c>
      <x:c r="DF177" s="174"/>
      <x:c r="DG177" s="174"/>
      <x:c r="DH177" s="174"/>
      <x:c r="DI177" s="174"/>
      <x:c r="DJ177" s="174"/>
      <x:c r="DK177" s="174"/>
      <x:c r="DL177" s="174"/>
      <x:c r="DM177" s="174"/>
      <x:c r="DN177" s="174"/>
      <x:c r="DO177" s="174"/>
      <x:c r="DP177" s="174"/>
      <x:c r="DQ177" s="174"/>
      <x:c r="DR177" s="174"/>
      <x:c r="DS177" s="174"/>
      <x:c r="DT177" s="174"/>
      <x:c r="DU177" s="174"/>
      <x:c r="DV177" s="174"/>
      <x:c r="DW177" s="174"/>
      <x:c r="DX177" s="174"/>
      <x:c r="DY177" s="174"/>
      <x:c r="DZ177" s="174"/>
      <x:c r="EA177" s="174"/>
      <x:c r="EB177" s="175" t="str">
        <x:f>IF(L177="","",IF(AND(F177="Claim-ready",CJ177="Yes",CL177="Yes",DZ177&lt;&gt;""),"Yes","No / Pending"))</x:f>
      </x:c>
      <x:c r="EC177" s="174"/>
      <x:c r="ED177" s="174"/>
      <x:c r="EE177" s="174"/>
      <x:c r="EF177" s="174"/>
      <x:c r="EG177" s="174"/>
      <x:c r="EH177" s="177"/>
      <x:c r="EI177" s="174"/>
      <x:c r="EJ177" s="174"/>
      <x:c r="EK177" s="174"/>
      <x:c r="EL177" s="177"/>
      <x:c r="EM177" s="174"/>
      <x:c r="EN177" s="181" t="str">
        <x:f>IF(L177="","",(IF(N177&lt;&gt;"",1,0)+IF(O177&lt;&gt;"",1,0)+IF(AJ177&lt;&gt;"",1,0)+IF(AU177&lt;&gt;"",1,0)+IF(BE177&lt;&gt;"",1,0)+IF(CF177&lt;&gt;"",1,0)+IF(CJ177="Yes",1,0)+IF(CL177="Yes",1,0)+IF(DE177&lt;&gt;"Pending",1,0)+IF(F177&lt;&gt;"",1,0)+IF(DZ177&lt;&gt;"",1,0)+IF(EI177&lt;&gt;"",1,0))/12)</x:f>
      </x:c>
    </x:row>
    <x:row r="178">
      <x:c r="A178" s="175" t="str">
        <x:f>IF(L178="","","EV-"&amp;TEXT(ROW()-3,"0000"))</x:f>
      </x:c>
      <x:c r="B178" s="174"/>
      <x:c r="C178" s="175" t="str">
        <x:f>IF(L178="","",IF(OR(CM178="Retracted",CN178="Retracted",F178="Not used"),"🔴 Do not use for conclusion",IF(OR(R178="Official / Institutional",I178="Official / contextual"),"🔵 Official / contextual",IF(OR(I178="Definition",I178="Framework",I178="Paradigm shift"),"🟣 Conceptual key source",IF(AND(CJ178="Yes",CL178="Yes",OR(CG178="High",CG178="Moderate"),CH178&lt;&gt;"High",CH178&lt;&gt;"Critical",F178="Claim-ready"),"🟢 Claim-ready","🟡 Caution / context")))))</x:f>
      </x:c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6"/>
      <x:c r="P178" s="174"/>
      <x:c r="Q178" s="174"/>
      <x:c r="R178" s="174"/>
      <x:c r="S178" s="174"/>
      <x:c r="T178" s="174"/>
      <x:c r="U178" s="174"/>
      <x:c r="V178" s="174"/>
      <x:c r="W178" s="175" t="str">
        <x:f>IF(V178="","",LOWER(SUBSTITUTE(SUBSTITUTE(SUBSTITUTE(SUBSTITUTE(TRIM(V178),"https://doi.org/",""),"http://doi.org/",""),"https://dx.doi.org/",""),"doi:","")))</x:f>
      </x:c>
      <x:c r="X178" s="174"/>
      <x:c r="Y178" s="174"/>
      <x:c r="Z178" s="174"/>
      <x:c r="AA178" s="174"/>
      <x:c r="AB178" s="174"/>
      <x:c r="AC178" s="174"/>
      <x:c r="AD178" s="177"/>
      <x:c r="AE178" s="177"/>
      <x:c r="AF178" s="174"/>
      <x:c r="AG178" s="174"/>
      <x:c r="AH178" s="174"/>
      <x:c r="AI178" s="174"/>
      <x:c r="AJ178" s="174"/>
      <x:c r="AK178" s="175" t="str">
        <x:f>IF(AJ178="","",IF(OR(LOWER(AJ178)="brazil",LOWER(AJ178)="brasil"),"Yes","No"))</x:f>
      </x:c>
      <x:c r="AL178" s="174"/>
      <x:c r="AM178" s="174"/>
      <x:c r="AN178" s="174"/>
      <x:c r="AO178" s="178"/>
      <x:c r="AP178" s="174"/>
      <x:c r="AQ178" s="174"/>
      <x:c r="AR178" s="174"/>
      <x:c r="AS178" s="174"/>
      <x:c r="AT178" s="174"/>
      <x:c r="AU178" s="174"/>
      <x:c r="AV178" s="174"/>
      <x:c r="AW178" s="174"/>
      <x:c r="AX178" s="174"/>
      <x:c r="AY178" s="174"/>
      <x:c r="AZ178" s="174"/>
      <x:c r="BA178" s="174"/>
      <x:c r="BB178" s="174"/>
      <x:c r="BC178" s="174"/>
      <x:c r="BD178" s="174"/>
      <x:c r="BE178" s="174"/>
      <x:c r="BF178" s="174"/>
      <x:c r="BG178" s="174"/>
      <x:c r="BH178" s="174"/>
      <x:c r="BI178" s="174"/>
      <x:c r="BJ178" s="174"/>
      <x:c r="BK178" s="174"/>
      <x:c r="BL178" s="174"/>
      <x:c r="BM178" s="174"/>
      <x:c r="BN178" s="174"/>
      <x:c r="BO178" s="174"/>
      <x:c r="BP178" s="174"/>
      <x:c r="BQ178" s="174"/>
      <x:c r="BR178" s="174"/>
      <x:c r="BS178" s="174"/>
      <x:c r="BT178" s="174"/>
      <x:c r="BU178" s="174"/>
      <x:c r="BV178" s="174"/>
      <x:c r="BW178" s="174"/>
      <x:c r="BX178" s="174"/>
      <x:c r="BY178" s="174"/>
      <x:c r="BZ178" s="174"/>
      <x:c r="CA178" s="174"/>
      <x:c r="CB178" s="174"/>
      <x:c r="CC178" s="174"/>
      <x:c r="CD178" s="174"/>
      <x:c r="CE178" s="174"/>
      <x:c r="CF178" s="174"/>
      <x:c r="CG178" s="174"/>
      <x:c r="CH178" s="174"/>
      <x:c r="CI178" s="179"/>
      <x:c r="CJ178" s="174"/>
      <x:c r="CK178" s="174"/>
      <x:c r="CL178" s="174"/>
      <x:c r="CM178" s="174"/>
      <x:c r="CN178" s="174"/>
      <x:c r="CO178" s="177"/>
      <x:c r="CP178" s="174"/>
      <x:c r="CQ178" s="174"/>
      <x:c r="CR178" s="174"/>
      <x:c r="CS178" s="174"/>
      <x:c r="CT178" s="174"/>
      <x:c r="CU178" s="176"/>
      <x:c r="CV178" s="176"/>
      <x:c r="CW178" s="176"/>
      <x:c r="CX178" s="176"/>
      <x:c r="CY178" s="176"/>
      <x:c r="CZ178" s="176"/>
      <x:c r="DA178" s="176"/>
      <x:c r="DB178" s="175" t="str">
        <x:f>IF(L178="","",IF(COUNT(CU178:DA178)&lt;7,"",SUM(CU178:DA178)))</x:f>
      </x:c>
      <x:c r="DC178" s="180" t="str">
        <x:f>IF(DB178="","",ROUND(DB178/14*10,1))</x:f>
      </x:c>
      <x:c r="DD178" s="174"/>
      <x:c r="DE178" s="175" t="str">
        <x:f>IF(L178="","",IF(DC178="","Pending",IF(DD178="Yes","CONDITIONAL — safety override",IF(DC178&gt;=8,"HIGH",IF(DC178&gt;=5,"CONDITIONAL","LOW")))))</x:f>
      </x:c>
      <x:c r="DF178" s="174"/>
      <x:c r="DG178" s="174"/>
      <x:c r="DH178" s="174"/>
      <x:c r="DI178" s="174"/>
      <x:c r="DJ178" s="174"/>
      <x:c r="DK178" s="174"/>
      <x:c r="DL178" s="174"/>
      <x:c r="DM178" s="174"/>
      <x:c r="DN178" s="174"/>
      <x:c r="DO178" s="174"/>
      <x:c r="DP178" s="174"/>
      <x:c r="DQ178" s="174"/>
      <x:c r="DR178" s="174"/>
      <x:c r="DS178" s="174"/>
      <x:c r="DT178" s="174"/>
      <x:c r="DU178" s="174"/>
      <x:c r="DV178" s="174"/>
      <x:c r="DW178" s="174"/>
      <x:c r="DX178" s="174"/>
      <x:c r="DY178" s="174"/>
      <x:c r="DZ178" s="174"/>
      <x:c r="EA178" s="174"/>
      <x:c r="EB178" s="175" t="str">
        <x:f>IF(L178="","",IF(AND(F178="Claim-ready",CJ178="Yes",CL178="Yes",DZ178&lt;&gt;""),"Yes","No / Pending"))</x:f>
      </x:c>
      <x:c r="EC178" s="174"/>
      <x:c r="ED178" s="174"/>
      <x:c r="EE178" s="174"/>
      <x:c r="EF178" s="174"/>
      <x:c r="EG178" s="174"/>
      <x:c r="EH178" s="177"/>
      <x:c r="EI178" s="174"/>
      <x:c r="EJ178" s="174"/>
      <x:c r="EK178" s="174"/>
      <x:c r="EL178" s="177"/>
      <x:c r="EM178" s="174"/>
      <x:c r="EN178" s="181" t="str">
        <x:f>IF(L178="","",(IF(N178&lt;&gt;"",1,0)+IF(O178&lt;&gt;"",1,0)+IF(AJ178&lt;&gt;"",1,0)+IF(AU178&lt;&gt;"",1,0)+IF(BE178&lt;&gt;"",1,0)+IF(CF178&lt;&gt;"",1,0)+IF(CJ178="Yes",1,0)+IF(CL178="Yes",1,0)+IF(DE178&lt;&gt;"Pending",1,0)+IF(F178&lt;&gt;"",1,0)+IF(DZ178&lt;&gt;"",1,0)+IF(EI178&lt;&gt;"",1,0))/12)</x:f>
      </x:c>
    </x:row>
    <x:row r="179">
      <x:c r="A179" s="175" t="str">
        <x:f>IF(L179="","","EV-"&amp;TEXT(ROW()-3,"0000"))</x:f>
      </x:c>
      <x:c r="B179" s="174"/>
      <x:c r="C179" s="175" t="str">
        <x:f>IF(L179="","",IF(OR(CM179="Retracted",CN179="Retracted",F179="Not used"),"🔴 Do not use for conclusion",IF(OR(R179="Official / Institutional",I179="Official / contextual"),"🔵 Official / contextual",IF(OR(I179="Definition",I179="Framework",I179="Paradigm shift"),"🟣 Conceptual key source",IF(AND(CJ179="Yes",CL179="Yes",OR(CG179="High",CG179="Moderate"),CH179&lt;&gt;"High",CH179&lt;&gt;"Critical",F179="Claim-ready"),"🟢 Claim-ready","🟡 Caution / context")))))</x:f>
      </x:c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6"/>
      <x:c r="P179" s="174"/>
      <x:c r="Q179" s="174"/>
      <x:c r="R179" s="174"/>
      <x:c r="S179" s="174"/>
      <x:c r="T179" s="174"/>
      <x:c r="U179" s="174"/>
      <x:c r="V179" s="174"/>
      <x:c r="W179" s="175" t="str">
        <x:f>IF(V179="","",LOWER(SUBSTITUTE(SUBSTITUTE(SUBSTITUTE(SUBSTITUTE(TRIM(V179),"https://doi.org/",""),"http://doi.org/",""),"https://dx.doi.org/",""),"doi:","")))</x:f>
      </x:c>
      <x:c r="X179" s="174"/>
      <x:c r="Y179" s="174"/>
      <x:c r="Z179" s="174"/>
      <x:c r="AA179" s="174"/>
      <x:c r="AB179" s="174"/>
      <x:c r="AC179" s="174"/>
      <x:c r="AD179" s="177"/>
      <x:c r="AE179" s="177"/>
      <x:c r="AF179" s="174"/>
      <x:c r="AG179" s="174"/>
      <x:c r="AH179" s="174"/>
      <x:c r="AI179" s="174"/>
      <x:c r="AJ179" s="174"/>
      <x:c r="AK179" s="175" t="str">
        <x:f>IF(AJ179="","",IF(OR(LOWER(AJ179)="brazil",LOWER(AJ179)="brasil"),"Yes","No"))</x:f>
      </x:c>
      <x:c r="AL179" s="174"/>
      <x:c r="AM179" s="174"/>
      <x:c r="AN179" s="174"/>
      <x:c r="AO179" s="178"/>
      <x:c r="AP179" s="174"/>
      <x:c r="AQ179" s="174"/>
      <x:c r="AR179" s="174"/>
      <x:c r="AS179" s="174"/>
      <x:c r="AT179" s="174"/>
      <x:c r="AU179" s="174"/>
      <x:c r="AV179" s="174"/>
      <x:c r="AW179" s="174"/>
      <x:c r="AX179" s="174"/>
      <x:c r="AY179" s="174"/>
      <x:c r="AZ179" s="174"/>
      <x:c r="BA179" s="174"/>
      <x:c r="BB179" s="174"/>
      <x:c r="BC179" s="174"/>
      <x:c r="BD179" s="174"/>
      <x:c r="BE179" s="174"/>
      <x:c r="BF179" s="174"/>
      <x:c r="BG179" s="174"/>
      <x:c r="BH179" s="174"/>
      <x:c r="BI179" s="174"/>
      <x:c r="BJ179" s="174"/>
      <x:c r="BK179" s="174"/>
      <x:c r="BL179" s="174"/>
      <x:c r="BM179" s="174"/>
      <x:c r="BN179" s="174"/>
      <x:c r="BO179" s="174"/>
      <x:c r="BP179" s="174"/>
      <x:c r="BQ179" s="174"/>
      <x:c r="BR179" s="174"/>
      <x:c r="BS179" s="174"/>
      <x:c r="BT179" s="174"/>
      <x:c r="BU179" s="174"/>
      <x:c r="BV179" s="174"/>
      <x:c r="BW179" s="174"/>
      <x:c r="BX179" s="174"/>
      <x:c r="BY179" s="174"/>
      <x:c r="BZ179" s="174"/>
      <x:c r="CA179" s="174"/>
      <x:c r="CB179" s="174"/>
      <x:c r="CC179" s="174"/>
      <x:c r="CD179" s="174"/>
      <x:c r="CE179" s="174"/>
      <x:c r="CF179" s="174"/>
      <x:c r="CG179" s="174"/>
      <x:c r="CH179" s="174"/>
      <x:c r="CI179" s="179"/>
      <x:c r="CJ179" s="174"/>
      <x:c r="CK179" s="174"/>
      <x:c r="CL179" s="174"/>
      <x:c r="CM179" s="174"/>
      <x:c r="CN179" s="174"/>
      <x:c r="CO179" s="177"/>
      <x:c r="CP179" s="174"/>
      <x:c r="CQ179" s="174"/>
      <x:c r="CR179" s="174"/>
      <x:c r="CS179" s="174"/>
      <x:c r="CT179" s="174"/>
      <x:c r="CU179" s="176"/>
      <x:c r="CV179" s="176"/>
      <x:c r="CW179" s="176"/>
      <x:c r="CX179" s="176"/>
      <x:c r="CY179" s="176"/>
      <x:c r="CZ179" s="176"/>
      <x:c r="DA179" s="176"/>
      <x:c r="DB179" s="175" t="str">
        <x:f>IF(L179="","",IF(COUNT(CU179:DA179)&lt;7,"",SUM(CU179:DA179)))</x:f>
      </x:c>
      <x:c r="DC179" s="180" t="str">
        <x:f>IF(DB179="","",ROUND(DB179/14*10,1))</x:f>
      </x:c>
      <x:c r="DD179" s="174"/>
      <x:c r="DE179" s="175" t="str">
        <x:f>IF(L179="","",IF(DC179="","Pending",IF(DD179="Yes","CONDITIONAL — safety override",IF(DC179&gt;=8,"HIGH",IF(DC179&gt;=5,"CONDITIONAL","LOW")))))</x:f>
      </x:c>
      <x:c r="DF179" s="174"/>
      <x:c r="DG179" s="174"/>
      <x:c r="DH179" s="174"/>
      <x:c r="DI179" s="174"/>
      <x:c r="DJ179" s="174"/>
      <x:c r="DK179" s="174"/>
      <x:c r="DL179" s="174"/>
      <x:c r="DM179" s="174"/>
      <x:c r="DN179" s="174"/>
      <x:c r="DO179" s="174"/>
      <x:c r="DP179" s="174"/>
      <x:c r="DQ179" s="174"/>
      <x:c r="DR179" s="174"/>
      <x:c r="DS179" s="174"/>
      <x:c r="DT179" s="174"/>
      <x:c r="DU179" s="174"/>
      <x:c r="DV179" s="174"/>
      <x:c r="DW179" s="174"/>
      <x:c r="DX179" s="174"/>
      <x:c r="DY179" s="174"/>
      <x:c r="DZ179" s="174"/>
      <x:c r="EA179" s="174"/>
      <x:c r="EB179" s="175" t="str">
        <x:f>IF(L179="","",IF(AND(F179="Claim-ready",CJ179="Yes",CL179="Yes",DZ179&lt;&gt;""),"Yes","No / Pending"))</x:f>
      </x:c>
      <x:c r="EC179" s="174"/>
      <x:c r="ED179" s="174"/>
      <x:c r="EE179" s="174"/>
      <x:c r="EF179" s="174"/>
      <x:c r="EG179" s="174"/>
      <x:c r="EH179" s="177"/>
      <x:c r="EI179" s="174"/>
      <x:c r="EJ179" s="174"/>
      <x:c r="EK179" s="174"/>
      <x:c r="EL179" s="177"/>
      <x:c r="EM179" s="174"/>
      <x:c r="EN179" s="181" t="str">
        <x:f>IF(L179="","",(IF(N179&lt;&gt;"",1,0)+IF(O179&lt;&gt;"",1,0)+IF(AJ179&lt;&gt;"",1,0)+IF(AU179&lt;&gt;"",1,0)+IF(BE179&lt;&gt;"",1,0)+IF(CF179&lt;&gt;"",1,0)+IF(CJ179="Yes",1,0)+IF(CL179="Yes",1,0)+IF(DE179&lt;&gt;"Pending",1,0)+IF(F179&lt;&gt;"",1,0)+IF(DZ179&lt;&gt;"",1,0)+IF(EI179&lt;&gt;"",1,0))/12)</x:f>
      </x:c>
    </x:row>
    <x:row r="180">
      <x:c r="A180" s="175" t="str">
        <x:f>IF(L180="","","EV-"&amp;TEXT(ROW()-3,"0000"))</x:f>
      </x:c>
      <x:c r="B180" s="174"/>
      <x:c r="C180" s="175" t="str">
        <x:f>IF(L180="","",IF(OR(CM180="Retracted",CN180="Retracted",F180="Not used"),"🔴 Do not use for conclusion",IF(OR(R180="Official / Institutional",I180="Official / contextual"),"🔵 Official / contextual",IF(OR(I180="Definition",I180="Framework",I180="Paradigm shift"),"🟣 Conceptual key source",IF(AND(CJ180="Yes",CL180="Yes",OR(CG180="High",CG180="Moderate"),CH180&lt;&gt;"High",CH180&lt;&gt;"Critical",F180="Claim-ready"),"🟢 Claim-ready","🟡 Caution / context")))))</x:f>
      </x:c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6"/>
      <x:c r="P180" s="174"/>
      <x:c r="Q180" s="174"/>
      <x:c r="R180" s="174"/>
      <x:c r="S180" s="174"/>
      <x:c r="T180" s="174"/>
      <x:c r="U180" s="174"/>
      <x:c r="V180" s="174"/>
      <x:c r="W180" s="175" t="str">
        <x:f>IF(V180="","",LOWER(SUBSTITUTE(SUBSTITUTE(SUBSTITUTE(SUBSTITUTE(TRIM(V180),"https://doi.org/",""),"http://doi.org/",""),"https://dx.doi.org/",""),"doi:","")))</x:f>
      </x:c>
      <x:c r="X180" s="174"/>
      <x:c r="Y180" s="174"/>
      <x:c r="Z180" s="174"/>
      <x:c r="AA180" s="174"/>
      <x:c r="AB180" s="174"/>
      <x:c r="AC180" s="174"/>
      <x:c r="AD180" s="177"/>
      <x:c r="AE180" s="177"/>
      <x:c r="AF180" s="174"/>
      <x:c r="AG180" s="174"/>
      <x:c r="AH180" s="174"/>
      <x:c r="AI180" s="174"/>
      <x:c r="AJ180" s="174"/>
      <x:c r="AK180" s="175" t="str">
        <x:f>IF(AJ180="","",IF(OR(LOWER(AJ180)="brazil",LOWER(AJ180)="brasil"),"Yes","No"))</x:f>
      </x:c>
      <x:c r="AL180" s="174"/>
      <x:c r="AM180" s="174"/>
      <x:c r="AN180" s="174"/>
      <x:c r="AO180" s="178"/>
      <x:c r="AP180" s="174"/>
      <x:c r="AQ180" s="174"/>
      <x:c r="AR180" s="174"/>
      <x:c r="AS180" s="174"/>
      <x:c r="AT180" s="174"/>
      <x:c r="AU180" s="174"/>
      <x:c r="AV180" s="174"/>
      <x:c r="AW180" s="174"/>
      <x:c r="AX180" s="174"/>
      <x:c r="AY180" s="174"/>
      <x:c r="AZ180" s="174"/>
      <x:c r="BA180" s="174"/>
      <x:c r="BB180" s="174"/>
      <x:c r="BC180" s="174"/>
      <x:c r="BD180" s="174"/>
      <x:c r="BE180" s="174"/>
      <x:c r="BF180" s="174"/>
      <x:c r="BG180" s="174"/>
      <x:c r="BH180" s="174"/>
      <x:c r="BI180" s="174"/>
      <x:c r="BJ180" s="174"/>
      <x:c r="BK180" s="174"/>
      <x:c r="BL180" s="174"/>
      <x:c r="BM180" s="174"/>
      <x:c r="BN180" s="174"/>
      <x:c r="BO180" s="174"/>
      <x:c r="BP180" s="174"/>
      <x:c r="BQ180" s="174"/>
      <x:c r="BR180" s="174"/>
      <x:c r="BS180" s="174"/>
      <x:c r="BT180" s="174"/>
      <x:c r="BU180" s="174"/>
      <x:c r="BV180" s="174"/>
      <x:c r="BW180" s="174"/>
      <x:c r="BX180" s="174"/>
      <x:c r="BY180" s="174"/>
      <x:c r="BZ180" s="174"/>
      <x:c r="CA180" s="174"/>
      <x:c r="CB180" s="174"/>
      <x:c r="CC180" s="174"/>
      <x:c r="CD180" s="174"/>
      <x:c r="CE180" s="174"/>
      <x:c r="CF180" s="174"/>
      <x:c r="CG180" s="174"/>
      <x:c r="CH180" s="174"/>
      <x:c r="CI180" s="179"/>
      <x:c r="CJ180" s="174"/>
      <x:c r="CK180" s="174"/>
      <x:c r="CL180" s="174"/>
      <x:c r="CM180" s="174"/>
      <x:c r="CN180" s="174"/>
      <x:c r="CO180" s="177"/>
      <x:c r="CP180" s="174"/>
      <x:c r="CQ180" s="174"/>
      <x:c r="CR180" s="174"/>
      <x:c r="CS180" s="174"/>
      <x:c r="CT180" s="174"/>
      <x:c r="CU180" s="176"/>
      <x:c r="CV180" s="176"/>
      <x:c r="CW180" s="176"/>
      <x:c r="CX180" s="176"/>
      <x:c r="CY180" s="176"/>
      <x:c r="CZ180" s="176"/>
      <x:c r="DA180" s="176"/>
      <x:c r="DB180" s="175" t="str">
        <x:f>IF(L180="","",IF(COUNT(CU180:DA180)&lt;7,"",SUM(CU180:DA180)))</x:f>
      </x:c>
      <x:c r="DC180" s="180" t="str">
        <x:f>IF(DB180="","",ROUND(DB180/14*10,1))</x:f>
      </x:c>
      <x:c r="DD180" s="174"/>
      <x:c r="DE180" s="175" t="str">
        <x:f>IF(L180="","",IF(DC180="","Pending",IF(DD180="Yes","CONDITIONAL — safety override",IF(DC180&gt;=8,"HIGH",IF(DC180&gt;=5,"CONDITIONAL","LOW")))))</x:f>
      </x:c>
      <x:c r="DF180" s="174"/>
      <x:c r="DG180" s="174"/>
      <x:c r="DH180" s="174"/>
      <x:c r="DI180" s="174"/>
      <x:c r="DJ180" s="174"/>
      <x:c r="DK180" s="174"/>
      <x:c r="DL180" s="174"/>
      <x:c r="DM180" s="174"/>
      <x:c r="DN180" s="174"/>
      <x:c r="DO180" s="174"/>
      <x:c r="DP180" s="174"/>
      <x:c r="DQ180" s="174"/>
      <x:c r="DR180" s="174"/>
      <x:c r="DS180" s="174"/>
      <x:c r="DT180" s="174"/>
      <x:c r="DU180" s="174"/>
      <x:c r="DV180" s="174"/>
      <x:c r="DW180" s="174"/>
      <x:c r="DX180" s="174"/>
      <x:c r="DY180" s="174"/>
      <x:c r="DZ180" s="174"/>
      <x:c r="EA180" s="174"/>
      <x:c r="EB180" s="175" t="str">
        <x:f>IF(L180="","",IF(AND(F180="Claim-ready",CJ180="Yes",CL180="Yes",DZ180&lt;&gt;""),"Yes","No / Pending"))</x:f>
      </x:c>
      <x:c r="EC180" s="174"/>
      <x:c r="ED180" s="174"/>
      <x:c r="EE180" s="174"/>
      <x:c r="EF180" s="174"/>
      <x:c r="EG180" s="174"/>
      <x:c r="EH180" s="177"/>
      <x:c r="EI180" s="174"/>
      <x:c r="EJ180" s="174"/>
      <x:c r="EK180" s="174"/>
      <x:c r="EL180" s="177"/>
      <x:c r="EM180" s="174"/>
      <x:c r="EN180" s="181" t="str">
        <x:f>IF(L180="","",(IF(N180&lt;&gt;"",1,0)+IF(O180&lt;&gt;"",1,0)+IF(AJ180&lt;&gt;"",1,0)+IF(AU180&lt;&gt;"",1,0)+IF(BE180&lt;&gt;"",1,0)+IF(CF180&lt;&gt;"",1,0)+IF(CJ180="Yes",1,0)+IF(CL180="Yes",1,0)+IF(DE180&lt;&gt;"Pending",1,0)+IF(F180&lt;&gt;"",1,0)+IF(DZ180&lt;&gt;"",1,0)+IF(EI180&lt;&gt;"",1,0))/12)</x:f>
      </x:c>
    </x:row>
    <x:row r="181">
      <x:c r="A181" s="175" t="str">
        <x:f>IF(L181="","","EV-"&amp;TEXT(ROW()-3,"0000"))</x:f>
      </x:c>
      <x:c r="B181" s="174"/>
      <x:c r="C181" s="175" t="str">
        <x:f>IF(L181="","",IF(OR(CM181="Retracted",CN181="Retracted",F181="Not used"),"🔴 Do not use for conclusion",IF(OR(R181="Official / Institutional",I181="Official / contextual"),"🔵 Official / contextual",IF(OR(I181="Definition",I181="Framework",I181="Paradigm shift"),"🟣 Conceptual key source",IF(AND(CJ181="Yes",CL181="Yes",OR(CG181="High",CG181="Moderate"),CH181&lt;&gt;"High",CH181&lt;&gt;"Critical",F181="Claim-ready"),"🟢 Claim-ready","🟡 Caution / context")))))</x:f>
      </x:c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6"/>
      <x:c r="P181" s="174"/>
      <x:c r="Q181" s="174"/>
      <x:c r="R181" s="174"/>
      <x:c r="S181" s="174"/>
      <x:c r="T181" s="174"/>
      <x:c r="U181" s="174"/>
      <x:c r="V181" s="174"/>
      <x:c r="W181" s="175" t="str">
        <x:f>IF(V181="","",LOWER(SUBSTITUTE(SUBSTITUTE(SUBSTITUTE(SUBSTITUTE(TRIM(V181),"https://doi.org/",""),"http://doi.org/",""),"https://dx.doi.org/",""),"doi:","")))</x:f>
      </x:c>
      <x:c r="X181" s="174"/>
      <x:c r="Y181" s="174"/>
      <x:c r="Z181" s="174"/>
      <x:c r="AA181" s="174"/>
      <x:c r="AB181" s="174"/>
      <x:c r="AC181" s="174"/>
      <x:c r="AD181" s="177"/>
      <x:c r="AE181" s="177"/>
      <x:c r="AF181" s="174"/>
      <x:c r="AG181" s="174"/>
      <x:c r="AH181" s="174"/>
      <x:c r="AI181" s="174"/>
      <x:c r="AJ181" s="174"/>
      <x:c r="AK181" s="175" t="str">
        <x:f>IF(AJ181="","",IF(OR(LOWER(AJ181)="brazil",LOWER(AJ181)="brasil"),"Yes","No"))</x:f>
      </x:c>
      <x:c r="AL181" s="174"/>
      <x:c r="AM181" s="174"/>
      <x:c r="AN181" s="174"/>
      <x:c r="AO181" s="178"/>
      <x:c r="AP181" s="174"/>
      <x:c r="AQ181" s="174"/>
      <x:c r="AR181" s="174"/>
      <x:c r="AS181" s="174"/>
      <x:c r="AT181" s="174"/>
      <x:c r="AU181" s="174"/>
      <x:c r="AV181" s="174"/>
      <x:c r="AW181" s="174"/>
      <x:c r="AX181" s="174"/>
      <x:c r="AY181" s="174"/>
      <x:c r="AZ181" s="174"/>
      <x:c r="BA181" s="174"/>
      <x:c r="BB181" s="174"/>
      <x:c r="BC181" s="174"/>
      <x:c r="BD181" s="174"/>
      <x:c r="BE181" s="174"/>
      <x:c r="BF181" s="174"/>
      <x:c r="BG181" s="174"/>
      <x:c r="BH181" s="174"/>
      <x:c r="BI181" s="174"/>
      <x:c r="BJ181" s="174"/>
      <x:c r="BK181" s="174"/>
      <x:c r="BL181" s="174"/>
      <x:c r="BM181" s="174"/>
      <x:c r="BN181" s="174"/>
      <x:c r="BO181" s="174"/>
      <x:c r="BP181" s="174"/>
      <x:c r="BQ181" s="174"/>
      <x:c r="BR181" s="174"/>
      <x:c r="BS181" s="174"/>
      <x:c r="BT181" s="174"/>
      <x:c r="BU181" s="174"/>
      <x:c r="BV181" s="174"/>
      <x:c r="BW181" s="174"/>
      <x:c r="BX181" s="174"/>
      <x:c r="BY181" s="174"/>
      <x:c r="BZ181" s="174"/>
      <x:c r="CA181" s="174"/>
      <x:c r="CB181" s="174"/>
      <x:c r="CC181" s="174"/>
      <x:c r="CD181" s="174"/>
      <x:c r="CE181" s="174"/>
      <x:c r="CF181" s="174"/>
      <x:c r="CG181" s="174"/>
      <x:c r="CH181" s="174"/>
      <x:c r="CI181" s="179"/>
      <x:c r="CJ181" s="174"/>
      <x:c r="CK181" s="174"/>
      <x:c r="CL181" s="174"/>
      <x:c r="CM181" s="174"/>
      <x:c r="CN181" s="174"/>
      <x:c r="CO181" s="177"/>
      <x:c r="CP181" s="174"/>
      <x:c r="CQ181" s="174"/>
      <x:c r="CR181" s="174"/>
      <x:c r="CS181" s="174"/>
      <x:c r="CT181" s="174"/>
      <x:c r="CU181" s="176"/>
      <x:c r="CV181" s="176"/>
      <x:c r="CW181" s="176"/>
      <x:c r="CX181" s="176"/>
      <x:c r="CY181" s="176"/>
      <x:c r="CZ181" s="176"/>
      <x:c r="DA181" s="176"/>
      <x:c r="DB181" s="175" t="str">
        <x:f>IF(L181="","",IF(COUNT(CU181:DA181)&lt;7,"",SUM(CU181:DA181)))</x:f>
      </x:c>
      <x:c r="DC181" s="180" t="str">
        <x:f>IF(DB181="","",ROUND(DB181/14*10,1))</x:f>
      </x:c>
      <x:c r="DD181" s="174"/>
      <x:c r="DE181" s="175" t="str">
        <x:f>IF(L181="","",IF(DC181="","Pending",IF(DD181="Yes","CONDITIONAL — safety override",IF(DC181&gt;=8,"HIGH",IF(DC181&gt;=5,"CONDITIONAL","LOW")))))</x:f>
      </x:c>
      <x:c r="DF181" s="174"/>
      <x:c r="DG181" s="174"/>
      <x:c r="DH181" s="174"/>
      <x:c r="DI181" s="174"/>
      <x:c r="DJ181" s="174"/>
      <x:c r="DK181" s="174"/>
      <x:c r="DL181" s="174"/>
      <x:c r="DM181" s="174"/>
      <x:c r="DN181" s="174"/>
      <x:c r="DO181" s="174"/>
      <x:c r="DP181" s="174"/>
      <x:c r="DQ181" s="174"/>
      <x:c r="DR181" s="174"/>
      <x:c r="DS181" s="174"/>
      <x:c r="DT181" s="174"/>
      <x:c r="DU181" s="174"/>
      <x:c r="DV181" s="174"/>
      <x:c r="DW181" s="174"/>
      <x:c r="DX181" s="174"/>
      <x:c r="DY181" s="174"/>
      <x:c r="DZ181" s="174"/>
      <x:c r="EA181" s="174"/>
      <x:c r="EB181" s="175" t="str">
        <x:f>IF(L181="","",IF(AND(F181="Claim-ready",CJ181="Yes",CL181="Yes",DZ181&lt;&gt;""),"Yes","No / Pending"))</x:f>
      </x:c>
      <x:c r="EC181" s="174"/>
      <x:c r="ED181" s="174"/>
      <x:c r="EE181" s="174"/>
      <x:c r="EF181" s="174"/>
      <x:c r="EG181" s="174"/>
      <x:c r="EH181" s="177"/>
      <x:c r="EI181" s="174"/>
      <x:c r="EJ181" s="174"/>
      <x:c r="EK181" s="174"/>
      <x:c r="EL181" s="177"/>
      <x:c r="EM181" s="174"/>
      <x:c r="EN181" s="181" t="str">
        <x:f>IF(L181="","",(IF(N181&lt;&gt;"",1,0)+IF(O181&lt;&gt;"",1,0)+IF(AJ181&lt;&gt;"",1,0)+IF(AU181&lt;&gt;"",1,0)+IF(BE181&lt;&gt;"",1,0)+IF(CF181&lt;&gt;"",1,0)+IF(CJ181="Yes",1,0)+IF(CL181="Yes",1,0)+IF(DE181&lt;&gt;"Pending",1,0)+IF(F181&lt;&gt;"",1,0)+IF(DZ181&lt;&gt;"",1,0)+IF(EI181&lt;&gt;"",1,0))/12)</x:f>
      </x:c>
    </x:row>
    <x:row r="182">
      <x:c r="A182" s="175" t="str">
        <x:f>IF(L182="","","EV-"&amp;TEXT(ROW()-3,"0000"))</x:f>
      </x:c>
      <x:c r="B182" s="174"/>
      <x:c r="C182" s="175" t="str">
        <x:f>IF(L182="","",IF(OR(CM182="Retracted",CN182="Retracted",F182="Not used"),"🔴 Do not use for conclusion",IF(OR(R182="Official / Institutional",I182="Official / contextual"),"🔵 Official / contextual",IF(OR(I182="Definition",I182="Framework",I182="Paradigm shift"),"🟣 Conceptual key source",IF(AND(CJ182="Yes",CL182="Yes",OR(CG182="High",CG182="Moderate"),CH182&lt;&gt;"High",CH182&lt;&gt;"Critical",F182="Claim-ready"),"🟢 Claim-ready","🟡 Caution / context")))))</x:f>
      </x:c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6"/>
      <x:c r="P182" s="174"/>
      <x:c r="Q182" s="174"/>
      <x:c r="R182" s="174"/>
      <x:c r="S182" s="174"/>
      <x:c r="T182" s="174"/>
      <x:c r="U182" s="174"/>
      <x:c r="V182" s="174"/>
      <x:c r="W182" s="175" t="str">
        <x:f>IF(V182="","",LOWER(SUBSTITUTE(SUBSTITUTE(SUBSTITUTE(SUBSTITUTE(TRIM(V182),"https://doi.org/",""),"http://doi.org/",""),"https://dx.doi.org/",""),"doi:","")))</x:f>
      </x:c>
      <x:c r="X182" s="174"/>
      <x:c r="Y182" s="174"/>
      <x:c r="Z182" s="174"/>
      <x:c r="AA182" s="174"/>
      <x:c r="AB182" s="174"/>
      <x:c r="AC182" s="174"/>
      <x:c r="AD182" s="177"/>
      <x:c r="AE182" s="177"/>
      <x:c r="AF182" s="174"/>
      <x:c r="AG182" s="174"/>
      <x:c r="AH182" s="174"/>
      <x:c r="AI182" s="174"/>
      <x:c r="AJ182" s="174"/>
      <x:c r="AK182" s="175" t="str">
        <x:f>IF(AJ182="","",IF(OR(LOWER(AJ182)="brazil",LOWER(AJ182)="brasil"),"Yes","No"))</x:f>
      </x:c>
      <x:c r="AL182" s="174"/>
      <x:c r="AM182" s="174"/>
      <x:c r="AN182" s="174"/>
      <x:c r="AO182" s="178"/>
      <x:c r="AP182" s="174"/>
      <x:c r="AQ182" s="174"/>
      <x:c r="AR182" s="174"/>
      <x:c r="AS182" s="174"/>
      <x:c r="AT182" s="174"/>
      <x:c r="AU182" s="174"/>
      <x:c r="AV182" s="174"/>
      <x:c r="AW182" s="174"/>
      <x:c r="AX182" s="174"/>
      <x:c r="AY182" s="174"/>
      <x:c r="AZ182" s="174"/>
      <x:c r="BA182" s="174"/>
      <x:c r="BB182" s="174"/>
      <x:c r="BC182" s="174"/>
      <x:c r="BD182" s="174"/>
      <x:c r="BE182" s="174"/>
      <x:c r="BF182" s="174"/>
      <x:c r="BG182" s="174"/>
      <x:c r="BH182" s="174"/>
      <x:c r="BI182" s="174"/>
      <x:c r="BJ182" s="174"/>
      <x:c r="BK182" s="174"/>
      <x:c r="BL182" s="174"/>
      <x:c r="BM182" s="174"/>
      <x:c r="BN182" s="174"/>
      <x:c r="BO182" s="174"/>
      <x:c r="BP182" s="174"/>
      <x:c r="BQ182" s="174"/>
      <x:c r="BR182" s="174"/>
      <x:c r="BS182" s="174"/>
      <x:c r="BT182" s="174"/>
      <x:c r="BU182" s="174"/>
      <x:c r="BV182" s="174"/>
      <x:c r="BW182" s="174"/>
      <x:c r="BX182" s="174"/>
      <x:c r="BY182" s="174"/>
      <x:c r="BZ182" s="174"/>
      <x:c r="CA182" s="174"/>
      <x:c r="CB182" s="174"/>
      <x:c r="CC182" s="174"/>
      <x:c r="CD182" s="174"/>
      <x:c r="CE182" s="174"/>
      <x:c r="CF182" s="174"/>
      <x:c r="CG182" s="174"/>
      <x:c r="CH182" s="174"/>
      <x:c r="CI182" s="179"/>
      <x:c r="CJ182" s="174"/>
      <x:c r="CK182" s="174"/>
      <x:c r="CL182" s="174"/>
      <x:c r="CM182" s="174"/>
      <x:c r="CN182" s="174"/>
      <x:c r="CO182" s="177"/>
      <x:c r="CP182" s="174"/>
      <x:c r="CQ182" s="174"/>
      <x:c r="CR182" s="174"/>
      <x:c r="CS182" s="174"/>
      <x:c r="CT182" s="174"/>
      <x:c r="CU182" s="176"/>
      <x:c r="CV182" s="176"/>
      <x:c r="CW182" s="176"/>
      <x:c r="CX182" s="176"/>
      <x:c r="CY182" s="176"/>
      <x:c r="CZ182" s="176"/>
      <x:c r="DA182" s="176"/>
      <x:c r="DB182" s="175" t="str">
        <x:f>IF(L182="","",IF(COUNT(CU182:DA182)&lt;7,"",SUM(CU182:DA182)))</x:f>
      </x:c>
      <x:c r="DC182" s="180" t="str">
        <x:f>IF(DB182="","",ROUND(DB182/14*10,1))</x:f>
      </x:c>
      <x:c r="DD182" s="174"/>
      <x:c r="DE182" s="175" t="str">
        <x:f>IF(L182="","",IF(DC182="","Pending",IF(DD182="Yes","CONDITIONAL — safety override",IF(DC182&gt;=8,"HIGH",IF(DC182&gt;=5,"CONDITIONAL","LOW")))))</x:f>
      </x:c>
      <x:c r="DF182" s="174"/>
      <x:c r="DG182" s="174"/>
      <x:c r="DH182" s="174"/>
      <x:c r="DI182" s="174"/>
      <x:c r="DJ182" s="174"/>
      <x:c r="DK182" s="174"/>
      <x:c r="DL182" s="174"/>
      <x:c r="DM182" s="174"/>
      <x:c r="DN182" s="174"/>
      <x:c r="DO182" s="174"/>
      <x:c r="DP182" s="174"/>
      <x:c r="DQ182" s="174"/>
      <x:c r="DR182" s="174"/>
      <x:c r="DS182" s="174"/>
      <x:c r="DT182" s="174"/>
      <x:c r="DU182" s="174"/>
      <x:c r="DV182" s="174"/>
      <x:c r="DW182" s="174"/>
      <x:c r="DX182" s="174"/>
      <x:c r="DY182" s="174"/>
      <x:c r="DZ182" s="174"/>
      <x:c r="EA182" s="174"/>
      <x:c r="EB182" s="175" t="str">
        <x:f>IF(L182="","",IF(AND(F182="Claim-ready",CJ182="Yes",CL182="Yes",DZ182&lt;&gt;""),"Yes","No / Pending"))</x:f>
      </x:c>
      <x:c r="EC182" s="174"/>
      <x:c r="ED182" s="174"/>
      <x:c r="EE182" s="174"/>
      <x:c r="EF182" s="174"/>
      <x:c r="EG182" s="174"/>
      <x:c r="EH182" s="177"/>
      <x:c r="EI182" s="174"/>
      <x:c r="EJ182" s="174"/>
      <x:c r="EK182" s="174"/>
      <x:c r="EL182" s="177"/>
      <x:c r="EM182" s="174"/>
      <x:c r="EN182" s="181" t="str">
        <x:f>IF(L182="","",(IF(N182&lt;&gt;"",1,0)+IF(O182&lt;&gt;"",1,0)+IF(AJ182&lt;&gt;"",1,0)+IF(AU182&lt;&gt;"",1,0)+IF(BE182&lt;&gt;"",1,0)+IF(CF182&lt;&gt;"",1,0)+IF(CJ182="Yes",1,0)+IF(CL182="Yes",1,0)+IF(DE182&lt;&gt;"Pending",1,0)+IF(F182&lt;&gt;"",1,0)+IF(DZ182&lt;&gt;"",1,0)+IF(EI182&lt;&gt;"",1,0))/12)</x:f>
      </x:c>
    </x:row>
    <x:row r="183">
      <x:c r="A183" s="175" t="str">
        <x:f>IF(L183="","","EV-"&amp;TEXT(ROW()-3,"0000"))</x:f>
      </x:c>
      <x:c r="B183" s="174"/>
      <x:c r="C183" s="175" t="str">
        <x:f>IF(L183="","",IF(OR(CM183="Retracted",CN183="Retracted",F183="Not used"),"🔴 Do not use for conclusion",IF(OR(R183="Official / Institutional",I183="Official / contextual"),"🔵 Official / contextual",IF(OR(I183="Definition",I183="Framework",I183="Paradigm shift"),"🟣 Conceptual key source",IF(AND(CJ183="Yes",CL183="Yes",OR(CG183="High",CG183="Moderate"),CH183&lt;&gt;"High",CH183&lt;&gt;"Critical",F183="Claim-ready"),"🟢 Claim-ready","🟡 Caution / context")))))</x:f>
      </x:c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6"/>
      <x:c r="P183" s="174"/>
      <x:c r="Q183" s="174"/>
      <x:c r="R183" s="174"/>
      <x:c r="S183" s="174"/>
      <x:c r="T183" s="174"/>
      <x:c r="U183" s="174"/>
      <x:c r="V183" s="174"/>
      <x:c r="W183" s="175" t="str">
        <x:f>IF(V183="","",LOWER(SUBSTITUTE(SUBSTITUTE(SUBSTITUTE(SUBSTITUTE(TRIM(V183),"https://doi.org/",""),"http://doi.org/",""),"https://dx.doi.org/",""),"doi:","")))</x:f>
      </x:c>
      <x:c r="X183" s="174"/>
      <x:c r="Y183" s="174"/>
      <x:c r="Z183" s="174"/>
      <x:c r="AA183" s="174"/>
      <x:c r="AB183" s="174"/>
      <x:c r="AC183" s="174"/>
      <x:c r="AD183" s="177"/>
      <x:c r="AE183" s="177"/>
      <x:c r="AF183" s="174"/>
      <x:c r="AG183" s="174"/>
      <x:c r="AH183" s="174"/>
      <x:c r="AI183" s="174"/>
      <x:c r="AJ183" s="174"/>
      <x:c r="AK183" s="175" t="str">
        <x:f>IF(AJ183="","",IF(OR(LOWER(AJ183)="brazil",LOWER(AJ183)="brasil"),"Yes","No"))</x:f>
      </x:c>
      <x:c r="AL183" s="174"/>
      <x:c r="AM183" s="174"/>
      <x:c r="AN183" s="174"/>
      <x:c r="AO183" s="178"/>
      <x:c r="AP183" s="174"/>
      <x:c r="AQ183" s="174"/>
      <x:c r="AR183" s="174"/>
      <x:c r="AS183" s="174"/>
      <x:c r="AT183" s="174"/>
      <x:c r="AU183" s="174"/>
      <x:c r="AV183" s="174"/>
      <x:c r="AW183" s="174"/>
      <x:c r="AX183" s="174"/>
      <x:c r="AY183" s="174"/>
      <x:c r="AZ183" s="174"/>
      <x:c r="BA183" s="174"/>
      <x:c r="BB183" s="174"/>
      <x:c r="BC183" s="174"/>
      <x:c r="BD183" s="174"/>
      <x:c r="BE183" s="174"/>
      <x:c r="BF183" s="174"/>
      <x:c r="BG183" s="174"/>
      <x:c r="BH183" s="174"/>
      <x:c r="BI183" s="174"/>
      <x:c r="BJ183" s="174"/>
      <x:c r="BK183" s="174"/>
      <x:c r="BL183" s="174"/>
      <x:c r="BM183" s="174"/>
      <x:c r="BN183" s="174"/>
      <x:c r="BO183" s="174"/>
      <x:c r="BP183" s="174"/>
      <x:c r="BQ183" s="174"/>
      <x:c r="BR183" s="174"/>
      <x:c r="BS183" s="174"/>
      <x:c r="BT183" s="174"/>
      <x:c r="BU183" s="174"/>
      <x:c r="BV183" s="174"/>
      <x:c r="BW183" s="174"/>
      <x:c r="BX183" s="174"/>
      <x:c r="BY183" s="174"/>
      <x:c r="BZ183" s="174"/>
      <x:c r="CA183" s="174"/>
      <x:c r="CB183" s="174"/>
      <x:c r="CC183" s="174"/>
      <x:c r="CD183" s="174"/>
      <x:c r="CE183" s="174"/>
      <x:c r="CF183" s="174"/>
      <x:c r="CG183" s="174"/>
      <x:c r="CH183" s="174"/>
      <x:c r="CI183" s="179"/>
      <x:c r="CJ183" s="174"/>
      <x:c r="CK183" s="174"/>
      <x:c r="CL183" s="174"/>
      <x:c r="CM183" s="174"/>
      <x:c r="CN183" s="174"/>
      <x:c r="CO183" s="177"/>
      <x:c r="CP183" s="174"/>
      <x:c r="CQ183" s="174"/>
      <x:c r="CR183" s="174"/>
      <x:c r="CS183" s="174"/>
      <x:c r="CT183" s="174"/>
      <x:c r="CU183" s="176"/>
      <x:c r="CV183" s="176"/>
      <x:c r="CW183" s="176"/>
      <x:c r="CX183" s="176"/>
      <x:c r="CY183" s="176"/>
      <x:c r="CZ183" s="176"/>
      <x:c r="DA183" s="176"/>
      <x:c r="DB183" s="175" t="str">
        <x:f>IF(L183="","",IF(COUNT(CU183:DA183)&lt;7,"",SUM(CU183:DA183)))</x:f>
      </x:c>
      <x:c r="DC183" s="180" t="str">
        <x:f>IF(DB183="","",ROUND(DB183/14*10,1))</x:f>
      </x:c>
      <x:c r="DD183" s="174"/>
      <x:c r="DE183" s="175" t="str">
        <x:f>IF(L183="","",IF(DC183="","Pending",IF(DD183="Yes","CONDITIONAL — safety override",IF(DC183&gt;=8,"HIGH",IF(DC183&gt;=5,"CONDITIONAL","LOW")))))</x:f>
      </x:c>
      <x:c r="DF183" s="174"/>
      <x:c r="DG183" s="174"/>
      <x:c r="DH183" s="174"/>
      <x:c r="DI183" s="174"/>
      <x:c r="DJ183" s="174"/>
      <x:c r="DK183" s="174"/>
      <x:c r="DL183" s="174"/>
      <x:c r="DM183" s="174"/>
      <x:c r="DN183" s="174"/>
      <x:c r="DO183" s="174"/>
      <x:c r="DP183" s="174"/>
      <x:c r="DQ183" s="174"/>
      <x:c r="DR183" s="174"/>
      <x:c r="DS183" s="174"/>
      <x:c r="DT183" s="174"/>
      <x:c r="DU183" s="174"/>
      <x:c r="DV183" s="174"/>
      <x:c r="DW183" s="174"/>
      <x:c r="DX183" s="174"/>
      <x:c r="DY183" s="174"/>
      <x:c r="DZ183" s="174"/>
      <x:c r="EA183" s="174"/>
      <x:c r="EB183" s="175" t="str">
        <x:f>IF(L183="","",IF(AND(F183="Claim-ready",CJ183="Yes",CL183="Yes",DZ183&lt;&gt;""),"Yes","No / Pending"))</x:f>
      </x:c>
      <x:c r="EC183" s="174"/>
      <x:c r="ED183" s="174"/>
      <x:c r="EE183" s="174"/>
      <x:c r="EF183" s="174"/>
      <x:c r="EG183" s="174"/>
      <x:c r="EH183" s="177"/>
      <x:c r="EI183" s="174"/>
      <x:c r="EJ183" s="174"/>
      <x:c r="EK183" s="174"/>
      <x:c r="EL183" s="177"/>
      <x:c r="EM183" s="174"/>
      <x:c r="EN183" s="181" t="str">
        <x:f>IF(L183="","",(IF(N183&lt;&gt;"",1,0)+IF(O183&lt;&gt;"",1,0)+IF(AJ183&lt;&gt;"",1,0)+IF(AU183&lt;&gt;"",1,0)+IF(BE183&lt;&gt;"",1,0)+IF(CF183&lt;&gt;"",1,0)+IF(CJ183="Yes",1,0)+IF(CL183="Yes",1,0)+IF(DE183&lt;&gt;"Pending",1,0)+IF(F183&lt;&gt;"",1,0)+IF(DZ183&lt;&gt;"",1,0)+IF(EI183&lt;&gt;"",1,0))/12)</x:f>
      </x:c>
    </x:row>
    <x:row r="184">
      <x:c r="A184" s="175" t="str">
        <x:f>IF(L184="","","EV-"&amp;TEXT(ROW()-3,"0000"))</x:f>
      </x:c>
      <x:c r="B184" s="174"/>
      <x:c r="C184" s="175" t="str">
        <x:f>IF(L184="","",IF(OR(CM184="Retracted",CN184="Retracted",F184="Not used"),"🔴 Do not use for conclusion",IF(OR(R184="Official / Institutional",I184="Official / contextual"),"🔵 Official / contextual",IF(OR(I184="Definition",I184="Framework",I184="Paradigm shift"),"🟣 Conceptual key source",IF(AND(CJ184="Yes",CL184="Yes",OR(CG184="High",CG184="Moderate"),CH184&lt;&gt;"High",CH184&lt;&gt;"Critical",F184="Claim-ready"),"🟢 Claim-ready","🟡 Caution / context")))))</x:f>
      </x:c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6"/>
      <x:c r="P184" s="174"/>
      <x:c r="Q184" s="174"/>
      <x:c r="R184" s="174"/>
      <x:c r="S184" s="174"/>
      <x:c r="T184" s="174"/>
      <x:c r="U184" s="174"/>
      <x:c r="V184" s="174"/>
      <x:c r="W184" s="175" t="str">
        <x:f>IF(V184="","",LOWER(SUBSTITUTE(SUBSTITUTE(SUBSTITUTE(SUBSTITUTE(TRIM(V184),"https://doi.org/",""),"http://doi.org/",""),"https://dx.doi.org/",""),"doi:","")))</x:f>
      </x:c>
      <x:c r="X184" s="174"/>
      <x:c r="Y184" s="174"/>
      <x:c r="Z184" s="174"/>
      <x:c r="AA184" s="174"/>
      <x:c r="AB184" s="174"/>
      <x:c r="AC184" s="174"/>
      <x:c r="AD184" s="177"/>
      <x:c r="AE184" s="177"/>
      <x:c r="AF184" s="174"/>
      <x:c r="AG184" s="174"/>
      <x:c r="AH184" s="174"/>
      <x:c r="AI184" s="174"/>
      <x:c r="AJ184" s="174"/>
      <x:c r="AK184" s="175" t="str">
        <x:f>IF(AJ184="","",IF(OR(LOWER(AJ184)="brazil",LOWER(AJ184)="brasil"),"Yes","No"))</x:f>
      </x:c>
      <x:c r="AL184" s="174"/>
      <x:c r="AM184" s="174"/>
      <x:c r="AN184" s="174"/>
      <x:c r="AO184" s="178"/>
      <x:c r="AP184" s="174"/>
      <x:c r="AQ184" s="174"/>
      <x:c r="AR184" s="174"/>
      <x:c r="AS184" s="174"/>
      <x:c r="AT184" s="174"/>
      <x:c r="AU184" s="174"/>
      <x:c r="AV184" s="174"/>
      <x:c r="AW184" s="174"/>
      <x:c r="AX184" s="174"/>
      <x:c r="AY184" s="174"/>
      <x:c r="AZ184" s="174"/>
      <x:c r="BA184" s="174"/>
      <x:c r="BB184" s="174"/>
      <x:c r="BC184" s="174"/>
      <x:c r="BD184" s="174"/>
      <x:c r="BE184" s="174"/>
      <x:c r="BF184" s="174"/>
      <x:c r="BG184" s="174"/>
      <x:c r="BH184" s="174"/>
      <x:c r="BI184" s="174"/>
      <x:c r="BJ184" s="174"/>
      <x:c r="BK184" s="174"/>
      <x:c r="BL184" s="174"/>
      <x:c r="BM184" s="174"/>
      <x:c r="BN184" s="174"/>
      <x:c r="BO184" s="174"/>
      <x:c r="BP184" s="174"/>
      <x:c r="BQ184" s="174"/>
      <x:c r="BR184" s="174"/>
      <x:c r="BS184" s="174"/>
      <x:c r="BT184" s="174"/>
      <x:c r="BU184" s="174"/>
      <x:c r="BV184" s="174"/>
      <x:c r="BW184" s="174"/>
      <x:c r="BX184" s="174"/>
      <x:c r="BY184" s="174"/>
      <x:c r="BZ184" s="174"/>
      <x:c r="CA184" s="174"/>
      <x:c r="CB184" s="174"/>
      <x:c r="CC184" s="174"/>
      <x:c r="CD184" s="174"/>
      <x:c r="CE184" s="174"/>
      <x:c r="CF184" s="174"/>
      <x:c r="CG184" s="174"/>
      <x:c r="CH184" s="174"/>
      <x:c r="CI184" s="179"/>
      <x:c r="CJ184" s="174"/>
      <x:c r="CK184" s="174"/>
      <x:c r="CL184" s="174"/>
      <x:c r="CM184" s="174"/>
      <x:c r="CN184" s="174"/>
      <x:c r="CO184" s="177"/>
      <x:c r="CP184" s="174"/>
      <x:c r="CQ184" s="174"/>
      <x:c r="CR184" s="174"/>
      <x:c r="CS184" s="174"/>
      <x:c r="CT184" s="174"/>
      <x:c r="CU184" s="176"/>
      <x:c r="CV184" s="176"/>
      <x:c r="CW184" s="176"/>
      <x:c r="CX184" s="176"/>
      <x:c r="CY184" s="176"/>
      <x:c r="CZ184" s="176"/>
      <x:c r="DA184" s="176"/>
      <x:c r="DB184" s="175" t="str">
        <x:f>IF(L184="","",IF(COUNT(CU184:DA184)&lt;7,"",SUM(CU184:DA184)))</x:f>
      </x:c>
      <x:c r="DC184" s="180" t="str">
        <x:f>IF(DB184="","",ROUND(DB184/14*10,1))</x:f>
      </x:c>
      <x:c r="DD184" s="174"/>
      <x:c r="DE184" s="175" t="str">
        <x:f>IF(L184="","",IF(DC184="","Pending",IF(DD184="Yes","CONDITIONAL — safety override",IF(DC184&gt;=8,"HIGH",IF(DC184&gt;=5,"CONDITIONAL","LOW")))))</x:f>
      </x:c>
      <x:c r="DF184" s="174"/>
      <x:c r="DG184" s="174"/>
      <x:c r="DH184" s="174"/>
      <x:c r="DI184" s="174"/>
      <x:c r="DJ184" s="174"/>
      <x:c r="DK184" s="174"/>
      <x:c r="DL184" s="174"/>
      <x:c r="DM184" s="174"/>
      <x:c r="DN184" s="174"/>
      <x:c r="DO184" s="174"/>
      <x:c r="DP184" s="174"/>
      <x:c r="DQ184" s="174"/>
      <x:c r="DR184" s="174"/>
      <x:c r="DS184" s="174"/>
      <x:c r="DT184" s="174"/>
      <x:c r="DU184" s="174"/>
      <x:c r="DV184" s="174"/>
      <x:c r="DW184" s="174"/>
      <x:c r="DX184" s="174"/>
      <x:c r="DY184" s="174"/>
      <x:c r="DZ184" s="174"/>
      <x:c r="EA184" s="174"/>
      <x:c r="EB184" s="175" t="str">
        <x:f>IF(L184="","",IF(AND(F184="Claim-ready",CJ184="Yes",CL184="Yes",DZ184&lt;&gt;""),"Yes","No / Pending"))</x:f>
      </x:c>
      <x:c r="EC184" s="174"/>
      <x:c r="ED184" s="174"/>
      <x:c r="EE184" s="174"/>
      <x:c r="EF184" s="174"/>
      <x:c r="EG184" s="174"/>
      <x:c r="EH184" s="177"/>
      <x:c r="EI184" s="174"/>
      <x:c r="EJ184" s="174"/>
      <x:c r="EK184" s="174"/>
      <x:c r="EL184" s="177"/>
      <x:c r="EM184" s="174"/>
      <x:c r="EN184" s="181" t="str">
        <x:f>IF(L184="","",(IF(N184&lt;&gt;"",1,0)+IF(O184&lt;&gt;"",1,0)+IF(AJ184&lt;&gt;"",1,0)+IF(AU184&lt;&gt;"",1,0)+IF(BE184&lt;&gt;"",1,0)+IF(CF184&lt;&gt;"",1,0)+IF(CJ184="Yes",1,0)+IF(CL184="Yes",1,0)+IF(DE184&lt;&gt;"Pending",1,0)+IF(F184&lt;&gt;"",1,0)+IF(DZ184&lt;&gt;"",1,0)+IF(EI184&lt;&gt;"",1,0))/12)</x:f>
      </x:c>
    </x:row>
    <x:row r="185">
      <x:c r="A185" s="175" t="str">
        <x:f>IF(L185="","","EV-"&amp;TEXT(ROW()-3,"0000"))</x:f>
      </x:c>
      <x:c r="B185" s="174"/>
      <x:c r="C185" s="175" t="str">
        <x:f>IF(L185="","",IF(OR(CM185="Retracted",CN185="Retracted",F185="Not used"),"🔴 Do not use for conclusion",IF(OR(R185="Official / Institutional",I185="Official / contextual"),"🔵 Official / contextual",IF(OR(I185="Definition",I185="Framework",I185="Paradigm shift"),"🟣 Conceptual key source",IF(AND(CJ185="Yes",CL185="Yes",OR(CG185="High",CG185="Moderate"),CH185&lt;&gt;"High",CH185&lt;&gt;"Critical",F185="Claim-ready"),"🟢 Claim-ready","🟡 Caution / context")))))</x:f>
      </x:c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6"/>
      <x:c r="P185" s="174"/>
      <x:c r="Q185" s="174"/>
      <x:c r="R185" s="174"/>
      <x:c r="S185" s="174"/>
      <x:c r="T185" s="174"/>
      <x:c r="U185" s="174"/>
      <x:c r="V185" s="174"/>
      <x:c r="W185" s="175" t="str">
        <x:f>IF(V185="","",LOWER(SUBSTITUTE(SUBSTITUTE(SUBSTITUTE(SUBSTITUTE(TRIM(V185),"https://doi.org/",""),"http://doi.org/",""),"https://dx.doi.org/",""),"doi:","")))</x:f>
      </x:c>
      <x:c r="X185" s="174"/>
      <x:c r="Y185" s="174"/>
      <x:c r="Z185" s="174"/>
      <x:c r="AA185" s="174"/>
      <x:c r="AB185" s="174"/>
      <x:c r="AC185" s="174"/>
      <x:c r="AD185" s="177"/>
      <x:c r="AE185" s="177"/>
      <x:c r="AF185" s="174"/>
      <x:c r="AG185" s="174"/>
      <x:c r="AH185" s="174"/>
      <x:c r="AI185" s="174"/>
      <x:c r="AJ185" s="174"/>
      <x:c r="AK185" s="175" t="str">
        <x:f>IF(AJ185="","",IF(OR(LOWER(AJ185)="brazil",LOWER(AJ185)="brasil"),"Yes","No"))</x:f>
      </x:c>
      <x:c r="AL185" s="174"/>
      <x:c r="AM185" s="174"/>
      <x:c r="AN185" s="174"/>
      <x:c r="AO185" s="178"/>
      <x:c r="AP185" s="174"/>
      <x:c r="AQ185" s="174"/>
      <x:c r="AR185" s="174"/>
      <x:c r="AS185" s="174"/>
      <x:c r="AT185" s="174"/>
      <x:c r="AU185" s="174"/>
      <x:c r="AV185" s="174"/>
      <x:c r="AW185" s="174"/>
      <x:c r="AX185" s="174"/>
      <x:c r="AY185" s="174"/>
      <x:c r="AZ185" s="174"/>
      <x:c r="BA185" s="174"/>
      <x:c r="BB185" s="174"/>
      <x:c r="BC185" s="174"/>
      <x:c r="BD185" s="174"/>
      <x:c r="BE185" s="174"/>
      <x:c r="BF185" s="174"/>
      <x:c r="BG185" s="174"/>
      <x:c r="BH185" s="174"/>
      <x:c r="BI185" s="174"/>
      <x:c r="BJ185" s="174"/>
      <x:c r="BK185" s="174"/>
      <x:c r="BL185" s="174"/>
      <x:c r="BM185" s="174"/>
      <x:c r="BN185" s="174"/>
      <x:c r="BO185" s="174"/>
      <x:c r="BP185" s="174"/>
      <x:c r="BQ185" s="174"/>
      <x:c r="BR185" s="174"/>
      <x:c r="BS185" s="174"/>
      <x:c r="BT185" s="174"/>
      <x:c r="BU185" s="174"/>
      <x:c r="BV185" s="174"/>
      <x:c r="BW185" s="174"/>
      <x:c r="BX185" s="174"/>
      <x:c r="BY185" s="174"/>
      <x:c r="BZ185" s="174"/>
      <x:c r="CA185" s="174"/>
      <x:c r="CB185" s="174"/>
      <x:c r="CC185" s="174"/>
      <x:c r="CD185" s="174"/>
      <x:c r="CE185" s="174"/>
      <x:c r="CF185" s="174"/>
      <x:c r="CG185" s="174"/>
      <x:c r="CH185" s="174"/>
      <x:c r="CI185" s="179"/>
      <x:c r="CJ185" s="174"/>
      <x:c r="CK185" s="174"/>
      <x:c r="CL185" s="174"/>
      <x:c r="CM185" s="174"/>
      <x:c r="CN185" s="174"/>
      <x:c r="CO185" s="177"/>
      <x:c r="CP185" s="174"/>
      <x:c r="CQ185" s="174"/>
      <x:c r="CR185" s="174"/>
      <x:c r="CS185" s="174"/>
      <x:c r="CT185" s="174"/>
      <x:c r="CU185" s="176"/>
      <x:c r="CV185" s="176"/>
      <x:c r="CW185" s="176"/>
      <x:c r="CX185" s="176"/>
      <x:c r="CY185" s="176"/>
      <x:c r="CZ185" s="176"/>
      <x:c r="DA185" s="176"/>
      <x:c r="DB185" s="175" t="str">
        <x:f>IF(L185="","",IF(COUNT(CU185:DA185)&lt;7,"",SUM(CU185:DA185)))</x:f>
      </x:c>
      <x:c r="DC185" s="180" t="str">
        <x:f>IF(DB185="","",ROUND(DB185/14*10,1))</x:f>
      </x:c>
      <x:c r="DD185" s="174"/>
      <x:c r="DE185" s="175" t="str">
        <x:f>IF(L185="","",IF(DC185="","Pending",IF(DD185="Yes","CONDITIONAL — safety override",IF(DC185&gt;=8,"HIGH",IF(DC185&gt;=5,"CONDITIONAL","LOW")))))</x:f>
      </x:c>
      <x:c r="DF185" s="174"/>
      <x:c r="DG185" s="174"/>
      <x:c r="DH185" s="174"/>
      <x:c r="DI185" s="174"/>
      <x:c r="DJ185" s="174"/>
      <x:c r="DK185" s="174"/>
      <x:c r="DL185" s="174"/>
      <x:c r="DM185" s="174"/>
      <x:c r="DN185" s="174"/>
      <x:c r="DO185" s="174"/>
      <x:c r="DP185" s="174"/>
      <x:c r="DQ185" s="174"/>
      <x:c r="DR185" s="174"/>
      <x:c r="DS185" s="174"/>
      <x:c r="DT185" s="174"/>
      <x:c r="DU185" s="174"/>
      <x:c r="DV185" s="174"/>
      <x:c r="DW185" s="174"/>
      <x:c r="DX185" s="174"/>
      <x:c r="DY185" s="174"/>
      <x:c r="DZ185" s="174"/>
      <x:c r="EA185" s="174"/>
      <x:c r="EB185" s="175" t="str">
        <x:f>IF(L185="","",IF(AND(F185="Claim-ready",CJ185="Yes",CL185="Yes",DZ185&lt;&gt;""),"Yes","No / Pending"))</x:f>
      </x:c>
      <x:c r="EC185" s="174"/>
      <x:c r="ED185" s="174"/>
      <x:c r="EE185" s="174"/>
      <x:c r="EF185" s="174"/>
      <x:c r="EG185" s="174"/>
      <x:c r="EH185" s="177"/>
      <x:c r="EI185" s="174"/>
      <x:c r="EJ185" s="174"/>
      <x:c r="EK185" s="174"/>
      <x:c r="EL185" s="177"/>
      <x:c r="EM185" s="174"/>
      <x:c r="EN185" s="181" t="str">
        <x:f>IF(L185="","",(IF(N185&lt;&gt;"",1,0)+IF(O185&lt;&gt;"",1,0)+IF(AJ185&lt;&gt;"",1,0)+IF(AU185&lt;&gt;"",1,0)+IF(BE185&lt;&gt;"",1,0)+IF(CF185&lt;&gt;"",1,0)+IF(CJ185="Yes",1,0)+IF(CL185="Yes",1,0)+IF(DE185&lt;&gt;"Pending",1,0)+IF(F185&lt;&gt;"",1,0)+IF(DZ185&lt;&gt;"",1,0)+IF(EI185&lt;&gt;"",1,0))/12)</x:f>
      </x:c>
    </x:row>
    <x:row r="186">
      <x:c r="A186" s="175" t="str">
        <x:f>IF(L186="","","EV-"&amp;TEXT(ROW()-3,"0000"))</x:f>
      </x:c>
      <x:c r="B186" s="174"/>
      <x:c r="C186" s="175" t="str">
        <x:f>IF(L186="","",IF(OR(CM186="Retracted",CN186="Retracted",F186="Not used"),"🔴 Do not use for conclusion",IF(OR(R186="Official / Institutional",I186="Official / contextual"),"🔵 Official / contextual",IF(OR(I186="Definition",I186="Framework",I186="Paradigm shift"),"🟣 Conceptual key source",IF(AND(CJ186="Yes",CL186="Yes",OR(CG186="High",CG186="Moderate"),CH186&lt;&gt;"High",CH186&lt;&gt;"Critical",F186="Claim-ready"),"🟢 Claim-ready","🟡 Caution / context")))))</x:f>
      </x:c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6"/>
      <x:c r="P186" s="174"/>
      <x:c r="Q186" s="174"/>
      <x:c r="R186" s="174"/>
      <x:c r="S186" s="174"/>
      <x:c r="T186" s="174"/>
      <x:c r="U186" s="174"/>
      <x:c r="V186" s="174"/>
      <x:c r="W186" s="175" t="str">
        <x:f>IF(V186="","",LOWER(SUBSTITUTE(SUBSTITUTE(SUBSTITUTE(SUBSTITUTE(TRIM(V186),"https://doi.org/",""),"http://doi.org/",""),"https://dx.doi.org/",""),"doi:","")))</x:f>
      </x:c>
      <x:c r="X186" s="174"/>
      <x:c r="Y186" s="174"/>
      <x:c r="Z186" s="174"/>
      <x:c r="AA186" s="174"/>
      <x:c r="AB186" s="174"/>
      <x:c r="AC186" s="174"/>
      <x:c r="AD186" s="177"/>
      <x:c r="AE186" s="177"/>
      <x:c r="AF186" s="174"/>
      <x:c r="AG186" s="174"/>
      <x:c r="AH186" s="174"/>
      <x:c r="AI186" s="174"/>
      <x:c r="AJ186" s="174"/>
      <x:c r="AK186" s="175" t="str">
        <x:f>IF(AJ186="","",IF(OR(LOWER(AJ186)="brazil",LOWER(AJ186)="brasil"),"Yes","No"))</x:f>
      </x:c>
      <x:c r="AL186" s="174"/>
      <x:c r="AM186" s="174"/>
      <x:c r="AN186" s="174"/>
      <x:c r="AO186" s="178"/>
      <x:c r="AP186" s="174"/>
      <x:c r="AQ186" s="174"/>
      <x:c r="AR186" s="174"/>
      <x:c r="AS186" s="174"/>
      <x:c r="AT186" s="174"/>
      <x:c r="AU186" s="174"/>
      <x:c r="AV186" s="174"/>
      <x:c r="AW186" s="174"/>
      <x:c r="AX186" s="174"/>
      <x:c r="AY186" s="174"/>
      <x:c r="AZ186" s="174"/>
      <x:c r="BA186" s="174"/>
      <x:c r="BB186" s="174"/>
      <x:c r="BC186" s="174"/>
      <x:c r="BD186" s="174"/>
      <x:c r="BE186" s="174"/>
      <x:c r="BF186" s="174"/>
      <x:c r="BG186" s="174"/>
      <x:c r="BH186" s="174"/>
      <x:c r="BI186" s="174"/>
      <x:c r="BJ186" s="174"/>
      <x:c r="BK186" s="174"/>
      <x:c r="BL186" s="174"/>
      <x:c r="BM186" s="174"/>
      <x:c r="BN186" s="174"/>
      <x:c r="BO186" s="174"/>
      <x:c r="BP186" s="174"/>
      <x:c r="BQ186" s="174"/>
      <x:c r="BR186" s="174"/>
      <x:c r="BS186" s="174"/>
      <x:c r="BT186" s="174"/>
      <x:c r="BU186" s="174"/>
      <x:c r="BV186" s="174"/>
      <x:c r="BW186" s="174"/>
      <x:c r="BX186" s="174"/>
      <x:c r="BY186" s="174"/>
      <x:c r="BZ186" s="174"/>
      <x:c r="CA186" s="174"/>
      <x:c r="CB186" s="174"/>
      <x:c r="CC186" s="174"/>
      <x:c r="CD186" s="174"/>
      <x:c r="CE186" s="174"/>
      <x:c r="CF186" s="174"/>
      <x:c r="CG186" s="174"/>
      <x:c r="CH186" s="174"/>
      <x:c r="CI186" s="179"/>
      <x:c r="CJ186" s="174"/>
      <x:c r="CK186" s="174"/>
      <x:c r="CL186" s="174"/>
      <x:c r="CM186" s="174"/>
      <x:c r="CN186" s="174"/>
      <x:c r="CO186" s="177"/>
      <x:c r="CP186" s="174"/>
      <x:c r="CQ186" s="174"/>
      <x:c r="CR186" s="174"/>
      <x:c r="CS186" s="174"/>
      <x:c r="CT186" s="174"/>
      <x:c r="CU186" s="176"/>
      <x:c r="CV186" s="176"/>
      <x:c r="CW186" s="176"/>
      <x:c r="CX186" s="176"/>
      <x:c r="CY186" s="176"/>
      <x:c r="CZ186" s="176"/>
      <x:c r="DA186" s="176"/>
      <x:c r="DB186" s="175" t="str">
        <x:f>IF(L186="","",IF(COUNT(CU186:DA186)&lt;7,"",SUM(CU186:DA186)))</x:f>
      </x:c>
      <x:c r="DC186" s="180" t="str">
        <x:f>IF(DB186="","",ROUND(DB186/14*10,1))</x:f>
      </x:c>
      <x:c r="DD186" s="174"/>
      <x:c r="DE186" s="175" t="str">
        <x:f>IF(L186="","",IF(DC186="","Pending",IF(DD186="Yes","CONDITIONAL — safety override",IF(DC186&gt;=8,"HIGH",IF(DC186&gt;=5,"CONDITIONAL","LOW")))))</x:f>
      </x:c>
      <x:c r="DF186" s="174"/>
      <x:c r="DG186" s="174"/>
      <x:c r="DH186" s="174"/>
      <x:c r="DI186" s="174"/>
      <x:c r="DJ186" s="174"/>
      <x:c r="DK186" s="174"/>
      <x:c r="DL186" s="174"/>
      <x:c r="DM186" s="174"/>
      <x:c r="DN186" s="174"/>
      <x:c r="DO186" s="174"/>
      <x:c r="DP186" s="174"/>
      <x:c r="DQ186" s="174"/>
      <x:c r="DR186" s="174"/>
      <x:c r="DS186" s="174"/>
      <x:c r="DT186" s="174"/>
      <x:c r="DU186" s="174"/>
      <x:c r="DV186" s="174"/>
      <x:c r="DW186" s="174"/>
      <x:c r="DX186" s="174"/>
      <x:c r="DY186" s="174"/>
      <x:c r="DZ186" s="174"/>
      <x:c r="EA186" s="174"/>
      <x:c r="EB186" s="175" t="str">
        <x:f>IF(L186="","",IF(AND(F186="Claim-ready",CJ186="Yes",CL186="Yes",DZ186&lt;&gt;""),"Yes","No / Pending"))</x:f>
      </x:c>
      <x:c r="EC186" s="174"/>
      <x:c r="ED186" s="174"/>
      <x:c r="EE186" s="174"/>
      <x:c r="EF186" s="174"/>
      <x:c r="EG186" s="174"/>
      <x:c r="EH186" s="177"/>
      <x:c r="EI186" s="174"/>
      <x:c r="EJ186" s="174"/>
      <x:c r="EK186" s="174"/>
      <x:c r="EL186" s="177"/>
      <x:c r="EM186" s="174"/>
      <x:c r="EN186" s="181" t="str">
        <x:f>IF(L186="","",(IF(N186&lt;&gt;"",1,0)+IF(O186&lt;&gt;"",1,0)+IF(AJ186&lt;&gt;"",1,0)+IF(AU186&lt;&gt;"",1,0)+IF(BE186&lt;&gt;"",1,0)+IF(CF186&lt;&gt;"",1,0)+IF(CJ186="Yes",1,0)+IF(CL186="Yes",1,0)+IF(DE186&lt;&gt;"Pending",1,0)+IF(F186&lt;&gt;"",1,0)+IF(DZ186&lt;&gt;"",1,0)+IF(EI186&lt;&gt;"",1,0))/12)</x:f>
      </x:c>
    </x:row>
    <x:row r="187">
      <x:c r="A187" s="175" t="str">
        <x:f>IF(L187="","","EV-"&amp;TEXT(ROW()-3,"0000"))</x:f>
      </x:c>
      <x:c r="B187" s="174"/>
      <x:c r="C187" s="175" t="str">
        <x:f>IF(L187="","",IF(OR(CM187="Retracted",CN187="Retracted",F187="Not used"),"🔴 Do not use for conclusion",IF(OR(R187="Official / Institutional",I187="Official / contextual"),"🔵 Official / contextual",IF(OR(I187="Definition",I187="Framework",I187="Paradigm shift"),"🟣 Conceptual key source",IF(AND(CJ187="Yes",CL187="Yes",OR(CG187="High",CG187="Moderate"),CH187&lt;&gt;"High",CH187&lt;&gt;"Critical",F187="Claim-ready"),"🟢 Claim-ready","🟡 Caution / context")))))</x:f>
      </x:c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6"/>
      <x:c r="P187" s="174"/>
      <x:c r="Q187" s="174"/>
      <x:c r="R187" s="174"/>
      <x:c r="S187" s="174"/>
      <x:c r="T187" s="174"/>
      <x:c r="U187" s="174"/>
      <x:c r="V187" s="174"/>
      <x:c r="W187" s="175" t="str">
        <x:f>IF(V187="","",LOWER(SUBSTITUTE(SUBSTITUTE(SUBSTITUTE(SUBSTITUTE(TRIM(V187),"https://doi.org/",""),"http://doi.org/",""),"https://dx.doi.org/",""),"doi:","")))</x:f>
      </x:c>
      <x:c r="X187" s="174"/>
      <x:c r="Y187" s="174"/>
      <x:c r="Z187" s="174"/>
      <x:c r="AA187" s="174"/>
      <x:c r="AB187" s="174"/>
      <x:c r="AC187" s="174"/>
      <x:c r="AD187" s="177"/>
      <x:c r="AE187" s="177"/>
      <x:c r="AF187" s="174"/>
      <x:c r="AG187" s="174"/>
      <x:c r="AH187" s="174"/>
      <x:c r="AI187" s="174"/>
      <x:c r="AJ187" s="174"/>
      <x:c r="AK187" s="175" t="str">
        <x:f>IF(AJ187="","",IF(OR(LOWER(AJ187)="brazil",LOWER(AJ187)="brasil"),"Yes","No"))</x:f>
      </x:c>
      <x:c r="AL187" s="174"/>
      <x:c r="AM187" s="174"/>
      <x:c r="AN187" s="174"/>
      <x:c r="AO187" s="178"/>
      <x:c r="AP187" s="174"/>
      <x:c r="AQ187" s="174"/>
      <x:c r="AR187" s="174"/>
      <x:c r="AS187" s="174"/>
      <x:c r="AT187" s="174"/>
      <x:c r="AU187" s="174"/>
      <x:c r="AV187" s="174"/>
      <x:c r="AW187" s="174"/>
      <x:c r="AX187" s="174"/>
      <x:c r="AY187" s="174"/>
      <x:c r="AZ187" s="174"/>
      <x:c r="BA187" s="174"/>
      <x:c r="BB187" s="174"/>
      <x:c r="BC187" s="174"/>
      <x:c r="BD187" s="174"/>
      <x:c r="BE187" s="174"/>
      <x:c r="BF187" s="174"/>
      <x:c r="BG187" s="174"/>
      <x:c r="BH187" s="174"/>
      <x:c r="BI187" s="174"/>
      <x:c r="BJ187" s="174"/>
      <x:c r="BK187" s="174"/>
      <x:c r="BL187" s="174"/>
      <x:c r="BM187" s="174"/>
      <x:c r="BN187" s="174"/>
      <x:c r="BO187" s="174"/>
      <x:c r="BP187" s="174"/>
      <x:c r="BQ187" s="174"/>
      <x:c r="BR187" s="174"/>
      <x:c r="BS187" s="174"/>
      <x:c r="BT187" s="174"/>
      <x:c r="BU187" s="174"/>
      <x:c r="BV187" s="174"/>
      <x:c r="BW187" s="174"/>
      <x:c r="BX187" s="174"/>
      <x:c r="BY187" s="174"/>
      <x:c r="BZ187" s="174"/>
      <x:c r="CA187" s="174"/>
      <x:c r="CB187" s="174"/>
      <x:c r="CC187" s="174"/>
      <x:c r="CD187" s="174"/>
      <x:c r="CE187" s="174"/>
      <x:c r="CF187" s="174"/>
      <x:c r="CG187" s="174"/>
      <x:c r="CH187" s="174"/>
      <x:c r="CI187" s="179"/>
      <x:c r="CJ187" s="174"/>
      <x:c r="CK187" s="174"/>
      <x:c r="CL187" s="174"/>
      <x:c r="CM187" s="174"/>
      <x:c r="CN187" s="174"/>
      <x:c r="CO187" s="177"/>
      <x:c r="CP187" s="174"/>
      <x:c r="CQ187" s="174"/>
      <x:c r="CR187" s="174"/>
      <x:c r="CS187" s="174"/>
      <x:c r="CT187" s="174"/>
      <x:c r="CU187" s="176"/>
      <x:c r="CV187" s="176"/>
      <x:c r="CW187" s="176"/>
      <x:c r="CX187" s="176"/>
      <x:c r="CY187" s="176"/>
      <x:c r="CZ187" s="176"/>
      <x:c r="DA187" s="176"/>
      <x:c r="DB187" s="175" t="str">
        <x:f>IF(L187="","",IF(COUNT(CU187:DA187)&lt;7,"",SUM(CU187:DA187)))</x:f>
      </x:c>
      <x:c r="DC187" s="180" t="str">
        <x:f>IF(DB187="","",ROUND(DB187/14*10,1))</x:f>
      </x:c>
      <x:c r="DD187" s="174"/>
      <x:c r="DE187" s="175" t="str">
        <x:f>IF(L187="","",IF(DC187="","Pending",IF(DD187="Yes","CONDITIONAL — safety override",IF(DC187&gt;=8,"HIGH",IF(DC187&gt;=5,"CONDITIONAL","LOW")))))</x:f>
      </x:c>
      <x:c r="DF187" s="174"/>
      <x:c r="DG187" s="174"/>
      <x:c r="DH187" s="174"/>
      <x:c r="DI187" s="174"/>
      <x:c r="DJ187" s="174"/>
      <x:c r="DK187" s="174"/>
      <x:c r="DL187" s="174"/>
      <x:c r="DM187" s="174"/>
      <x:c r="DN187" s="174"/>
      <x:c r="DO187" s="174"/>
      <x:c r="DP187" s="174"/>
      <x:c r="DQ187" s="174"/>
      <x:c r="DR187" s="174"/>
      <x:c r="DS187" s="174"/>
      <x:c r="DT187" s="174"/>
      <x:c r="DU187" s="174"/>
      <x:c r="DV187" s="174"/>
      <x:c r="DW187" s="174"/>
      <x:c r="DX187" s="174"/>
      <x:c r="DY187" s="174"/>
      <x:c r="DZ187" s="174"/>
      <x:c r="EA187" s="174"/>
      <x:c r="EB187" s="175" t="str">
        <x:f>IF(L187="","",IF(AND(F187="Claim-ready",CJ187="Yes",CL187="Yes",DZ187&lt;&gt;""),"Yes","No / Pending"))</x:f>
      </x:c>
      <x:c r="EC187" s="174"/>
      <x:c r="ED187" s="174"/>
      <x:c r="EE187" s="174"/>
      <x:c r="EF187" s="174"/>
      <x:c r="EG187" s="174"/>
      <x:c r="EH187" s="177"/>
      <x:c r="EI187" s="174"/>
      <x:c r="EJ187" s="174"/>
      <x:c r="EK187" s="174"/>
      <x:c r="EL187" s="177"/>
      <x:c r="EM187" s="174"/>
      <x:c r="EN187" s="181" t="str">
        <x:f>IF(L187="","",(IF(N187&lt;&gt;"",1,0)+IF(O187&lt;&gt;"",1,0)+IF(AJ187&lt;&gt;"",1,0)+IF(AU187&lt;&gt;"",1,0)+IF(BE187&lt;&gt;"",1,0)+IF(CF187&lt;&gt;"",1,0)+IF(CJ187="Yes",1,0)+IF(CL187="Yes",1,0)+IF(DE187&lt;&gt;"Pending",1,0)+IF(F187&lt;&gt;"",1,0)+IF(DZ187&lt;&gt;"",1,0)+IF(EI187&lt;&gt;"",1,0))/12)</x:f>
      </x:c>
    </x:row>
    <x:row r="188">
      <x:c r="A188" s="175" t="str">
        <x:f>IF(L188="","","EV-"&amp;TEXT(ROW()-3,"0000"))</x:f>
      </x:c>
      <x:c r="B188" s="174"/>
      <x:c r="C188" s="175" t="str">
        <x:f>IF(L188="","",IF(OR(CM188="Retracted",CN188="Retracted",F188="Not used"),"🔴 Do not use for conclusion",IF(OR(R188="Official / Institutional",I188="Official / contextual"),"🔵 Official / contextual",IF(OR(I188="Definition",I188="Framework",I188="Paradigm shift"),"🟣 Conceptual key source",IF(AND(CJ188="Yes",CL188="Yes",OR(CG188="High",CG188="Moderate"),CH188&lt;&gt;"High",CH188&lt;&gt;"Critical",F188="Claim-ready"),"🟢 Claim-ready","🟡 Caution / context")))))</x:f>
      </x:c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6"/>
      <x:c r="P188" s="174"/>
      <x:c r="Q188" s="174"/>
      <x:c r="R188" s="174"/>
      <x:c r="S188" s="174"/>
      <x:c r="T188" s="174"/>
      <x:c r="U188" s="174"/>
      <x:c r="V188" s="174"/>
      <x:c r="W188" s="175" t="str">
        <x:f>IF(V188="","",LOWER(SUBSTITUTE(SUBSTITUTE(SUBSTITUTE(SUBSTITUTE(TRIM(V188),"https://doi.org/",""),"http://doi.org/",""),"https://dx.doi.org/",""),"doi:","")))</x:f>
      </x:c>
      <x:c r="X188" s="174"/>
      <x:c r="Y188" s="174"/>
      <x:c r="Z188" s="174"/>
      <x:c r="AA188" s="174"/>
      <x:c r="AB188" s="174"/>
      <x:c r="AC188" s="174"/>
      <x:c r="AD188" s="177"/>
      <x:c r="AE188" s="177"/>
      <x:c r="AF188" s="174"/>
      <x:c r="AG188" s="174"/>
      <x:c r="AH188" s="174"/>
      <x:c r="AI188" s="174"/>
      <x:c r="AJ188" s="174"/>
      <x:c r="AK188" s="175" t="str">
        <x:f>IF(AJ188="","",IF(OR(LOWER(AJ188)="brazil",LOWER(AJ188)="brasil"),"Yes","No"))</x:f>
      </x:c>
      <x:c r="AL188" s="174"/>
      <x:c r="AM188" s="174"/>
      <x:c r="AN188" s="174"/>
      <x:c r="AO188" s="178"/>
      <x:c r="AP188" s="174"/>
      <x:c r="AQ188" s="174"/>
      <x:c r="AR188" s="174"/>
      <x:c r="AS188" s="174"/>
      <x:c r="AT188" s="174"/>
      <x:c r="AU188" s="174"/>
      <x:c r="AV188" s="174"/>
      <x:c r="AW188" s="174"/>
      <x:c r="AX188" s="174"/>
      <x:c r="AY188" s="174"/>
      <x:c r="AZ188" s="174"/>
      <x:c r="BA188" s="174"/>
      <x:c r="BB188" s="174"/>
      <x:c r="BC188" s="174"/>
      <x:c r="BD188" s="174"/>
      <x:c r="BE188" s="174"/>
      <x:c r="BF188" s="174"/>
      <x:c r="BG188" s="174"/>
      <x:c r="BH188" s="174"/>
      <x:c r="BI188" s="174"/>
      <x:c r="BJ188" s="174"/>
      <x:c r="BK188" s="174"/>
      <x:c r="BL188" s="174"/>
      <x:c r="BM188" s="174"/>
      <x:c r="BN188" s="174"/>
      <x:c r="BO188" s="174"/>
      <x:c r="BP188" s="174"/>
      <x:c r="BQ188" s="174"/>
      <x:c r="BR188" s="174"/>
      <x:c r="BS188" s="174"/>
      <x:c r="BT188" s="174"/>
      <x:c r="BU188" s="174"/>
      <x:c r="BV188" s="174"/>
      <x:c r="BW188" s="174"/>
      <x:c r="BX188" s="174"/>
      <x:c r="BY188" s="174"/>
      <x:c r="BZ188" s="174"/>
      <x:c r="CA188" s="174"/>
      <x:c r="CB188" s="174"/>
      <x:c r="CC188" s="174"/>
      <x:c r="CD188" s="174"/>
      <x:c r="CE188" s="174"/>
      <x:c r="CF188" s="174"/>
      <x:c r="CG188" s="174"/>
      <x:c r="CH188" s="174"/>
      <x:c r="CI188" s="179"/>
      <x:c r="CJ188" s="174"/>
      <x:c r="CK188" s="174"/>
      <x:c r="CL188" s="174"/>
      <x:c r="CM188" s="174"/>
      <x:c r="CN188" s="174"/>
      <x:c r="CO188" s="177"/>
      <x:c r="CP188" s="174"/>
      <x:c r="CQ188" s="174"/>
      <x:c r="CR188" s="174"/>
      <x:c r="CS188" s="174"/>
      <x:c r="CT188" s="174"/>
      <x:c r="CU188" s="176"/>
      <x:c r="CV188" s="176"/>
      <x:c r="CW188" s="176"/>
      <x:c r="CX188" s="176"/>
      <x:c r="CY188" s="176"/>
      <x:c r="CZ188" s="176"/>
      <x:c r="DA188" s="176"/>
      <x:c r="DB188" s="175" t="str">
        <x:f>IF(L188="","",IF(COUNT(CU188:DA188)&lt;7,"",SUM(CU188:DA188)))</x:f>
      </x:c>
      <x:c r="DC188" s="180" t="str">
        <x:f>IF(DB188="","",ROUND(DB188/14*10,1))</x:f>
      </x:c>
      <x:c r="DD188" s="174"/>
      <x:c r="DE188" s="175" t="str">
        <x:f>IF(L188="","",IF(DC188="","Pending",IF(DD188="Yes","CONDITIONAL — safety override",IF(DC188&gt;=8,"HIGH",IF(DC188&gt;=5,"CONDITIONAL","LOW")))))</x:f>
      </x:c>
      <x:c r="DF188" s="174"/>
      <x:c r="DG188" s="174"/>
      <x:c r="DH188" s="174"/>
      <x:c r="DI188" s="174"/>
      <x:c r="DJ188" s="174"/>
      <x:c r="DK188" s="174"/>
      <x:c r="DL188" s="174"/>
      <x:c r="DM188" s="174"/>
      <x:c r="DN188" s="174"/>
      <x:c r="DO188" s="174"/>
      <x:c r="DP188" s="174"/>
      <x:c r="DQ188" s="174"/>
      <x:c r="DR188" s="174"/>
      <x:c r="DS188" s="174"/>
      <x:c r="DT188" s="174"/>
      <x:c r="DU188" s="174"/>
      <x:c r="DV188" s="174"/>
      <x:c r="DW188" s="174"/>
      <x:c r="DX188" s="174"/>
      <x:c r="DY188" s="174"/>
      <x:c r="DZ188" s="174"/>
      <x:c r="EA188" s="174"/>
      <x:c r="EB188" s="175" t="str">
        <x:f>IF(L188="","",IF(AND(F188="Claim-ready",CJ188="Yes",CL188="Yes",DZ188&lt;&gt;""),"Yes","No / Pending"))</x:f>
      </x:c>
      <x:c r="EC188" s="174"/>
      <x:c r="ED188" s="174"/>
      <x:c r="EE188" s="174"/>
      <x:c r="EF188" s="174"/>
      <x:c r="EG188" s="174"/>
      <x:c r="EH188" s="177"/>
      <x:c r="EI188" s="174"/>
      <x:c r="EJ188" s="174"/>
      <x:c r="EK188" s="174"/>
      <x:c r="EL188" s="177"/>
      <x:c r="EM188" s="174"/>
      <x:c r="EN188" s="181" t="str">
        <x:f>IF(L188="","",(IF(N188&lt;&gt;"",1,0)+IF(O188&lt;&gt;"",1,0)+IF(AJ188&lt;&gt;"",1,0)+IF(AU188&lt;&gt;"",1,0)+IF(BE188&lt;&gt;"",1,0)+IF(CF188&lt;&gt;"",1,0)+IF(CJ188="Yes",1,0)+IF(CL188="Yes",1,0)+IF(DE188&lt;&gt;"Pending",1,0)+IF(F188&lt;&gt;"",1,0)+IF(DZ188&lt;&gt;"",1,0)+IF(EI188&lt;&gt;"",1,0))/12)</x:f>
      </x:c>
    </x:row>
    <x:row r="189">
      <x:c r="A189" s="175" t="str">
        <x:f>IF(L189="","","EV-"&amp;TEXT(ROW()-3,"0000"))</x:f>
      </x:c>
      <x:c r="B189" s="174"/>
      <x:c r="C189" s="175" t="str">
        <x:f>IF(L189="","",IF(OR(CM189="Retracted",CN189="Retracted",F189="Not used"),"🔴 Do not use for conclusion",IF(OR(R189="Official / Institutional",I189="Official / contextual"),"🔵 Official / contextual",IF(OR(I189="Definition",I189="Framework",I189="Paradigm shift"),"🟣 Conceptual key source",IF(AND(CJ189="Yes",CL189="Yes",OR(CG189="High",CG189="Moderate"),CH189&lt;&gt;"High",CH189&lt;&gt;"Critical",F189="Claim-ready"),"🟢 Claim-ready","🟡 Caution / context")))))</x:f>
      </x:c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6"/>
      <x:c r="P189" s="174"/>
      <x:c r="Q189" s="174"/>
      <x:c r="R189" s="174"/>
      <x:c r="S189" s="174"/>
      <x:c r="T189" s="174"/>
      <x:c r="U189" s="174"/>
      <x:c r="V189" s="174"/>
      <x:c r="W189" s="175" t="str">
        <x:f>IF(V189="","",LOWER(SUBSTITUTE(SUBSTITUTE(SUBSTITUTE(SUBSTITUTE(TRIM(V189),"https://doi.org/",""),"http://doi.org/",""),"https://dx.doi.org/",""),"doi:","")))</x:f>
      </x:c>
      <x:c r="X189" s="174"/>
      <x:c r="Y189" s="174"/>
      <x:c r="Z189" s="174"/>
      <x:c r="AA189" s="174"/>
      <x:c r="AB189" s="174"/>
      <x:c r="AC189" s="174"/>
      <x:c r="AD189" s="177"/>
      <x:c r="AE189" s="177"/>
      <x:c r="AF189" s="174"/>
      <x:c r="AG189" s="174"/>
      <x:c r="AH189" s="174"/>
      <x:c r="AI189" s="174"/>
      <x:c r="AJ189" s="174"/>
      <x:c r="AK189" s="175" t="str">
        <x:f>IF(AJ189="","",IF(OR(LOWER(AJ189)="brazil",LOWER(AJ189)="brasil"),"Yes","No"))</x:f>
      </x:c>
      <x:c r="AL189" s="174"/>
      <x:c r="AM189" s="174"/>
      <x:c r="AN189" s="174"/>
      <x:c r="AO189" s="178"/>
      <x:c r="AP189" s="174"/>
      <x:c r="AQ189" s="174"/>
      <x:c r="AR189" s="174"/>
      <x:c r="AS189" s="174"/>
      <x:c r="AT189" s="174"/>
      <x:c r="AU189" s="174"/>
      <x:c r="AV189" s="174"/>
      <x:c r="AW189" s="174"/>
      <x:c r="AX189" s="174"/>
      <x:c r="AY189" s="174"/>
      <x:c r="AZ189" s="174"/>
      <x:c r="BA189" s="174"/>
      <x:c r="BB189" s="174"/>
      <x:c r="BC189" s="174"/>
      <x:c r="BD189" s="174"/>
      <x:c r="BE189" s="174"/>
      <x:c r="BF189" s="174"/>
      <x:c r="BG189" s="174"/>
      <x:c r="BH189" s="174"/>
      <x:c r="BI189" s="174"/>
      <x:c r="BJ189" s="174"/>
      <x:c r="BK189" s="174"/>
      <x:c r="BL189" s="174"/>
      <x:c r="BM189" s="174"/>
      <x:c r="BN189" s="174"/>
      <x:c r="BO189" s="174"/>
      <x:c r="BP189" s="174"/>
      <x:c r="BQ189" s="174"/>
      <x:c r="BR189" s="174"/>
      <x:c r="BS189" s="174"/>
      <x:c r="BT189" s="174"/>
      <x:c r="BU189" s="174"/>
      <x:c r="BV189" s="174"/>
      <x:c r="BW189" s="174"/>
      <x:c r="BX189" s="174"/>
      <x:c r="BY189" s="174"/>
      <x:c r="BZ189" s="174"/>
      <x:c r="CA189" s="174"/>
      <x:c r="CB189" s="174"/>
      <x:c r="CC189" s="174"/>
      <x:c r="CD189" s="174"/>
      <x:c r="CE189" s="174"/>
      <x:c r="CF189" s="174"/>
      <x:c r="CG189" s="174"/>
      <x:c r="CH189" s="174"/>
      <x:c r="CI189" s="179"/>
      <x:c r="CJ189" s="174"/>
      <x:c r="CK189" s="174"/>
      <x:c r="CL189" s="174"/>
      <x:c r="CM189" s="174"/>
      <x:c r="CN189" s="174"/>
      <x:c r="CO189" s="177"/>
      <x:c r="CP189" s="174"/>
      <x:c r="CQ189" s="174"/>
      <x:c r="CR189" s="174"/>
      <x:c r="CS189" s="174"/>
      <x:c r="CT189" s="174"/>
      <x:c r="CU189" s="176"/>
      <x:c r="CV189" s="176"/>
      <x:c r="CW189" s="176"/>
      <x:c r="CX189" s="176"/>
      <x:c r="CY189" s="176"/>
      <x:c r="CZ189" s="176"/>
      <x:c r="DA189" s="176"/>
      <x:c r="DB189" s="175" t="str">
        <x:f>IF(L189="","",IF(COUNT(CU189:DA189)&lt;7,"",SUM(CU189:DA189)))</x:f>
      </x:c>
      <x:c r="DC189" s="180" t="str">
        <x:f>IF(DB189="","",ROUND(DB189/14*10,1))</x:f>
      </x:c>
      <x:c r="DD189" s="174"/>
      <x:c r="DE189" s="175" t="str">
        <x:f>IF(L189="","",IF(DC189="","Pending",IF(DD189="Yes","CONDITIONAL — safety override",IF(DC189&gt;=8,"HIGH",IF(DC189&gt;=5,"CONDITIONAL","LOW")))))</x:f>
      </x:c>
      <x:c r="DF189" s="174"/>
      <x:c r="DG189" s="174"/>
      <x:c r="DH189" s="174"/>
      <x:c r="DI189" s="174"/>
      <x:c r="DJ189" s="174"/>
      <x:c r="DK189" s="174"/>
      <x:c r="DL189" s="174"/>
      <x:c r="DM189" s="174"/>
      <x:c r="DN189" s="174"/>
      <x:c r="DO189" s="174"/>
      <x:c r="DP189" s="174"/>
      <x:c r="DQ189" s="174"/>
      <x:c r="DR189" s="174"/>
      <x:c r="DS189" s="174"/>
      <x:c r="DT189" s="174"/>
      <x:c r="DU189" s="174"/>
      <x:c r="DV189" s="174"/>
      <x:c r="DW189" s="174"/>
      <x:c r="DX189" s="174"/>
      <x:c r="DY189" s="174"/>
      <x:c r="DZ189" s="174"/>
      <x:c r="EA189" s="174"/>
      <x:c r="EB189" s="175" t="str">
        <x:f>IF(L189="","",IF(AND(F189="Claim-ready",CJ189="Yes",CL189="Yes",DZ189&lt;&gt;""),"Yes","No / Pending"))</x:f>
      </x:c>
      <x:c r="EC189" s="174"/>
      <x:c r="ED189" s="174"/>
      <x:c r="EE189" s="174"/>
      <x:c r="EF189" s="174"/>
      <x:c r="EG189" s="174"/>
      <x:c r="EH189" s="177"/>
      <x:c r="EI189" s="174"/>
      <x:c r="EJ189" s="174"/>
      <x:c r="EK189" s="174"/>
      <x:c r="EL189" s="177"/>
      <x:c r="EM189" s="174"/>
      <x:c r="EN189" s="181" t="str">
        <x:f>IF(L189="","",(IF(N189&lt;&gt;"",1,0)+IF(O189&lt;&gt;"",1,0)+IF(AJ189&lt;&gt;"",1,0)+IF(AU189&lt;&gt;"",1,0)+IF(BE189&lt;&gt;"",1,0)+IF(CF189&lt;&gt;"",1,0)+IF(CJ189="Yes",1,0)+IF(CL189="Yes",1,0)+IF(DE189&lt;&gt;"Pending",1,0)+IF(F189&lt;&gt;"",1,0)+IF(DZ189&lt;&gt;"",1,0)+IF(EI189&lt;&gt;"",1,0))/12)</x:f>
      </x:c>
    </x:row>
    <x:row r="190">
      <x:c r="A190" s="175" t="str">
        <x:f>IF(L190="","","EV-"&amp;TEXT(ROW()-3,"0000"))</x:f>
      </x:c>
      <x:c r="B190" s="174"/>
      <x:c r="C190" s="175" t="str">
        <x:f>IF(L190="","",IF(OR(CM190="Retracted",CN190="Retracted",F190="Not used"),"🔴 Do not use for conclusion",IF(OR(R190="Official / Institutional",I190="Official / contextual"),"🔵 Official / contextual",IF(OR(I190="Definition",I190="Framework",I190="Paradigm shift"),"🟣 Conceptual key source",IF(AND(CJ190="Yes",CL190="Yes",OR(CG190="High",CG190="Moderate"),CH190&lt;&gt;"High",CH190&lt;&gt;"Critical",F190="Claim-ready"),"🟢 Claim-ready","🟡 Caution / context")))))</x:f>
      </x:c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6"/>
      <x:c r="P190" s="174"/>
      <x:c r="Q190" s="174"/>
      <x:c r="R190" s="174"/>
      <x:c r="S190" s="174"/>
      <x:c r="T190" s="174"/>
      <x:c r="U190" s="174"/>
      <x:c r="V190" s="174"/>
      <x:c r="W190" s="175" t="str">
        <x:f>IF(V190="","",LOWER(SUBSTITUTE(SUBSTITUTE(SUBSTITUTE(SUBSTITUTE(TRIM(V190),"https://doi.org/",""),"http://doi.org/",""),"https://dx.doi.org/",""),"doi:","")))</x:f>
      </x:c>
      <x:c r="X190" s="174"/>
      <x:c r="Y190" s="174"/>
      <x:c r="Z190" s="174"/>
      <x:c r="AA190" s="174"/>
      <x:c r="AB190" s="174"/>
      <x:c r="AC190" s="174"/>
      <x:c r="AD190" s="177"/>
      <x:c r="AE190" s="177"/>
      <x:c r="AF190" s="174"/>
      <x:c r="AG190" s="174"/>
      <x:c r="AH190" s="174"/>
      <x:c r="AI190" s="174"/>
      <x:c r="AJ190" s="174"/>
      <x:c r="AK190" s="175" t="str">
        <x:f>IF(AJ190="","",IF(OR(LOWER(AJ190)="brazil",LOWER(AJ190)="brasil"),"Yes","No"))</x:f>
      </x:c>
      <x:c r="AL190" s="174"/>
      <x:c r="AM190" s="174"/>
      <x:c r="AN190" s="174"/>
      <x:c r="AO190" s="178"/>
      <x:c r="AP190" s="174"/>
      <x:c r="AQ190" s="174"/>
      <x:c r="AR190" s="174"/>
      <x:c r="AS190" s="174"/>
      <x:c r="AT190" s="174"/>
      <x:c r="AU190" s="174"/>
      <x:c r="AV190" s="174"/>
      <x:c r="AW190" s="174"/>
      <x:c r="AX190" s="174"/>
      <x:c r="AY190" s="174"/>
      <x:c r="AZ190" s="174"/>
      <x:c r="BA190" s="174"/>
      <x:c r="BB190" s="174"/>
      <x:c r="BC190" s="174"/>
      <x:c r="BD190" s="174"/>
      <x:c r="BE190" s="174"/>
      <x:c r="BF190" s="174"/>
      <x:c r="BG190" s="174"/>
      <x:c r="BH190" s="174"/>
      <x:c r="BI190" s="174"/>
      <x:c r="BJ190" s="174"/>
      <x:c r="BK190" s="174"/>
      <x:c r="BL190" s="174"/>
      <x:c r="BM190" s="174"/>
      <x:c r="BN190" s="174"/>
      <x:c r="BO190" s="174"/>
      <x:c r="BP190" s="174"/>
      <x:c r="BQ190" s="174"/>
      <x:c r="BR190" s="174"/>
      <x:c r="BS190" s="174"/>
      <x:c r="BT190" s="174"/>
      <x:c r="BU190" s="174"/>
      <x:c r="BV190" s="174"/>
      <x:c r="BW190" s="174"/>
      <x:c r="BX190" s="174"/>
      <x:c r="BY190" s="174"/>
      <x:c r="BZ190" s="174"/>
      <x:c r="CA190" s="174"/>
      <x:c r="CB190" s="174"/>
      <x:c r="CC190" s="174"/>
      <x:c r="CD190" s="174"/>
      <x:c r="CE190" s="174"/>
      <x:c r="CF190" s="174"/>
      <x:c r="CG190" s="174"/>
      <x:c r="CH190" s="174"/>
      <x:c r="CI190" s="179"/>
      <x:c r="CJ190" s="174"/>
      <x:c r="CK190" s="174"/>
      <x:c r="CL190" s="174"/>
      <x:c r="CM190" s="174"/>
      <x:c r="CN190" s="174"/>
      <x:c r="CO190" s="177"/>
      <x:c r="CP190" s="174"/>
      <x:c r="CQ190" s="174"/>
      <x:c r="CR190" s="174"/>
      <x:c r="CS190" s="174"/>
      <x:c r="CT190" s="174"/>
      <x:c r="CU190" s="176"/>
      <x:c r="CV190" s="176"/>
      <x:c r="CW190" s="176"/>
      <x:c r="CX190" s="176"/>
      <x:c r="CY190" s="176"/>
      <x:c r="CZ190" s="176"/>
      <x:c r="DA190" s="176"/>
      <x:c r="DB190" s="175" t="str">
        <x:f>IF(L190="","",IF(COUNT(CU190:DA190)&lt;7,"",SUM(CU190:DA190)))</x:f>
      </x:c>
      <x:c r="DC190" s="180" t="str">
        <x:f>IF(DB190="","",ROUND(DB190/14*10,1))</x:f>
      </x:c>
      <x:c r="DD190" s="174"/>
      <x:c r="DE190" s="175" t="str">
        <x:f>IF(L190="","",IF(DC190="","Pending",IF(DD190="Yes","CONDITIONAL — safety override",IF(DC190&gt;=8,"HIGH",IF(DC190&gt;=5,"CONDITIONAL","LOW")))))</x:f>
      </x:c>
      <x:c r="DF190" s="174"/>
      <x:c r="DG190" s="174"/>
      <x:c r="DH190" s="174"/>
      <x:c r="DI190" s="174"/>
      <x:c r="DJ190" s="174"/>
      <x:c r="DK190" s="174"/>
      <x:c r="DL190" s="174"/>
      <x:c r="DM190" s="174"/>
      <x:c r="DN190" s="174"/>
      <x:c r="DO190" s="174"/>
      <x:c r="DP190" s="174"/>
      <x:c r="DQ190" s="174"/>
      <x:c r="DR190" s="174"/>
      <x:c r="DS190" s="174"/>
      <x:c r="DT190" s="174"/>
      <x:c r="DU190" s="174"/>
      <x:c r="DV190" s="174"/>
      <x:c r="DW190" s="174"/>
      <x:c r="DX190" s="174"/>
      <x:c r="DY190" s="174"/>
      <x:c r="DZ190" s="174"/>
      <x:c r="EA190" s="174"/>
      <x:c r="EB190" s="175" t="str">
        <x:f>IF(L190="","",IF(AND(F190="Claim-ready",CJ190="Yes",CL190="Yes",DZ190&lt;&gt;""),"Yes","No / Pending"))</x:f>
      </x:c>
      <x:c r="EC190" s="174"/>
      <x:c r="ED190" s="174"/>
      <x:c r="EE190" s="174"/>
      <x:c r="EF190" s="174"/>
      <x:c r="EG190" s="174"/>
      <x:c r="EH190" s="177"/>
      <x:c r="EI190" s="174"/>
      <x:c r="EJ190" s="174"/>
      <x:c r="EK190" s="174"/>
      <x:c r="EL190" s="177"/>
      <x:c r="EM190" s="174"/>
      <x:c r="EN190" s="181" t="str">
        <x:f>IF(L190="","",(IF(N190&lt;&gt;"",1,0)+IF(O190&lt;&gt;"",1,0)+IF(AJ190&lt;&gt;"",1,0)+IF(AU190&lt;&gt;"",1,0)+IF(BE190&lt;&gt;"",1,0)+IF(CF190&lt;&gt;"",1,0)+IF(CJ190="Yes",1,0)+IF(CL190="Yes",1,0)+IF(DE190&lt;&gt;"Pending",1,0)+IF(F190&lt;&gt;"",1,0)+IF(DZ190&lt;&gt;"",1,0)+IF(EI190&lt;&gt;"",1,0))/12)</x:f>
      </x:c>
    </x:row>
    <x:row r="191">
      <x:c r="A191" s="175" t="str">
        <x:f>IF(L191="","","EV-"&amp;TEXT(ROW()-3,"0000"))</x:f>
      </x:c>
      <x:c r="B191" s="174"/>
      <x:c r="C191" s="175" t="str">
        <x:f>IF(L191="","",IF(OR(CM191="Retracted",CN191="Retracted",F191="Not used"),"🔴 Do not use for conclusion",IF(OR(R191="Official / Institutional",I191="Official / contextual"),"🔵 Official / contextual",IF(OR(I191="Definition",I191="Framework",I191="Paradigm shift"),"🟣 Conceptual key source",IF(AND(CJ191="Yes",CL191="Yes",OR(CG191="High",CG191="Moderate"),CH191&lt;&gt;"High",CH191&lt;&gt;"Critical",F191="Claim-ready"),"🟢 Claim-ready","🟡 Caution / context")))))</x:f>
      </x:c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6"/>
      <x:c r="P191" s="174"/>
      <x:c r="Q191" s="174"/>
      <x:c r="R191" s="174"/>
      <x:c r="S191" s="174"/>
      <x:c r="T191" s="174"/>
      <x:c r="U191" s="174"/>
      <x:c r="V191" s="174"/>
      <x:c r="W191" s="175" t="str">
        <x:f>IF(V191="","",LOWER(SUBSTITUTE(SUBSTITUTE(SUBSTITUTE(SUBSTITUTE(TRIM(V191),"https://doi.org/",""),"http://doi.org/",""),"https://dx.doi.org/",""),"doi:","")))</x:f>
      </x:c>
      <x:c r="X191" s="174"/>
      <x:c r="Y191" s="174"/>
      <x:c r="Z191" s="174"/>
      <x:c r="AA191" s="174"/>
      <x:c r="AB191" s="174"/>
      <x:c r="AC191" s="174"/>
      <x:c r="AD191" s="177"/>
      <x:c r="AE191" s="177"/>
      <x:c r="AF191" s="174"/>
      <x:c r="AG191" s="174"/>
      <x:c r="AH191" s="174"/>
      <x:c r="AI191" s="174"/>
      <x:c r="AJ191" s="174"/>
      <x:c r="AK191" s="175" t="str">
        <x:f>IF(AJ191="","",IF(OR(LOWER(AJ191)="brazil",LOWER(AJ191)="brasil"),"Yes","No"))</x:f>
      </x:c>
      <x:c r="AL191" s="174"/>
      <x:c r="AM191" s="174"/>
      <x:c r="AN191" s="174"/>
      <x:c r="AO191" s="178"/>
      <x:c r="AP191" s="174"/>
      <x:c r="AQ191" s="174"/>
      <x:c r="AR191" s="174"/>
      <x:c r="AS191" s="174"/>
      <x:c r="AT191" s="174"/>
      <x:c r="AU191" s="174"/>
      <x:c r="AV191" s="174"/>
      <x:c r="AW191" s="174"/>
      <x:c r="AX191" s="174"/>
      <x:c r="AY191" s="174"/>
      <x:c r="AZ191" s="174"/>
      <x:c r="BA191" s="174"/>
      <x:c r="BB191" s="174"/>
      <x:c r="BC191" s="174"/>
      <x:c r="BD191" s="174"/>
      <x:c r="BE191" s="174"/>
      <x:c r="BF191" s="174"/>
      <x:c r="BG191" s="174"/>
      <x:c r="BH191" s="174"/>
      <x:c r="BI191" s="174"/>
      <x:c r="BJ191" s="174"/>
      <x:c r="BK191" s="174"/>
      <x:c r="BL191" s="174"/>
      <x:c r="BM191" s="174"/>
      <x:c r="BN191" s="174"/>
      <x:c r="BO191" s="174"/>
      <x:c r="BP191" s="174"/>
      <x:c r="BQ191" s="174"/>
      <x:c r="BR191" s="174"/>
      <x:c r="BS191" s="174"/>
      <x:c r="BT191" s="174"/>
      <x:c r="BU191" s="174"/>
      <x:c r="BV191" s="174"/>
      <x:c r="BW191" s="174"/>
      <x:c r="BX191" s="174"/>
      <x:c r="BY191" s="174"/>
      <x:c r="BZ191" s="174"/>
      <x:c r="CA191" s="174"/>
      <x:c r="CB191" s="174"/>
      <x:c r="CC191" s="174"/>
      <x:c r="CD191" s="174"/>
      <x:c r="CE191" s="174"/>
      <x:c r="CF191" s="174"/>
      <x:c r="CG191" s="174"/>
      <x:c r="CH191" s="174"/>
      <x:c r="CI191" s="179"/>
      <x:c r="CJ191" s="174"/>
      <x:c r="CK191" s="174"/>
      <x:c r="CL191" s="174"/>
      <x:c r="CM191" s="174"/>
      <x:c r="CN191" s="174"/>
      <x:c r="CO191" s="177"/>
      <x:c r="CP191" s="174"/>
      <x:c r="CQ191" s="174"/>
      <x:c r="CR191" s="174"/>
      <x:c r="CS191" s="174"/>
      <x:c r="CT191" s="174"/>
      <x:c r="CU191" s="176"/>
      <x:c r="CV191" s="176"/>
      <x:c r="CW191" s="176"/>
      <x:c r="CX191" s="176"/>
      <x:c r="CY191" s="176"/>
      <x:c r="CZ191" s="176"/>
      <x:c r="DA191" s="176"/>
      <x:c r="DB191" s="175" t="str">
        <x:f>IF(L191="","",IF(COUNT(CU191:DA191)&lt;7,"",SUM(CU191:DA191)))</x:f>
      </x:c>
      <x:c r="DC191" s="180" t="str">
        <x:f>IF(DB191="","",ROUND(DB191/14*10,1))</x:f>
      </x:c>
      <x:c r="DD191" s="174"/>
      <x:c r="DE191" s="175" t="str">
        <x:f>IF(L191="","",IF(DC191="","Pending",IF(DD191="Yes","CONDITIONAL — safety override",IF(DC191&gt;=8,"HIGH",IF(DC191&gt;=5,"CONDITIONAL","LOW")))))</x:f>
      </x:c>
      <x:c r="DF191" s="174"/>
      <x:c r="DG191" s="174"/>
      <x:c r="DH191" s="174"/>
      <x:c r="DI191" s="174"/>
      <x:c r="DJ191" s="174"/>
      <x:c r="DK191" s="174"/>
      <x:c r="DL191" s="174"/>
      <x:c r="DM191" s="174"/>
      <x:c r="DN191" s="174"/>
      <x:c r="DO191" s="174"/>
      <x:c r="DP191" s="174"/>
      <x:c r="DQ191" s="174"/>
      <x:c r="DR191" s="174"/>
      <x:c r="DS191" s="174"/>
      <x:c r="DT191" s="174"/>
      <x:c r="DU191" s="174"/>
      <x:c r="DV191" s="174"/>
      <x:c r="DW191" s="174"/>
      <x:c r="DX191" s="174"/>
      <x:c r="DY191" s="174"/>
      <x:c r="DZ191" s="174"/>
      <x:c r="EA191" s="174"/>
      <x:c r="EB191" s="175" t="str">
        <x:f>IF(L191="","",IF(AND(F191="Claim-ready",CJ191="Yes",CL191="Yes",DZ191&lt;&gt;""),"Yes","No / Pending"))</x:f>
      </x:c>
      <x:c r="EC191" s="174"/>
      <x:c r="ED191" s="174"/>
      <x:c r="EE191" s="174"/>
      <x:c r="EF191" s="174"/>
      <x:c r="EG191" s="174"/>
      <x:c r="EH191" s="177"/>
      <x:c r="EI191" s="174"/>
      <x:c r="EJ191" s="174"/>
      <x:c r="EK191" s="174"/>
      <x:c r="EL191" s="177"/>
      <x:c r="EM191" s="174"/>
      <x:c r="EN191" s="181" t="str">
        <x:f>IF(L191="","",(IF(N191&lt;&gt;"",1,0)+IF(O191&lt;&gt;"",1,0)+IF(AJ191&lt;&gt;"",1,0)+IF(AU191&lt;&gt;"",1,0)+IF(BE191&lt;&gt;"",1,0)+IF(CF191&lt;&gt;"",1,0)+IF(CJ191="Yes",1,0)+IF(CL191="Yes",1,0)+IF(DE191&lt;&gt;"Pending",1,0)+IF(F191&lt;&gt;"",1,0)+IF(DZ191&lt;&gt;"",1,0)+IF(EI191&lt;&gt;"",1,0))/12)</x:f>
      </x:c>
    </x:row>
    <x:row r="192">
      <x:c r="A192" s="175" t="str">
        <x:f>IF(L192="","","EV-"&amp;TEXT(ROW()-3,"0000"))</x:f>
      </x:c>
      <x:c r="B192" s="174"/>
      <x:c r="C192" s="175" t="str">
        <x:f>IF(L192="","",IF(OR(CM192="Retracted",CN192="Retracted",F192="Not used"),"🔴 Do not use for conclusion",IF(OR(R192="Official / Institutional",I192="Official / contextual"),"🔵 Official / contextual",IF(OR(I192="Definition",I192="Framework",I192="Paradigm shift"),"🟣 Conceptual key source",IF(AND(CJ192="Yes",CL192="Yes",OR(CG192="High",CG192="Moderate"),CH192&lt;&gt;"High",CH192&lt;&gt;"Critical",F192="Claim-ready"),"🟢 Claim-ready","🟡 Caution / context")))))</x:f>
      </x:c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6"/>
      <x:c r="P192" s="174"/>
      <x:c r="Q192" s="174"/>
      <x:c r="R192" s="174"/>
      <x:c r="S192" s="174"/>
      <x:c r="T192" s="174"/>
      <x:c r="U192" s="174"/>
      <x:c r="V192" s="174"/>
      <x:c r="W192" s="175" t="str">
        <x:f>IF(V192="","",LOWER(SUBSTITUTE(SUBSTITUTE(SUBSTITUTE(SUBSTITUTE(TRIM(V192),"https://doi.org/",""),"http://doi.org/",""),"https://dx.doi.org/",""),"doi:","")))</x:f>
      </x:c>
      <x:c r="X192" s="174"/>
      <x:c r="Y192" s="174"/>
      <x:c r="Z192" s="174"/>
      <x:c r="AA192" s="174"/>
      <x:c r="AB192" s="174"/>
      <x:c r="AC192" s="174"/>
      <x:c r="AD192" s="177"/>
      <x:c r="AE192" s="177"/>
      <x:c r="AF192" s="174"/>
      <x:c r="AG192" s="174"/>
      <x:c r="AH192" s="174"/>
      <x:c r="AI192" s="174"/>
      <x:c r="AJ192" s="174"/>
      <x:c r="AK192" s="175" t="str">
        <x:f>IF(AJ192="","",IF(OR(LOWER(AJ192)="brazil",LOWER(AJ192)="brasil"),"Yes","No"))</x:f>
      </x:c>
      <x:c r="AL192" s="174"/>
      <x:c r="AM192" s="174"/>
      <x:c r="AN192" s="174"/>
      <x:c r="AO192" s="178"/>
      <x:c r="AP192" s="174"/>
      <x:c r="AQ192" s="174"/>
      <x:c r="AR192" s="174"/>
      <x:c r="AS192" s="174"/>
      <x:c r="AT192" s="174"/>
      <x:c r="AU192" s="174"/>
      <x:c r="AV192" s="174"/>
      <x:c r="AW192" s="174"/>
      <x:c r="AX192" s="174"/>
      <x:c r="AY192" s="174"/>
      <x:c r="AZ192" s="174"/>
      <x:c r="BA192" s="174"/>
      <x:c r="BB192" s="174"/>
      <x:c r="BC192" s="174"/>
      <x:c r="BD192" s="174"/>
      <x:c r="BE192" s="174"/>
      <x:c r="BF192" s="174"/>
      <x:c r="BG192" s="174"/>
      <x:c r="BH192" s="174"/>
      <x:c r="BI192" s="174"/>
      <x:c r="BJ192" s="174"/>
      <x:c r="BK192" s="174"/>
      <x:c r="BL192" s="174"/>
      <x:c r="BM192" s="174"/>
      <x:c r="BN192" s="174"/>
      <x:c r="BO192" s="174"/>
      <x:c r="BP192" s="174"/>
      <x:c r="BQ192" s="174"/>
      <x:c r="BR192" s="174"/>
      <x:c r="BS192" s="174"/>
      <x:c r="BT192" s="174"/>
      <x:c r="BU192" s="174"/>
      <x:c r="BV192" s="174"/>
      <x:c r="BW192" s="174"/>
      <x:c r="BX192" s="174"/>
      <x:c r="BY192" s="174"/>
      <x:c r="BZ192" s="174"/>
      <x:c r="CA192" s="174"/>
      <x:c r="CB192" s="174"/>
      <x:c r="CC192" s="174"/>
      <x:c r="CD192" s="174"/>
      <x:c r="CE192" s="174"/>
      <x:c r="CF192" s="174"/>
      <x:c r="CG192" s="174"/>
      <x:c r="CH192" s="174"/>
      <x:c r="CI192" s="179"/>
      <x:c r="CJ192" s="174"/>
      <x:c r="CK192" s="174"/>
      <x:c r="CL192" s="174"/>
      <x:c r="CM192" s="174"/>
      <x:c r="CN192" s="174"/>
      <x:c r="CO192" s="177"/>
      <x:c r="CP192" s="174"/>
      <x:c r="CQ192" s="174"/>
      <x:c r="CR192" s="174"/>
      <x:c r="CS192" s="174"/>
      <x:c r="CT192" s="174"/>
      <x:c r="CU192" s="176"/>
      <x:c r="CV192" s="176"/>
      <x:c r="CW192" s="176"/>
      <x:c r="CX192" s="176"/>
      <x:c r="CY192" s="176"/>
      <x:c r="CZ192" s="176"/>
      <x:c r="DA192" s="176"/>
      <x:c r="DB192" s="175" t="str">
        <x:f>IF(L192="","",IF(COUNT(CU192:DA192)&lt;7,"",SUM(CU192:DA192)))</x:f>
      </x:c>
      <x:c r="DC192" s="180" t="str">
        <x:f>IF(DB192="","",ROUND(DB192/14*10,1))</x:f>
      </x:c>
      <x:c r="DD192" s="174"/>
      <x:c r="DE192" s="175" t="str">
        <x:f>IF(L192="","",IF(DC192="","Pending",IF(DD192="Yes","CONDITIONAL — safety override",IF(DC192&gt;=8,"HIGH",IF(DC192&gt;=5,"CONDITIONAL","LOW")))))</x:f>
      </x:c>
      <x:c r="DF192" s="174"/>
      <x:c r="DG192" s="174"/>
      <x:c r="DH192" s="174"/>
      <x:c r="DI192" s="174"/>
      <x:c r="DJ192" s="174"/>
      <x:c r="DK192" s="174"/>
      <x:c r="DL192" s="174"/>
      <x:c r="DM192" s="174"/>
      <x:c r="DN192" s="174"/>
      <x:c r="DO192" s="174"/>
      <x:c r="DP192" s="174"/>
      <x:c r="DQ192" s="174"/>
      <x:c r="DR192" s="174"/>
      <x:c r="DS192" s="174"/>
      <x:c r="DT192" s="174"/>
      <x:c r="DU192" s="174"/>
      <x:c r="DV192" s="174"/>
      <x:c r="DW192" s="174"/>
      <x:c r="DX192" s="174"/>
      <x:c r="DY192" s="174"/>
      <x:c r="DZ192" s="174"/>
      <x:c r="EA192" s="174"/>
      <x:c r="EB192" s="175" t="str">
        <x:f>IF(L192="","",IF(AND(F192="Claim-ready",CJ192="Yes",CL192="Yes",DZ192&lt;&gt;""),"Yes","No / Pending"))</x:f>
      </x:c>
      <x:c r="EC192" s="174"/>
      <x:c r="ED192" s="174"/>
      <x:c r="EE192" s="174"/>
      <x:c r="EF192" s="174"/>
      <x:c r="EG192" s="174"/>
      <x:c r="EH192" s="177"/>
      <x:c r="EI192" s="174"/>
      <x:c r="EJ192" s="174"/>
      <x:c r="EK192" s="174"/>
      <x:c r="EL192" s="177"/>
      <x:c r="EM192" s="174"/>
      <x:c r="EN192" s="181" t="str">
        <x:f>IF(L192="","",(IF(N192&lt;&gt;"",1,0)+IF(O192&lt;&gt;"",1,0)+IF(AJ192&lt;&gt;"",1,0)+IF(AU192&lt;&gt;"",1,0)+IF(BE192&lt;&gt;"",1,0)+IF(CF192&lt;&gt;"",1,0)+IF(CJ192="Yes",1,0)+IF(CL192="Yes",1,0)+IF(DE192&lt;&gt;"Pending",1,0)+IF(F192&lt;&gt;"",1,0)+IF(DZ192&lt;&gt;"",1,0)+IF(EI192&lt;&gt;"",1,0))/12)</x:f>
      </x:c>
    </x:row>
    <x:row r="193">
      <x:c r="A193" s="175" t="str">
        <x:f>IF(L193="","","EV-"&amp;TEXT(ROW()-3,"0000"))</x:f>
      </x:c>
      <x:c r="B193" s="174"/>
      <x:c r="C193" s="175" t="str">
        <x:f>IF(L193="","",IF(OR(CM193="Retracted",CN193="Retracted",F193="Not used"),"🔴 Do not use for conclusion",IF(OR(R193="Official / Institutional",I193="Official / contextual"),"🔵 Official / contextual",IF(OR(I193="Definition",I193="Framework",I193="Paradigm shift"),"🟣 Conceptual key source",IF(AND(CJ193="Yes",CL193="Yes",OR(CG193="High",CG193="Moderate"),CH193&lt;&gt;"High",CH193&lt;&gt;"Critical",F193="Claim-ready"),"🟢 Claim-ready","🟡 Caution / context")))))</x:f>
      </x:c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6"/>
      <x:c r="P193" s="174"/>
      <x:c r="Q193" s="174"/>
      <x:c r="R193" s="174"/>
      <x:c r="S193" s="174"/>
      <x:c r="T193" s="174"/>
      <x:c r="U193" s="174"/>
      <x:c r="V193" s="174"/>
      <x:c r="W193" s="175" t="str">
        <x:f>IF(V193="","",LOWER(SUBSTITUTE(SUBSTITUTE(SUBSTITUTE(SUBSTITUTE(TRIM(V193),"https://doi.org/",""),"http://doi.org/",""),"https://dx.doi.org/",""),"doi:","")))</x:f>
      </x:c>
      <x:c r="X193" s="174"/>
      <x:c r="Y193" s="174"/>
      <x:c r="Z193" s="174"/>
      <x:c r="AA193" s="174"/>
      <x:c r="AB193" s="174"/>
      <x:c r="AC193" s="174"/>
      <x:c r="AD193" s="177"/>
      <x:c r="AE193" s="177"/>
      <x:c r="AF193" s="174"/>
      <x:c r="AG193" s="174"/>
      <x:c r="AH193" s="174"/>
      <x:c r="AI193" s="174"/>
      <x:c r="AJ193" s="174"/>
      <x:c r="AK193" s="175" t="str">
        <x:f>IF(AJ193="","",IF(OR(LOWER(AJ193)="brazil",LOWER(AJ193)="brasil"),"Yes","No"))</x:f>
      </x:c>
      <x:c r="AL193" s="174"/>
      <x:c r="AM193" s="174"/>
      <x:c r="AN193" s="174"/>
      <x:c r="AO193" s="178"/>
      <x:c r="AP193" s="174"/>
      <x:c r="AQ193" s="174"/>
      <x:c r="AR193" s="174"/>
      <x:c r="AS193" s="174"/>
      <x:c r="AT193" s="174"/>
      <x:c r="AU193" s="174"/>
      <x:c r="AV193" s="174"/>
      <x:c r="AW193" s="174"/>
      <x:c r="AX193" s="174"/>
      <x:c r="AY193" s="174"/>
      <x:c r="AZ193" s="174"/>
      <x:c r="BA193" s="174"/>
      <x:c r="BB193" s="174"/>
      <x:c r="BC193" s="174"/>
      <x:c r="BD193" s="174"/>
      <x:c r="BE193" s="174"/>
      <x:c r="BF193" s="174"/>
      <x:c r="BG193" s="174"/>
      <x:c r="BH193" s="174"/>
      <x:c r="BI193" s="174"/>
      <x:c r="BJ193" s="174"/>
      <x:c r="BK193" s="174"/>
      <x:c r="BL193" s="174"/>
      <x:c r="BM193" s="174"/>
      <x:c r="BN193" s="174"/>
      <x:c r="BO193" s="174"/>
      <x:c r="BP193" s="174"/>
      <x:c r="BQ193" s="174"/>
      <x:c r="BR193" s="174"/>
      <x:c r="BS193" s="174"/>
      <x:c r="BT193" s="174"/>
      <x:c r="BU193" s="174"/>
      <x:c r="BV193" s="174"/>
      <x:c r="BW193" s="174"/>
      <x:c r="BX193" s="174"/>
      <x:c r="BY193" s="174"/>
      <x:c r="BZ193" s="174"/>
      <x:c r="CA193" s="174"/>
      <x:c r="CB193" s="174"/>
      <x:c r="CC193" s="174"/>
      <x:c r="CD193" s="174"/>
      <x:c r="CE193" s="174"/>
      <x:c r="CF193" s="174"/>
      <x:c r="CG193" s="174"/>
      <x:c r="CH193" s="174"/>
      <x:c r="CI193" s="179"/>
      <x:c r="CJ193" s="174"/>
      <x:c r="CK193" s="174"/>
      <x:c r="CL193" s="174"/>
      <x:c r="CM193" s="174"/>
      <x:c r="CN193" s="174"/>
      <x:c r="CO193" s="177"/>
      <x:c r="CP193" s="174"/>
      <x:c r="CQ193" s="174"/>
      <x:c r="CR193" s="174"/>
      <x:c r="CS193" s="174"/>
      <x:c r="CT193" s="174"/>
      <x:c r="CU193" s="176"/>
      <x:c r="CV193" s="176"/>
      <x:c r="CW193" s="176"/>
      <x:c r="CX193" s="176"/>
      <x:c r="CY193" s="176"/>
      <x:c r="CZ193" s="176"/>
      <x:c r="DA193" s="176"/>
      <x:c r="DB193" s="175" t="str">
        <x:f>IF(L193="","",IF(COUNT(CU193:DA193)&lt;7,"",SUM(CU193:DA193)))</x:f>
      </x:c>
      <x:c r="DC193" s="180" t="str">
        <x:f>IF(DB193="","",ROUND(DB193/14*10,1))</x:f>
      </x:c>
      <x:c r="DD193" s="174"/>
      <x:c r="DE193" s="175" t="str">
        <x:f>IF(L193="","",IF(DC193="","Pending",IF(DD193="Yes","CONDITIONAL — safety override",IF(DC193&gt;=8,"HIGH",IF(DC193&gt;=5,"CONDITIONAL","LOW")))))</x:f>
      </x:c>
      <x:c r="DF193" s="174"/>
      <x:c r="DG193" s="174"/>
      <x:c r="DH193" s="174"/>
      <x:c r="DI193" s="174"/>
      <x:c r="DJ193" s="174"/>
      <x:c r="DK193" s="174"/>
      <x:c r="DL193" s="174"/>
      <x:c r="DM193" s="174"/>
      <x:c r="DN193" s="174"/>
      <x:c r="DO193" s="174"/>
      <x:c r="DP193" s="174"/>
      <x:c r="DQ193" s="174"/>
      <x:c r="DR193" s="174"/>
      <x:c r="DS193" s="174"/>
      <x:c r="DT193" s="174"/>
      <x:c r="DU193" s="174"/>
      <x:c r="DV193" s="174"/>
      <x:c r="DW193" s="174"/>
      <x:c r="DX193" s="174"/>
      <x:c r="DY193" s="174"/>
      <x:c r="DZ193" s="174"/>
      <x:c r="EA193" s="174"/>
      <x:c r="EB193" s="175" t="str">
        <x:f>IF(L193="","",IF(AND(F193="Claim-ready",CJ193="Yes",CL193="Yes",DZ193&lt;&gt;""),"Yes","No / Pending"))</x:f>
      </x:c>
      <x:c r="EC193" s="174"/>
      <x:c r="ED193" s="174"/>
      <x:c r="EE193" s="174"/>
      <x:c r="EF193" s="174"/>
      <x:c r="EG193" s="174"/>
      <x:c r="EH193" s="177"/>
      <x:c r="EI193" s="174"/>
      <x:c r="EJ193" s="174"/>
      <x:c r="EK193" s="174"/>
      <x:c r="EL193" s="177"/>
      <x:c r="EM193" s="174"/>
      <x:c r="EN193" s="181" t="str">
        <x:f>IF(L193="","",(IF(N193&lt;&gt;"",1,0)+IF(O193&lt;&gt;"",1,0)+IF(AJ193&lt;&gt;"",1,0)+IF(AU193&lt;&gt;"",1,0)+IF(BE193&lt;&gt;"",1,0)+IF(CF193&lt;&gt;"",1,0)+IF(CJ193="Yes",1,0)+IF(CL193="Yes",1,0)+IF(DE193&lt;&gt;"Pending",1,0)+IF(F193&lt;&gt;"",1,0)+IF(DZ193&lt;&gt;"",1,0)+IF(EI193&lt;&gt;"",1,0))/12)</x:f>
      </x:c>
    </x:row>
    <x:row r="194">
      <x:c r="A194" s="175" t="str">
        <x:f>IF(L194="","","EV-"&amp;TEXT(ROW()-3,"0000"))</x:f>
      </x:c>
      <x:c r="B194" s="174"/>
      <x:c r="C194" s="175" t="str">
        <x:f>IF(L194="","",IF(OR(CM194="Retracted",CN194="Retracted",F194="Not used"),"🔴 Do not use for conclusion",IF(OR(R194="Official / Institutional",I194="Official / contextual"),"🔵 Official / contextual",IF(OR(I194="Definition",I194="Framework",I194="Paradigm shift"),"🟣 Conceptual key source",IF(AND(CJ194="Yes",CL194="Yes",OR(CG194="High",CG194="Moderate"),CH194&lt;&gt;"High",CH194&lt;&gt;"Critical",F194="Claim-ready"),"🟢 Claim-ready","🟡 Caution / context")))))</x:f>
      </x:c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6"/>
      <x:c r="P194" s="174"/>
      <x:c r="Q194" s="174"/>
      <x:c r="R194" s="174"/>
      <x:c r="S194" s="174"/>
      <x:c r="T194" s="174"/>
      <x:c r="U194" s="174"/>
      <x:c r="V194" s="174"/>
      <x:c r="W194" s="175" t="str">
        <x:f>IF(V194="","",LOWER(SUBSTITUTE(SUBSTITUTE(SUBSTITUTE(SUBSTITUTE(TRIM(V194),"https://doi.org/",""),"http://doi.org/",""),"https://dx.doi.org/",""),"doi:","")))</x:f>
      </x:c>
      <x:c r="X194" s="174"/>
      <x:c r="Y194" s="174"/>
      <x:c r="Z194" s="174"/>
      <x:c r="AA194" s="174"/>
      <x:c r="AB194" s="174"/>
      <x:c r="AC194" s="174"/>
      <x:c r="AD194" s="177"/>
      <x:c r="AE194" s="177"/>
      <x:c r="AF194" s="174"/>
      <x:c r="AG194" s="174"/>
      <x:c r="AH194" s="174"/>
      <x:c r="AI194" s="174"/>
      <x:c r="AJ194" s="174"/>
      <x:c r="AK194" s="175" t="str">
        <x:f>IF(AJ194="","",IF(OR(LOWER(AJ194)="brazil",LOWER(AJ194)="brasil"),"Yes","No"))</x:f>
      </x:c>
      <x:c r="AL194" s="174"/>
      <x:c r="AM194" s="174"/>
      <x:c r="AN194" s="174"/>
      <x:c r="AO194" s="178"/>
      <x:c r="AP194" s="174"/>
      <x:c r="AQ194" s="174"/>
      <x:c r="AR194" s="174"/>
      <x:c r="AS194" s="174"/>
      <x:c r="AT194" s="174"/>
      <x:c r="AU194" s="174"/>
      <x:c r="AV194" s="174"/>
      <x:c r="AW194" s="174"/>
      <x:c r="AX194" s="174"/>
      <x:c r="AY194" s="174"/>
      <x:c r="AZ194" s="174"/>
      <x:c r="BA194" s="174"/>
      <x:c r="BB194" s="174"/>
      <x:c r="BC194" s="174"/>
      <x:c r="BD194" s="174"/>
      <x:c r="BE194" s="174"/>
      <x:c r="BF194" s="174"/>
      <x:c r="BG194" s="174"/>
      <x:c r="BH194" s="174"/>
      <x:c r="BI194" s="174"/>
      <x:c r="BJ194" s="174"/>
      <x:c r="BK194" s="174"/>
      <x:c r="BL194" s="174"/>
      <x:c r="BM194" s="174"/>
      <x:c r="BN194" s="174"/>
      <x:c r="BO194" s="174"/>
      <x:c r="BP194" s="174"/>
      <x:c r="BQ194" s="174"/>
      <x:c r="BR194" s="174"/>
      <x:c r="BS194" s="174"/>
      <x:c r="BT194" s="174"/>
      <x:c r="BU194" s="174"/>
      <x:c r="BV194" s="174"/>
      <x:c r="BW194" s="174"/>
      <x:c r="BX194" s="174"/>
      <x:c r="BY194" s="174"/>
      <x:c r="BZ194" s="174"/>
      <x:c r="CA194" s="174"/>
      <x:c r="CB194" s="174"/>
      <x:c r="CC194" s="174"/>
      <x:c r="CD194" s="174"/>
      <x:c r="CE194" s="174"/>
      <x:c r="CF194" s="174"/>
      <x:c r="CG194" s="174"/>
      <x:c r="CH194" s="174"/>
      <x:c r="CI194" s="179"/>
      <x:c r="CJ194" s="174"/>
      <x:c r="CK194" s="174"/>
      <x:c r="CL194" s="174"/>
      <x:c r="CM194" s="174"/>
      <x:c r="CN194" s="174"/>
      <x:c r="CO194" s="177"/>
      <x:c r="CP194" s="174"/>
      <x:c r="CQ194" s="174"/>
      <x:c r="CR194" s="174"/>
      <x:c r="CS194" s="174"/>
      <x:c r="CT194" s="174"/>
      <x:c r="CU194" s="176"/>
      <x:c r="CV194" s="176"/>
      <x:c r="CW194" s="176"/>
      <x:c r="CX194" s="176"/>
      <x:c r="CY194" s="176"/>
      <x:c r="CZ194" s="176"/>
      <x:c r="DA194" s="176"/>
      <x:c r="DB194" s="175" t="str">
        <x:f>IF(L194="","",IF(COUNT(CU194:DA194)&lt;7,"",SUM(CU194:DA194)))</x:f>
      </x:c>
      <x:c r="DC194" s="180" t="str">
        <x:f>IF(DB194="","",ROUND(DB194/14*10,1))</x:f>
      </x:c>
      <x:c r="DD194" s="174"/>
      <x:c r="DE194" s="175" t="str">
        <x:f>IF(L194="","",IF(DC194="","Pending",IF(DD194="Yes","CONDITIONAL — safety override",IF(DC194&gt;=8,"HIGH",IF(DC194&gt;=5,"CONDITIONAL","LOW")))))</x:f>
      </x:c>
      <x:c r="DF194" s="174"/>
      <x:c r="DG194" s="174"/>
      <x:c r="DH194" s="174"/>
      <x:c r="DI194" s="174"/>
      <x:c r="DJ194" s="174"/>
      <x:c r="DK194" s="174"/>
      <x:c r="DL194" s="174"/>
      <x:c r="DM194" s="174"/>
      <x:c r="DN194" s="174"/>
      <x:c r="DO194" s="174"/>
      <x:c r="DP194" s="174"/>
      <x:c r="DQ194" s="174"/>
      <x:c r="DR194" s="174"/>
      <x:c r="DS194" s="174"/>
      <x:c r="DT194" s="174"/>
      <x:c r="DU194" s="174"/>
      <x:c r="DV194" s="174"/>
      <x:c r="DW194" s="174"/>
      <x:c r="DX194" s="174"/>
      <x:c r="DY194" s="174"/>
      <x:c r="DZ194" s="174"/>
      <x:c r="EA194" s="174"/>
      <x:c r="EB194" s="175" t="str">
        <x:f>IF(L194="","",IF(AND(F194="Claim-ready",CJ194="Yes",CL194="Yes",DZ194&lt;&gt;""),"Yes","No / Pending"))</x:f>
      </x:c>
      <x:c r="EC194" s="174"/>
      <x:c r="ED194" s="174"/>
      <x:c r="EE194" s="174"/>
      <x:c r="EF194" s="174"/>
      <x:c r="EG194" s="174"/>
      <x:c r="EH194" s="177"/>
      <x:c r="EI194" s="174"/>
      <x:c r="EJ194" s="174"/>
      <x:c r="EK194" s="174"/>
      <x:c r="EL194" s="177"/>
      <x:c r="EM194" s="174"/>
      <x:c r="EN194" s="181" t="str">
        <x:f>IF(L194="","",(IF(N194&lt;&gt;"",1,0)+IF(O194&lt;&gt;"",1,0)+IF(AJ194&lt;&gt;"",1,0)+IF(AU194&lt;&gt;"",1,0)+IF(BE194&lt;&gt;"",1,0)+IF(CF194&lt;&gt;"",1,0)+IF(CJ194="Yes",1,0)+IF(CL194="Yes",1,0)+IF(DE194&lt;&gt;"Pending",1,0)+IF(F194&lt;&gt;"",1,0)+IF(DZ194&lt;&gt;"",1,0)+IF(EI194&lt;&gt;"",1,0))/12)</x:f>
      </x:c>
    </x:row>
    <x:row r="195">
      <x:c r="A195" s="175" t="str">
        <x:f>IF(L195="","","EV-"&amp;TEXT(ROW()-3,"0000"))</x:f>
      </x:c>
      <x:c r="B195" s="174"/>
      <x:c r="C195" s="175" t="str">
        <x:f>IF(L195="","",IF(OR(CM195="Retracted",CN195="Retracted",F195="Not used"),"🔴 Do not use for conclusion",IF(OR(R195="Official / Institutional",I195="Official / contextual"),"🔵 Official / contextual",IF(OR(I195="Definition",I195="Framework",I195="Paradigm shift"),"🟣 Conceptual key source",IF(AND(CJ195="Yes",CL195="Yes",OR(CG195="High",CG195="Moderate"),CH195&lt;&gt;"High",CH195&lt;&gt;"Critical",F195="Claim-ready"),"🟢 Claim-ready","🟡 Caution / context")))))</x:f>
      </x:c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6"/>
      <x:c r="P195" s="174"/>
      <x:c r="Q195" s="174"/>
      <x:c r="R195" s="174"/>
      <x:c r="S195" s="174"/>
      <x:c r="T195" s="174"/>
      <x:c r="U195" s="174"/>
      <x:c r="V195" s="174"/>
      <x:c r="W195" s="175" t="str">
        <x:f>IF(V195="","",LOWER(SUBSTITUTE(SUBSTITUTE(SUBSTITUTE(SUBSTITUTE(TRIM(V195),"https://doi.org/",""),"http://doi.org/",""),"https://dx.doi.org/",""),"doi:","")))</x:f>
      </x:c>
      <x:c r="X195" s="174"/>
      <x:c r="Y195" s="174"/>
      <x:c r="Z195" s="174"/>
      <x:c r="AA195" s="174"/>
      <x:c r="AB195" s="174"/>
      <x:c r="AC195" s="174"/>
      <x:c r="AD195" s="177"/>
      <x:c r="AE195" s="177"/>
      <x:c r="AF195" s="174"/>
      <x:c r="AG195" s="174"/>
      <x:c r="AH195" s="174"/>
      <x:c r="AI195" s="174"/>
      <x:c r="AJ195" s="174"/>
      <x:c r="AK195" s="175" t="str">
        <x:f>IF(AJ195="","",IF(OR(LOWER(AJ195)="brazil",LOWER(AJ195)="brasil"),"Yes","No"))</x:f>
      </x:c>
      <x:c r="AL195" s="174"/>
      <x:c r="AM195" s="174"/>
      <x:c r="AN195" s="174"/>
      <x:c r="AO195" s="178"/>
      <x:c r="AP195" s="174"/>
      <x:c r="AQ195" s="174"/>
      <x:c r="AR195" s="174"/>
      <x:c r="AS195" s="174"/>
      <x:c r="AT195" s="174"/>
      <x:c r="AU195" s="174"/>
      <x:c r="AV195" s="174"/>
      <x:c r="AW195" s="174"/>
      <x:c r="AX195" s="174"/>
      <x:c r="AY195" s="174"/>
      <x:c r="AZ195" s="174"/>
      <x:c r="BA195" s="174"/>
      <x:c r="BB195" s="174"/>
      <x:c r="BC195" s="174"/>
      <x:c r="BD195" s="174"/>
      <x:c r="BE195" s="174"/>
      <x:c r="BF195" s="174"/>
      <x:c r="BG195" s="174"/>
      <x:c r="BH195" s="174"/>
      <x:c r="BI195" s="174"/>
      <x:c r="BJ195" s="174"/>
      <x:c r="BK195" s="174"/>
      <x:c r="BL195" s="174"/>
      <x:c r="BM195" s="174"/>
      <x:c r="BN195" s="174"/>
      <x:c r="BO195" s="174"/>
      <x:c r="BP195" s="174"/>
      <x:c r="BQ195" s="174"/>
      <x:c r="BR195" s="174"/>
      <x:c r="BS195" s="174"/>
      <x:c r="BT195" s="174"/>
      <x:c r="BU195" s="174"/>
      <x:c r="BV195" s="174"/>
      <x:c r="BW195" s="174"/>
      <x:c r="BX195" s="174"/>
      <x:c r="BY195" s="174"/>
      <x:c r="BZ195" s="174"/>
      <x:c r="CA195" s="174"/>
      <x:c r="CB195" s="174"/>
      <x:c r="CC195" s="174"/>
      <x:c r="CD195" s="174"/>
      <x:c r="CE195" s="174"/>
      <x:c r="CF195" s="174"/>
      <x:c r="CG195" s="174"/>
      <x:c r="CH195" s="174"/>
      <x:c r="CI195" s="179"/>
      <x:c r="CJ195" s="174"/>
      <x:c r="CK195" s="174"/>
      <x:c r="CL195" s="174"/>
      <x:c r="CM195" s="174"/>
      <x:c r="CN195" s="174"/>
      <x:c r="CO195" s="177"/>
      <x:c r="CP195" s="174"/>
      <x:c r="CQ195" s="174"/>
      <x:c r="CR195" s="174"/>
      <x:c r="CS195" s="174"/>
      <x:c r="CT195" s="174"/>
      <x:c r="CU195" s="176"/>
      <x:c r="CV195" s="176"/>
      <x:c r="CW195" s="176"/>
      <x:c r="CX195" s="176"/>
      <x:c r="CY195" s="176"/>
      <x:c r="CZ195" s="176"/>
      <x:c r="DA195" s="176"/>
      <x:c r="DB195" s="175" t="str">
        <x:f>IF(L195="","",IF(COUNT(CU195:DA195)&lt;7,"",SUM(CU195:DA195)))</x:f>
      </x:c>
      <x:c r="DC195" s="180" t="str">
        <x:f>IF(DB195="","",ROUND(DB195/14*10,1))</x:f>
      </x:c>
      <x:c r="DD195" s="174"/>
      <x:c r="DE195" s="175" t="str">
        <x:f>IF(L195="","",IF(DC195="","Pending",IF(DD195="Yes","CONDITIONAL — safety override",IF(DC195&gt;=8,"HIGH",IF(DC195&gt;=5,"CONDITIONAL","LOW")))))</x:f>
      </x:c>
      <x:c r="DF195" s="174"/>
      <x:c r="DG195" s="174"/>
      <x:c r="DH195" s="174"/>
      <x:c r="DI195" s="174"/>
      <x:c r="DJ195" s="174"/>
      <x:c r="DK195" s="174"/>
      <x:c r="DL195" s="174"/>
      <x:c r="DM195" s="174"/>
      <x:c r="DN195" s="174"/>
      <x:c r="DO195" s="174"/>
      <x:c r="DP195" s="174"/>
      <x:c r="DQ195" s="174"/>
      <x:c r="DR195" s="174"/>
      <x:c r="DS195" s="174"/>
      <x:c r="DT195" s="174"/>
      <x:c r="DU195" s="174"/>
      <x:c r="DV195" s="174"/>
      <x:c r="DW195" s="174"/>
      <x:c r="DX195" s="174"/>
      <x:c r="DY195" s="174"/>
      <x:c r="DZ195" s="174"/>
      <x:c r="EA195" s="174"/>
      <x:c r="EB195" s="175" t="str">
        <x:f>IF(L195="","",IF(AND(F195="Claim-ready",CJ195="Yes",CL195="Yes",DZ195&lt;&gt;""),"Yes","No / Pending"))</x:f>
      </x:c>
      <x:c r="EC195" s="174"/>
      <x:c r="ED195" s="174"/>
      <x:c r="EE195" s="174"/>
      <x:c r="EF195" s="174"/>
      <x:c r="EG195" s="174"/>
      <x:c r="EH195" s="177"/>
      <x:c r="EI195" s="174"/>
      <x:c r="EJ195" s="174"/>
      <x:c r="EK195" s="174"/>
      <x:c r="EL195" s="177"/>
      <x:c r="EM195" s="174"/>
      <x:c r="EN195" s="181" t="str">
        <x:f>IF(L195="","",(IF(N195&lt;&gt;"",1,0)+IF(O195&lt;&gt;"",1,0)+IF(AJ195&lt;&gt;"",1,0)+IF(AU195&lt;&gt;"",1,0)+IF(BE195&lt;&gt;"",1,0)+IF(CF195&lt;&gt;"",1,0)+IF(CJ195="Yes",1,0)+IF(CL195="Yes",1,0)+IF(DE195&lt;&gt;"Pending",1,0)+IF(F195&lt;&gt;"",1,0)+IF(DZ195&lt;&gt;"",1,0)+IF(EI195&lt;&gt;"",1,0))/12)</x:f>
      </x:c>
    </x:row>
    <x:row r="196">
      <x:c r="A196" s="175" t="str">
        <x:f>IF(L196="","","EV-"&amp;TEXT(ROW()-3,"0000"))</x:f>
      </x:c>
      <x:c r="B196" s="174"/>
      <x:c r="C196" s="175" t="str">
        <x:f>IF(L196="","",IF(OR(CM196="Retracted",CN196="Retracted",F196="Not used"),"🔴 Do not use for conclusion",IF(OR(R196="Official / Institutional",I196="Official / contextual"),"🔵 Official / contextual",IF(OR(I196="Definition",I196="Framework",I196="Paradigm shift"),"🟣 Conceptual key source",IF(AND(CJ196="Yes",CL196="Yes",OR(CG196="High",CG196="Moderate"),CH196&lt;&gt;"High",CH196&lt;&gt;"Critical",F196="Claim-ready"),"🟢 Claim-ready","🟡 Caution / context")))))</x:f>
      </x:c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6"/>
      <x:c r="P196" s="174"/>
      <x:c r="Q196" s="174"/>
      <x:c r="R196" s="174"/>
      <x:c r="S196" s="174"/>
      <x:c r="T196" s="174"/>
      <x:c r="U196" s="174"/>
      <x:c r="V196" s="174"/>
      <x:c r="W196" s="175" t="str">
        <x:f>IF(V196="","",LOWER(SUBSTITUTE(SUBSTITUTE(SUBSTITUTE(SUBSTITUTE(TRIM(V196),"https://doi.org/",""),"http://doi.org/",""),"https://dx.doi.org/",""),"doi:","")))</x:f>
      </x:c>
      <x:c r="X196" s="174"/>
      <x:c r="Y196" s="174"/>
      <x:c r="Z196" s="174"/>
      <x:c r="AA196" s="174"/>
      <x:c r="AB196" s="174"/>
      <x:c r="AC196" s="174"/>
      <x:c r="AD196" s="177"/>
      <x:c r="AE196" s="177"/>
      <x:c r="AF196" s="174"/>
      <x:c r="AG196" s="174"/>
      <x:c r="AH196" s="174"/>
      <x:c r="AI196" s="174"/>
      <x:c r="AJ196" s="174"/>
      <x:c r="AK196" s="175" t="str">
        <x:f>IF(AJ196="","",IF(OR(LOWER(AJ196)="brazil",LOWER(AJ196)="brasil"),"Yes","No"))</x:f>
      </x:c>
      <x:c r="AL196" s="174"/>
      <x:c r="AM196" s="174"/>
      <x:c r="AN196" s="174"/>
      <x:c r="AO196" s="178"/>
      <x:c r="AP196" s="174"/>
      <x:c r="AQ196" s="174"/>
      <x:c r="AR196" s="174"/>
      <x:c r="AS196" s="174"/>
      <x:c r="AT196" s="174"/>
      <x:c r="AU196" s="174"/>
      <x:c r="AV196" s="174"/>
      <x:c r="AW196" s="174"/>
      <x:c r="AX196" s="174"/>
      <x:c r="AY196" s="174"/>
      <x:c r="AZ196" s="174"/>
      <x:c r="BA196" s="174"/>
      <x:c r="BB196" s="174"/>
      <x:c r="BC196" s="174"/>
      <x:c r="BD196" s="174"/>
      <x:c r="BE196" s="174"/>
      <x:c r="BF196" s="174"/>
      <x:c r="BG196" s="174"/>
      <x:c r="BH196" s="174"/>
      <x:c r="BI196" s="174"/>
      <x:c r="BJ196" s="174"/>
      <x:c r="BK196" s="174"/>
      <x:c r="BL196" s="174"/>
      <x:c r="BM196" s="174"/>
      <x:c r="BN196" s="174"/>
      <x:c r="BO196" s="174"/>
      <x:c r="BP196" s="174"/>
      <x:c r="BQ196" s="174"/>
      <x:c r="BR196" s="174"/>
      <x:c r="BS196" s="174"/>
      <x:c r="BT196" s="174"/>
      <x:c r="BU196" s="174"/>
      <x:c r="BV196" s="174"/>
      <x:c r="BW196" s="174"/>
      <x:c r="BX196" s="174"/>
      <x:c r="BY196" s="174"/>
      <x:c r="BZ196" s="174"/>
      <x:c r="CA196" s="174"/>
      <x:c r="CB196" s="174"/>
      <x:c r="CC196" s="174"/>
      <x:c r="CD196" s="174"/>
      <x:c r="CE196" s="174"/>
      <x:c r="CF196" s="174"/>
      <x:c r="CG196" s="174"/>
      <x:c r="CH196" s="174"/>
      <x:c r="CI196" s="179"/>
      <x:c r="CJ196" s="174"/>
      <x:c r="CK196" s="174"/>
      <x:c r="CL196" s="174"/>
      <x:c r="CM196" s="174"/>
      <x:c r="CN196" s="174"/>
      <x:c r="CO196" s="177"/>
      <x:c r="CP196" s="174"/>
      <x:c r="CQ196" s="174"/>
      <x:c r="CR196" s="174"/>
      <x:c r="CS196" s="174"/>
      <x:c r="CT196" s="174"/>
      <x:c r="CU196" s="176"/>
      <x:c r="CV196" s="176"/>
      <x:c r="CW196" s="176"/>
      <x:c r="CX196" s="176"/>
      <x:c r="CY196" s="176"/>
      <x:c r="CZ196" s="176"/>
      <x:c r="DA196" s="176"/>
      <x:c r="DB196" s="175" t="str">
        <x:f>IF(L196="","",IF(COUNT(CU196:DA196)&lt;7,"",SUM(CU196:DA196)))</x:f>
      </x:c>
      <x:c r="DC196" s="180" t="str">
        <x:f>IF(DB196="","",ROUND(DB196/14*10,1))</x:f>
      </x:c>
      <x:c r="DD196" s="174"/>
      <x:c r="DE196" s="175" t="str">
        <x:f>IF(L196="","",IF(DC196="","Pending",IF(DD196="Yes","CONDITIONAL — safety override",IF(DC196&gt;=8,"HIGH",IF(DC196&gt;=5,"CONDITIONAL","LOW")))))</x:f>
      </x:c>
      <x:c r="DF196" s="174"/>
      <x:c r="DG196" s="174"/>
      <x:c r="DH196" s="174"/>
      <x:c r="DI196" s="174"/>
      <x:c r="DJ196" s="174"/>
      <x:c r="DK196" s="174"/>
      <x:c r="DL196" s="174"/>
      <x:c r="DM196" s="174"/>
      <x:c r="DN196" s="174"/>
      <x:c r="DO196" s="174"/>
      <x:c r="DP196" s="174"/>
      <x:c r="DQ196" s="174"/>
      <x:c r="DR196" s="174"/>
      <x:c r="DS196" s="174"/>
      <x:c r="DT196" s="174"/>
      <x:c r="DU196" s="174"/>
      <x:c r="DV196" s="174"/>
      <x:c r="DW196" s="174"/>
      <x:c r="DX196" s="174"/>
      <x:c r="DY196" s="174"/>
      <x:c r="DZ196" s="174"/>
      <x:c r="EA196" s="174"/>
      <x:c r="EB196" s="175" t="str">
        <x:f>IF(L196="","",IF(AND(F196="Claim-ready",CJ196="Yes",CL196="Yes",DZ196&lt;&gt;""),"Yes","No / Pending"))</x:f>
      </x:c>
      <x:c r="EC196" s="174"/>
      <x:c r="ED196" s="174"/>
      <x:c r="EE196" s="174"/>
      <x:c r="EF196" s="174"/>
      <x:c r="EG196" s="174"/>
      <x:c r="EH196" s="177"/>
      <x:c r="EI196" s="174"/>
      <x:c r="EJ196" s="174"/>
      <x:c r="EK196" s="174"/>
      <x:c r="EL196" s="177"/>
      <x:c r="EM196" s="174"/>
      <x:c r="EN196" s="181" t="str">
        <x:f>IF(L196="","",(IF(N196&lt;&gt;"",1,0)+IF(O196&lt;&gt;"",1,0)+IF(AJ196&lt;&gt;"",1,0)+IF(AU196&lt;&gt;"",1,0)+IF(BE196&lt;&gt;"",1,0)+IF(CF196&lt;&gt;"",1,0)+IF(CJ196="Yes",1,0)+IF(CL196="Yes",1,0)+IF(DE196&lt;&gt;"Pending",1,0)+IF(F196&lt;&gt;"",1,0)+IF(DZ196&lt;&gt;"",1,0)+IF(EI196&lt;&gt;"",1,0))/12)</x:f>
      </x:c>
    </x:row>
    <x:row r="197">
      <x:c r="A197" s="175" t="str">
        <x:f>IF(L197="","","EV-"&amp;TEXT(ROW()-3,"0000"))</x:f>
      </x:c>
      <x:c r="B197" s="174"/>
      <x:c r="C197" s="175" t="str">
        <x:f>IF(L197="","",IF(OR(CM197="Retracted",CN197="Retracted",F197="Not used"),"🔴 Do not use for conclusion",IF(OR(R197="Official / Institutional",I197="Official / contextual"),"🔵 Official / contextual",IF(OR(I197="Definition",I197="Framework",I197="Paradigm shift"),"🟣 Conceptual key source",IF(AND(CJ197="Yes",CL197="Yes",OR(CG197="High",CG197="Moderate"),CH197&lt;&gt;"High",CH197&lt;&gt;"Critical",F197="Claim-ready"),"🟢 Claim-ready","🟡 Caution / context")))))</x:f>
      </x:c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6"/>
      <x:c r="P197" s="174"/>
      <x:c r="Q197" s="174"/>
      <x:c r="R197" s="174"/>
      <x:c r="S197" s="174"/>
      <x:c r="T197" s="174"/>
      <x:c r="U197" s="174"/>
      <x:c r="V197" s="174"/>
      <x:c r="W197" s="175" t="str">
        <x:f>IF(V197="","",LOWER(SUBSTITUTE(SUBSTITUTE(SUBSTITUTE(SUBSTITUTE(TRIM(V197),"https://doi.org/",""),"http://doi.org/",""),"https://dx.doi.org/",""),"doi:","")))</x:f>
      </x:c>
      <x:c r="X197" s="174"/>
      <x:c r="Y197" s="174"/>
      <x:c r="Z197" s="174"/>
      <x:c r="AA197" s="174"/>
      <x:c r="AB197" s="174"/>
      <x:c r="AC197" s="174"/>
      <x:c r="AD197" s="177"/>
      <x:c r="AE197" s="177"/>
      <x:c r="AF197" s="174"/>
      <x:c r="AG197" s="174"/>
      <x:c r="AH197" s="174"/>
      <x:c r="AI197" s="174"/>
      <x:c r="AJ197" s="174"/>
      <x:c r="AK197" s="175" t="str">
        <x:f>IF(AJ197="","",IF(OR(LOWER(AJ197)="brazil",LOWER(AJ197)="brasil"),"Yes","No"))</x:f>
      </x:c>
      <x:c r="AL197" s="174"/>
      <x:c r="AM197" s="174"/>
      <x:c r="AN197" s="174"/>
      <x:c r="AO197" s="178"/>
      <x:c r="AP197" s="174"/>
      <x:c r="AQ197" s="174"/>
      <x:c r="AR197" s="174"/>
      <x:c r="AS197" s="174"/>
      <x:c r="AT197" s="174"/>
      <x:c r="AU197" s="174"/>
      <x:c r="AV197" s="174"/>
      <x:c r="AW197" s="174"/>
      <x:c r="AX197" s="174"/>
      <x:c r="AY197" s="174"/>
      <x:c r="AZ197" s="174"/>
      <x:c r="BA197" s="174"/>
      <x:c r="BB197" s="174"/>
      <x:c r="BC197" s="174"/>
      <x:c r="BD197" s="174"/>
      <x:c r="BE197" s="174"/>
      <x:c r="BF197" s="174"/>
      <x:c r="BG197" s="174"/>
      <x:c r="BH197" s="174"/>
      <x:c r="BI197" s="174"/>
      <x:c r="BJ197" s="174"/>
      <x:c r="BK197" s="174"/>
      <x:c r="BL197" s="174"/>
      <x:c r="BM197" s="174"/>
      <x:c r="BN197" s="174"/>
      <x:c r="BO197" s="174"/>
      <x:c r="BP197" s="174"/>
      <x:c r="BQ197" s="174"/>
      <x:c r="BR197" s="174"/>
      <x:c r="BS197" s="174"/>
      <x:c r="BT197" s="174"/>
      <x:c r="BU197" s="174"/>
      <x:c r="BV197" s="174"/>
      <x:c r="BW197" s="174"/>
      <x:c r="BX197" s="174"/>
      <x:c r="BY197" s="174"/>
      <x:c r="BZ197" s="174"/>
      <x:c r="CA197" s="174"/>
      <x:c r="CB197" s="174"/>
      <x:c r="CC197" s="174"/>
      <x:c r="CD197" s="174"/>
      <x:c r="CE197" s="174"/>
      <x:c r="CF197" s="174"/>
      <x:c r="CG197" s="174"/>
      <x:c r="CH197" s="174"/>
      <x:c r="CI197" s="179"/>
      <x:c r="CJ197" s="174"/>
      <x:c r="CK197" s="174"/>
      <x:c r="CL197" s="174"/>
      <x:c r="CM197" s="174"/>
      <x:c r="CN197" s="174"/>
      <x:c r="CO197" s="177"/>
      <x:c r="CP197" s="174"/>
      <x:c r="CQ197" s="174"/>
      <x:c r="CR197" s="174"/>
      <x:c r="CS197" s="174"/>
      <x:c r="CT197" s="174"/>
      <x:c r="CU197" s="176"/>
      <x:c r="CV197" s="176"/>
      <x:c r="CW197" s="176"/>
      <x:c r="CX197" s="176"/>
      <x:c r="CY197" s="176"/>
      <x:c r="CZ197" s="176"/>
      <x:c r="DA197" s="176"/>
      <x:c r="DB197" s="175" t="str">
        <x:f>IF(L197="","",IF(COUNT(CU197:DA197)&lt;7,"",SUM(CU197:DA197)))</x:f>
      </x:c>
      <x:c r="DC197" s="180" t="str">
        <x:f>IF(DB197="","",ROUND(DB197/14*10,1))</x:f>
      </x:c>
      <x:c r="DD197" s="174"/>
      <x:c r="DE197" s="175" t="str">
        <x:f>IF(L197="","",IF(DC197="","Pending",IF(DD197="Yes","CONDITIONAL — safety override",IF(DC197&gt;=8,"HIGH",IF(DC197&gt;=5,"CONDITIONAL","LOW")))))</x:f>
      </x:c>
      <x:c r="DF197" s="174"/>
      <x:c r="DG197" s="174"/>
      <x:c r="DH197" s="174"/>
      <x:c r="DI197" s="174"/>
      <x:c r="DJ197" s="174"/>
      <x:c r="DK197" s="174"/>
      <x:c r="DL197" s="174"/>
      <x:c r="DM197" s="174"/>
      <x:c r="DN197" s="174"/>
      <x:c r="DO197" s="174"/>
      <x:c r="DP197" s="174"/>
      <x:c r="DQ197" s="174"/>
      <x:c r="DR197" s="174"/>
      <x:c r="DS197" s="174"/>
      <x:c r="DT197" s="174"/>
      <x:c r="DU197" s="174"/>
      <x:c r="DV197" s="174"/>
      <x:c r="DW197" s="174"/>
      <x:c r="DX197" s="174"/>
      <x:c r="DY197" s="174"/>
      <x:c r="DZ197" s="174"/>
      <x:c r="EA197" s="174"/>
      <x:c r="EB197" s="175" t="str">
        <x:f>IF(L197="","",IF(AND(F197="Claim-ready",CJ197="Yes",CL197="Yes",DZ197&lt;&gt;""),"Yes","No / Pending"))</x:f>
      </x:c>
      <x:c r="EC197" s="174"/>
      <x:c r="ED197" s="174"/>
      <x:c r="EE197" s="174"/>
      <x:c r="EF197" s="174"/>
      <x:c r="EG197" s="174"/>
      <x:c r="EH197" s="177"/>
      <x:c r="EI197" s="174"/>
      <x:c r="EJ197" s="174"/>
      <x:c r="EK197" s="174"/>
      <x:c r="EL197" s="177"/>
      <x:c r="EM197" s="174"/>
      <x:c r="EN197" s="181" t="str">
        <x:f>IF(L197="","",(IF(N197&lt;&gt;"",1,0)+IF(O197&lt;&gt;"",1,0)+IF(AJ197&lt;&gt;"",1,0)+IF(AU197&lt;&gt;"",1,0)+IF(BE197&lt;&gt;"",1,0)+IF(CF197&lt;&gt;"",1,0)+IF(CJ197="Yes",1,0)+IF(CL197="Yes",1,0)+IF(DE197&lt;&gt;"Pending",1,0)+IF(F197&lt;&gt;"",1,0)+IF(DZ197&lt;&gt;"",1,0)+IF(EI197&lt;&gt;"",1,0))/12)</x:f>
      </x:c>
    </x:row>
    <x:row r="198">
      <x:c r="A198" s="175" t="str">
        <x:f>IF(L198="","","EV-"&amp;TEXT(ROW()-3,"0000"))</x:f>
      </x:c>
      <x:c r="B198" s="174"/>
      <x:c r="C198" s="175" t="str">
        <x:f>IF(L198="","",IF(OR(CM198="Retracted",CN198="Retracted",F198="Not used"),"🔴 Do not use for conclusion",IF(OR(R198="Official / Institutional",I198="Official / contextual"),"🔵 Official / contextual",IF(OR(I198="Definition",I198="Framework",I198="Paradigm shift"),"🟣 Conceptual key source",IF(AND(CJ198="Yes",CL198="Yes",OR(CG198="High",CG198="Moderate"),CH198&lt;&gt;"High",CH198&lt;&gt;"Critical",F198="Claim-ready"),"🟢 Claim-ready","🟡 Caution / context")))))</x:f>
      </x:c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6"/>
      <x:c r="P198" s="174"/>
      <x:c r="Q198" s="174"/>
      <x:c r="R198" s="174"/>
      <x:c r="S198" s="174"/>
      <x:c r="T198" s="174"/>
      <x:c r="U198" s="174"/>
      <x:c r="V198" s="174"/>
      <x:c r="W198" s="175" t="str">
        <x:f>IF(V198="","",LOWER(SUBSTITUTE(SUBSTITUTE(SUBSTITUTE(SUBSTITUTE(TRIM(V198),"https://doi.org/",""),"http://doi.org/",""),"https://dx.doi.org/",""),"doi:","")))</x:f>
      </x:c>
      <x:c r="X198" s="174"/>
      <x:c r="Y198" s="174"/>
      <x:c r="Z198" s="174"/>
      <x:c r="AA198" s="174"/>
      <x:c r="AB198" s="174"/>
      <x:c r="AC198" s="174"/>
      <x:c r="AD198" s="177"/>
      <x:c r="AE198" s="177"/>
      <x:c r="AF198" s="174"/>
      <x:c r="AG198" s="174"/>
      <x:c r="AH198" s="174"/>
      <x:c r="AI198" s="174"/>
      <x:c r="AJ198" s="174"/>
      <x:c r="AK198" s="175" t="str">
        <x:f>IF(AJ198="","",IF(OR(LOWER(AJ198)="brazil",LOWER(AJ198)="brasil"),"Yes","No"))</x:f>
      </x:c>
      <x:c r="AL198" s="174"/>
      <x:c r="AM198" s="174"/>
      <x:c r="AN198" s="174"/>
      <x:c r="AO198" s="178"/>
      <x:c r="AP198" s="174"/>
      <x:c r="AQ198" s="174"/>
      <x:c r="AR198" s="174"/>
      <x:c r="AS198" s="174"/>
      <x:c r="AT198" s="174"/>
      <x:c r="AU198" s="174"/>
      <x:c r="AV198" s="174"/>
      <x:c r="AW198" s="174"/>
      <x:c r="AX198" s="174"/>
      <x:c r="AY198" s="174"/>
      <x:c r="AZ198" s="174"/>
      <x:c r="BA198" s="174"/>
      <x:c r="BB198" s="174"/>
      <x:c r="BC198" s="174"/>
      <x:c r="BD198" s="174"/>
      <x:c r="BE198" s="174"/>
      <x:c r="BF198" s="174"/>
      <x:c r="BG198" s="174"/>
      <x:c r="BH198" s="174"/>
      <x:c r="BI198" s="174"/>
      <x:c r="BJ198" s="174"/>
      <x:c r="BK198" s="174"/>
      <x:c r="BL198" s="174"/>
      <x:c r="BM198" s="174"/>
      <x:c r="BN198" s="174"/>
      <x:c r="BO198" s="174"/>
      <x:c r="BP198" s="174"/>
      <x:c r="BQ198" s="174"/>
      <x:c r="BR198" s="174"/>
      <x:c r="BS198" s="174"/>
      <x:c r="BT198" s="174"/>
      <x:c r="BU198" s="174"/>
      <x:c r="BV198" s="174"/>
      <x:c r="BW198" s="174"/>
      <x:c r="BX198" s="174"/>
      <x:c r="BY198" s="174"/>
      <x:c r="BZ198" s="174"/>
      <x:c r="CA198" s="174"/>
      <x:c r="CB198" s="174"/>
      <x:c r="CC198" s="174"/>
      <x:c r="CD198" s="174"/>
      <x:c r="CE198" s="174"/>
      <x:c r="CF198" s="174"/>
      <x:c r="CG198" s="174"/>
      <x:c r="CH198" s="174"/>
      <x:c r="CI198" s="179"/>
      <x:c r="CJ198" s="174"/>
      <x:c r="CK198" s="174"/>
      <x:c r="CL198" s="174"/>
      <x:c r="CM198" s="174"/>
      <x:c r="CN198" s="174"/>
      <x:c r="CO198" s="177"/>
      <x:c r="CP198" s="174"/>
      <x:c r="CQ198" s="174"/>
      <x:c r="CR198" s="174"/>
      <x:c r="CS198" s="174"/>
      <x:c r="CT198" s="174"/>
      <x:c r="CU198" s="176"/>
      <x:c r="CV198" s="176"/>
      <x:c r="CW198" s="176"/>
      <x:c r="CX198" s="176"/>
      <x:c r="CY198" s="176"/>
      <x:c r="CZ198" s="176"/>
      <x:c r="DA198" s="176"/>
      <x:c r="DB198" s="175" t="str">
        <x:f>IF(L198="","",IF(COUNT(CU198:DA198)&lt;7,"",SUM(CU198:DA198)))</x:f>
      </x:c>
      <x:c r="DC198" s="180" t="str">
        <x:f>IF(DB198="","",ROUND(DB198/14*10,1))</x:f>
      </x:c>
      <x:c r="DD198" s="174"/>
      <x:c r="DE198" s="175" t="str">
        <x:f>IF(L198="","",IF(DC198="","Pending",IF(DD198="Yes","CONDITIONAL — safety override",IF(DC198&gt;=8,"HIGH",IF(DC198&gt;=5,"CONDITIONAL","LOW")))))</x:f>
      </x:c>
      <x:c r="DF198" s="174"/>
      <x:c r="DG198" s="174"/>
      <x:c r="DH198" s="174"/>
      <x:c r="DI198" s="174"/>
      <x:c r="DJ198" s="174"/>
      <x:c r="DK198" s="174"/>
      <x:c r="DL198" s="174"/>
      <x:c r="DM198" s="174"/>
      <x:c r="DN198" s="174"/>
      <x:c r="DO198" s="174"/>
      <x:c r="DP198" s="174"/>
      <x:c r="DQ198" s="174"/>
      <x:c r="DR198" s="174"/>
      <x:c r="DS198" s="174"/>
      <x:c r="DT198" s="174"/>
      <x:c r="DU198" s="174"/>
      <x:c r="DV198" s="174"/>
      <x:c r="DW198" s="174"/>
      <x:c r="DX198" s="174"/>
      <x:c r="DY198" s="174"/>
      <x:c r="DZ198" s="174"/>
      <x:c r="EA198" s="174"/>
      <x:c r="EB198" s="175" t="str">
        <x:f>IF(L198="","",IF(AND(F198="Claim-ready",CJ198="Yes",CL198="Yes",DZ198&lt;&gt;""),"Yes","No / Pending"))</x:f>
      </x:c>
      <x:c r="EC198" s="174"/>
      <x:c r="ED198" s="174"/>
      <x:c r="EE198" s="174"/>
      <x:c r="EF198" s="174"/>
      <x:c r="EG198" s="174"/>
      <x:c r="EH198" s="177"/>
      <x:c r="EI198" s="174"/>
      <x:c r="EJ198" s="174"/>
      <x:c r="EK198" s="174"/>
      <x:c r="EL198" s="177"/>
      <x:c r="EM198" s="174"/>
      <x:c r="EN198" s="181" t="str">
        <x:f>IF(L198="","",(IF(N198&lt;&gt;"",1,0)+IF(O198&lt;&gt;"",1,0)+IF(AJ198&lt;&gt;"",1,0)+IF(AU198&lt;&gt;"",1,0)+IF(BE198&lt;&gt;"",1,0)+IF(CF198&lt;&gt;"",1,0)+IF(CJ198="Yes",1,0)+IF(CL198="Yes",1,0)+IF(DE198&lt;&gt;"Pending",1,0)+IF(F198&lt;&gt;"",1,0)+IF(DZ198&lt;&gt;"",1,0)+IF(EI198&lt;&gt;"",1,0))/12)</x:f>
      </x:c>
    </x:row>
    <x:row r="199">
      <x:c r="A199" s="175" t="str">
        <x:f>IF(L199="","","EV-"&amp;TEXT(ROW()-3,"0000"))</x:f>
      </x:c>
      <x:c r="B199" s="174"/>
      <x:c r="C199" s="175" t="str">
        <x:f>IF(L199="","",IF(OR(CM199="Retracted",CN199="Retracted",F199="Not used"),"🔴 Do not use for conclusion",IF(OR(R199="Official / Institutional",I199="Official / contextual"),"🔵 Official / contextual",IF(OR(I199="Definition",I199="Framework",I199="Paradigm shift"),"🟣 Conceptual key source",IF(AND(CJ199="Yes",CL199="Yes",OR(CG199="High",CG199="Moderate"),CH199&lt;&gt;"High",CH199&lt;&gt;"Critical",F199="Claim-ready"),"🟢 Claim-ready","🟡 Caution / context")))))</x:f>
      </x:c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6"/>
      <x:c r="P199" s="174"/>
      <x:c r="Q199" s="174"/>
      <x:c r="R199" s="174"/>
      <x:c r="S199" s="174"/>
      <x:c r="T199" s="174"/>
      <x:c r="U199" s="174"/>
      <x:c r="V199" s="174"/>
      <x:c r="W199" s="175" t="str">
        <x:f>IF(V199="","",LOWER(SUBSTITUTE(SUBSTITUTE(SUBSTITUTE(SUBSTITUTE(TRIM(V199),"https://doi.org/",""),"http://doi.org/",""),"https://dx.doi.org/",""),"doi:","")))</x:f>
      </x:c>
      <x:c r="X199" s="174"/>
      <x:c r="Y199" s="174"/>
      <x:c r="Z199" s="174"/>
      <x:c r="AA199" s="174"/>
      <x:c r="AB199" s="174"/>
      <x:c r="AC199" s="174"/>
      <x:c r="AD199" s="177"/>
      <x:c r="AE199" s="177"/>
      <x:c r="AF199" s="174"/>
      <x:c r="AG199" s="174"/>
      <x:c r="AH199" s="174"/>
      <x:c r="AI199" s="174"/>
      <x:c r="AJ199" s="174"/>
      <x:c r="AK199" s="175" t="str">
        <x:f>IF(AJ199="","",IF(OR(LOWER(AJ199)="brazil",LOWER(AJ199)="brasil"),"Yes","No"))</x:f>
      </x:c>
      <x:c r="AL199" s="174"/>
      <x:c r="AM199" s="174"/>
      <x:c r="AN199" s="174"/>
      <x:c r="AO199" s="178"/>
      <x:c r="AP199" s="174"/>
      <x:c r="AQ199" s="174"/>
      <x:c r="AR199" s="174"/>
      <x:c r="AS199" s="174"/>
      <x:c r="AT199" s="174"/>
      <x:c r="AU199" s="174"/>
      <x:c r="AV199" s="174"/>
      <x:c r="AW199" s="174"/>
      <x:c r="AX199" s="174"/>
      <x:c r="AY199" s="174"/>
      <x:c r="AZ199" s="174"/>
      <x:c r="BA199" s="174"/>
      <x:c r="BB199" s="174"/>
      <x:c r="BC199" s="174"/>
      <x:c r="BD199" s="174"/>
      <x:c r="BE199" s="174"/>
      <x:c r="BF199" s="174"/>
      <x:c r="BG199" s="174"/>
      <x:c r="BH199" s="174"/>
      <x:c r="BI199" s="174"/>
      <x:c r="BJ199" s="174"/>
      <x:c r="BK199" s="174"/>
      <x:c r="BL199" s="174"/>
      <x:c r="BM199" s="174"/>
      <x:c r="BN199" s="174"/>
      <x:c r="BO199" s="174"/>
      <x:c r="BP199" s="174"/>
      <x:c r="BQ199" s="174"/>
      <x:c r="BR199" s="174"/>
      <x:c r="BS199" s="174"/>
      <x:c r="BT199" s="174"/>
      <x:c r="BU199" s="174"/>
      <x:c r="BV199" s="174"/>
      <x:c r="BW199" s="174"/>
      <x:c r="BX199" s="174"/>
      <x:c r="BY199" s="174"/>
      <x:c r="BZ199" s="174"/>
      <x:c r="CA199" s="174"/>
      <x:c r="CB199" s="174"/>
      <x:c r="CC199" s="174"/>
      <x:c r="CD199" s="174"/>
      <x:c r="CE199" s="174"/>
      <x:c r="CF199" s="174"/>
      <x:c r="CG199" s="174"/>
      <x:c r="CH199" s="174"/>
      <x:c r="CI199" s="179"/>
      <x:c r="CJ199" s="174"/>
      <x:c r="CK199" s="174"/>
      <x:c r="CL199" s="174"/>
      <x:c r="CM199" s="174"/>
      <x:c r="CN199" s="174"/>
      <x:c r="CO199" s="177"/>
      <x:c r="CP199" s="174"/>
      <x:c r="CQ199" s="174"/>
      <x:c r="CR199" s="174"/>
      <x:c r="CS199" s="174"/>
      <x:c r="CT199" s="174"/>
      <x:c r="CU199" s="176"/>
      <x:c r="CV199" s="176"/>
      <x:c r="CW199" s="176"/>
      <x:c r="CX199" s="176"/>
      <x:c r="CY199" s="176"/>
      <x:c r="CZ199" s="176"/>
      <x:c r="DA199" s="176"/>
      <x:c r="DB199" s="175" t="str">
        <x:f>IF(L199="","",IF(COUNT(CU199:DA199)&lt;7,"",SUM(CU199:DA199)))</x:f>
      </x:c>
      <x:c r="DC199" s="180" t="str">
        <x:f>IF(DB199="","",ROUND(DB199/14*10,1))</x:f>
      </x:c>
      <x:c r="DD199" s="174"/>
      <x:c r="DE199" s="175" t="str">
        <x:f>IF(L199="","",IF(DC199="","Pending",IF(DD199="Yes","CONDITIONAL — safety override",IF(DC199&gt;=8,"HIGH",IF(DC199&gt;=5,"CONDITIONAL","LOW")))))</x:f>
      </x:c>
      <x:c r="DF199" s="174"/>
      <x:c r="DG199" s="174"/>
      <x:c r="DH199" s="174"/>
      <x:c r="DI199" s="174"/>
      <x:c r="DJ199" s="174"/>
      <x:c r="DK199" s="174"/>
      <x:c r="DL199" s="174"/>
      <x:c r="DM199" s="174"/>
      <x:c r="DN199" s="174"/>
      <x:c r="DO199" s="174"/>
      <x:c r="DP199" s="174"/>
      <x:c r="DQ199" s="174"/>
      <x:c r="DR199" s="174"/>
      <x:c r="DS199" s="174"/>
      <x:c r="DT199" s="174"/>
      <x:c r="DU199" s="174"/>
      <x:c r="DV199" s="174"/>
      <x:c r="DW199" s="174"/>
      <x:c r="DX199" s="174"/>
      <x:c r="DY199" s="174"/>
      <x:c r="DZ199" s="174"/>
      <x:c r="EA199" s="174"/>
      <x:c r="EB199" s="175" t="str">
        <x:f>IF(L199="","",IF(AND(F199="Claim-ready",CJ199="Yes",CL199="Yes",DZ199&lt;&gt;""),"Yes","No / Pending"))</x:f>
      </x:c>
      <x:c r="EC199" s="174"/>
      <x:c r="ED199" s="174"/>
      <x:c r="EE199" s="174"/>
      <x:c r="EF199" s="174"/>
      <x:c r="EG199" s="174"/>
      <x:c r="EH199" s="177"/>
      <x:c r="EI199" s="174"/>
      <x:c r="EJ199" s="174"/>
      <x:c r="EK199" s="174"/>
      <x:c r="EL199" s="177"/>
      <x:c r="EM199" s="174"/>
      <x:c r="EN199" s="181" t="str">
        <x:f>IF(L199="","",(IF(N199&lt;&gt;"",1,0)+IF(O199&lt;&gt;"",1,0)+IF(AJ199&lt;&gt;"",1,0)+IF(AU199&lt;&gt;"",1,0)+IF(BE199&lt;&gt;"",1,0)+IF(CF199&lt;&gt;"",1,0)+IF(CJ199="Yes",1,0)+IF(CL199="Yes",1,0)+IF(DE199&lt;&gt;"Pending",1,0)+IF(F199&lt;&gt;"",1,0)+IF(DZ199&lt;&gt;"",1,0)+IF(EI199&lt;&gt;"",1,0))/12)</x:f>
      </x:c>
    </x:row>
    <x:row r="200">
      <x:c r="A200" s="175" t="str">
        <x:f>IF(L200="","","EV-"&amp;TEXT(ROW()-3,"0000"))</x:f>
      </x:c>
      <x:c r="B200" s="174"/>
      <x:c r="C200" s="175" t="str">
        <x:f>IF(L200="","",IF(OR(CM200="Retracted",CN200="Retracted",F200="Not used"),"🔴 Do not use for conclusion",IF(OR(R200="Official / Institutional",I200="Official / contextual"),"🔵 Official / contextual",IF(OR(I200="Definition",I200="Framework",I200="Paradigm shift"),"🟣 Conceptual key source",IF(AND(CJ200="Yes",CL200="Yes",OR(CG200="High",CG200="Moderate"),CH200&lt;&gt;"High",CH200&lt;&gt;"Critical",F200="Claim-ready"),"🟢 Claim-ready","🟡 Caution / context")))))</x:f>
      </x:c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6"/>
      <x:c r="P200" s="174"/>
      <x:c r="Q200" s="174"/>
      <x:c r="R200" s="174"/>
      <x:c r="S200" s="174"/>
      <x:c r="T200" s="174"/>
      <x:c r="U200" s="174"/>
      <x:c r="V200" s="174"/>
      <x:c r="W200" s="175" t="str">
        <x:f>IF(V200="","",LOWER(SUBSTITUTE(SUBSTITUTE(SUBSTITUTE(SUBSTITUTE(TRIM(V200),"https://doi.org/",""),"http://doi.org/",""),"https://dx.doi.org/",""),"doi:","")))</x:f>
      </x:c>
      <x:c r="X200" s="174"/>
      <x:c r="Y200" s="174"/>
      <x:c r="Z200" s="174"/>
      <x:c r="AA200" s="174"/>
      <x:c r="AB200" s="174"/>
      <x:c r="AC200" s="174"/>
      <x:c r="AD200" s="177"/>
      <x:c r="AE200" s="177"/>
      <x:c r="AF200" s="174"/>
      <x:c r="AG200" s="174"/>
      <x:c r="AH200" s="174"/>
      <x:c r="AI200" s="174"/>
      <x:c r="AJ200" s="174"/>
      <x:c r="AK200" s="175" t="str">
        <x:f>IF(AJ200="","",IF(OR(LOWER(AJ200)="brazil",LOWER(AJ200)="brasil"),"Yes","No"))</x:f>
      </x:c>
      <x:c r="AL200" s="174"/>
      <x:c r="AM200" s="174"/>
      <x:c r="AN200" s="174"/>
      <x:c r="AO200" s="178"/>
      <x:c r="AP200" s="174"/>
      <x:c r="AQ200" s="174"/>
      <x:c r="AR200" s="174"/>
      <x:c r="AS200" s="174"/>
      <x:c r="AT200" s="174"/>
      <x:c r="AU200" s="174"/>
      <x:c r="AV200" s="174"/>
      <x:c r="AW200" s="174"/>
      <x:c r="AX200" s="174"/>
      <x:c r="AY200" s="174"/>
      <x:c r="AZ200" s="174"/>
      <x:c r="BA200" s="174"/>
      <x:c r="BB200" s="174"/>
      <x:c r="BC200" s="174"/>
      <x:c r="BD200" s="174"/>
      <x:c r="BE200" s="174"/>
      <x:c r="BF200" s="174"/>
      <x:c r="BG200" s="174"/>
      <x:c r="BH200" s="174"/>
      <x:c r="BI200" s="174"/>
      <x:c r="BJ200" s="174"/>
      <x:c r="BK200" s="174"/>
      <x:c r="BL200" s="174"/>
      <x:c r="BM200" s="174"/>
      <x:c r="BN200" s="174"/>
      <x:c r="BO200" s="174"/>
      <x:c r="BP200" s="174"/>
      <x:c r="BQ200" s="174"/>
      <x:c r="BR200" s="174"/>
      <x:c r="BS200" s="174"/>
      <x:c r="BT200" s="174"/>
      <x:c r="BU200" s="174"/>
      <x:c r="BV200" s="174"/>
      <x:c r="BW200" s="174"/>
      <x:c r="BX200" s="174"/>
      <x:c r="BY200" s="174"/>
      <x:c r="BZ200" s="174"/>
      <x:c r="CA200" s="174"/>
      <x:c r="CB200" s="174"/>
      <x:c r="CC200" s="174"/>
      <x:c r="CD200" s="174"/>
      <x:c r="CE200" s="174"/>
      <x:c r="CF200" s="174"/>
      <x:c r="CG200" s="174"/>
      <x:c r="CH200" s="174"/>
      <x:c r="CI200" s="179"/>
      <x:c r="CJ200" s="174"/>
      <x:c r="CK200" s="174"/>
      <x:c r="CL200" s="174"/>
      <x:c r="CM200" s="174"/>
      <x:c r="CN200" s="174"/>
      <x:c r="CO200" s="177"/>
      <x:c r="CP200" s="174"/>
      <x:c r="CQ200" s="174"/>
      <x:c r="CR200" s="174"/>
      <x:c r="CS200" s="174"/>
      <x:c r="CT200" s="174"/>
      <x:c r="CU200" s="176"/>
      <x:c r="CV200" s="176"/>
      <x:c r="CW200" s="176"/>
      <x:c r="CX200" s="176"/>
      <x:c r="CY200" s="176"/>
      <x:c r="CZ200" s="176"/>
      <x:c r="DA200" s="176"/>
      <x:c r="DB200" s="175" t="str">
        <x:f>IF(L200="","",IF(COUNT(CU200:DA200)&lt;7,"",SUM(CU200:DA200)))</x:f>
      </x:c>
      <x:c r="DC200" s="180" t="str">
        <x:f>IF(DB200="","",ROUND(DB200/14*10,1))</x:f>
      </x:c>
      <x:c r="DD200" s="174"/>
      <x:c r="DE200" s="175" t="str">
        <x:f>IF(L200="","",IF(DC200="","Pending",IF(DD200="Yes","CONDITIONAL — safety override",IF(DC200&gt;=8,"HIGH",IF(DC200&gt;=5,"CONDITIONAL","LOW")))))</x:f>
      </x:c>
      <x:c r="DF200" s="174"/>
      <x:c r="DG200" s="174"/>
      <x:c r="DH200" s="174"/>
      <x:c r="DI200" s="174"/>
      <x:c r="DJ200" s="174"/>
      <x:c r="DK200" s="174"/>
      <x:c r="DL200" s="174"/>
      <x:c r="DM200" s="174"/>
      <x:c r="DN200" s="174"/>
      <x:c r="DO200" s="174"/>
      <x:c r="DP200" s="174"/>
      <x:c r="DQ200" s="174"/>
      <x:c r="DR200" s="174"/>
      <x:c r="DS200" s="174"/>
      <x:c r="DT200" s="174"/>
      <x:c r="DU200" s="174"/>
      <x:c r="DV200" s="174"/>
      <x:c r="DW200" s="174"/>
      <x:c r="DX200" s="174"/>
      <x:c r="DY200" s="174"/>
      <x:c r="DZ200" s="174"/>
      <x:c r="EA200" s="174"/>
      <x:c r="EB200" s="175" t="str">
        <x:f>IF(L200="","",IF(AND(F200="Claim-ready",CJ200="Yes",CL200="Yes",DZ200&lt;&gt;""),"Yes","No / Pending"))</x:f>
      </x:c>
      <x:c r="EC200" s="174"/>
      <x:c r="ED200" s="174"/>
      <x:c r="EE200" s="174"/>
      <x:c r="EF200" s="174"/>
      <x:c r="EG200" s="174"/>
      <x:c r="EH200" s="177"/>
      <x:c r="EI200" s="174"/>
      <x:c r="EJ200" s="174"/>
      <x:c r="EK200" s="174"/>
      <x:c r="EL200" s="177"/>
      <x:c r="EM200" s="174"/>
      <x:c r="EN200" s="181" t="str">
        <x:f>IF(L200="","",(IF(N200&lt;&gt;"",1,0)+IF(O200&lt;&gt;"",1,0)+IF(AJ200&lt;&gt;"",1,0)+IF(AU200&lt;&gt;"",1,0)+IF(BE200&lt;&gt;"",1,0)+IF(CF200&lt;&gt;"",1,0)+IF(CJ200="Yes",1,0)+IF(CL200="Yes",1,0)+IF(DE200&lt;&gt;"Pending",1,0)+IF(F200&lt;&gt;"",1,0)+IF(DZ200&lt;&gt;"",1,0)+IF(EI200&lt;&gt;"",1,0))/12)</x:f>
      </x:c>
    </x:row>
    <x:row r="201">
      <x:c r="A201" s="175" t="str">
        <x:f>IF(L201="","","EV-"&amp;TEXT(ROW()-3,"0000"))</x:f>
      </x:c>
      <x:c r="B201" s="174"/>
      <x:c r="C201" s="175" t="str">
        <x:f>IF(L201="","",IF(OR(CM201="Retracted",CN201="Retracted",F201="Not used"),"🔴 Do not use for conclusion",IF(OR(R201="Official / Institutional",I201="Official / contextual"),"🔵 Official / contextual",IF(OR(I201="Definition",I201="Framework",I201="Paradigm shift"),"🟣 Conceptual key source",IF(AND(CJ201="Yes",CL201="Yes",OR(CG201="High",CG201="Moderate"),CH201&lt;&gt;"High",CH201&lt;&gt;"Critical",F201="Claim-ready"),"🟢 Claim-ready","🟡 Caution / context")))))</x:f>
      </x:c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6"/>
      <x:c r="P201" s="174"/>
      <x:c r="Q201" s="174"/>
      <x:c r="R201" s="174"/>
      <x:c r="S201" s="174"/>
      <x:c r="T201" s="174"/>
      <x:c r="U201" s="174"/>
      <x:c r="V201" s="174"/>
      <x:c r="W201" s="175" t="str">
        <x:f>IF(V201="","",LOWER(SUBSTITUTE(SUBSTITUTE(SUBSTITUTE(SUBSTITUTE(TRIM(V201),"https://doi.org/",""),"http://doi.org/",""),"https://dx.doi.org/",""),"doi:","")))</x:f>
      </x:c>
      <x:c r="X201" s="174"/>
      <x:c r="Y201" s="174"/>
      <x:c r="Z201" s="174"/>
      <x:c r="AA201" s="174"/>
      <x:c r="AB201" s="174"/>
      <x:c r="AC201" s="174"/>
      <x:c r="AD201" s="177"/>
      <x:c r="AE201" s="177"/>
      <x:c r="AF201" s="174"/>
      <x:c r="AG201" s="174"/>
      <x:c r="AH201" s="174"/>
      <x:c r="AI201" s="174"/>
      <x:c r="AJ201" s="174"/>
      <x:c r="AK201" s="175" t="str">
        <x:f>IF(AJ201="","",IF(OR(LOWER(AJ201)="brazil",LOWER(AJ201)="brasil"),"Yes","No"))</x:f>
      </x:c>
      <x:c r="AL201" s="174"/>
      <x:c r="AM201" s="174"/>
      <x:c r="AN201" s="174"/>
      <x:c r="AO201" s="178"/>
      <x:c r="AP201" s="174"/>
      <x:c r="AQ201" s="174"/>
      <x:c r="AR201" s="174"/>
      <x:c r="AS201" s="174"/>
      <x:c r="AT201" s="174"/>
      <x:c r="AU201" s="174"/>
      <x:c r="AV201" s="174"/>
      <x:c r="AW201" s="174"/>
      <x:c r="AX201" s="174"/>
      <x:c r="AY201" s="174"/>
      <x:c r="AZ201" s="174"/>
      <x:c r="BA201" s="174"/>
      <x:c r="BB201" s="174"/>
      <x:c r="BC201" s="174"/>
      <x:c r="BD201" s="174"/>
      <x:c r="BE201" s="174"/>
      <x:c r="BF201" s="174"/>
      <x:c r="BG201" s="174"/>
      <x:c r="BH201" s="174"/>
      <x:c r="BI201" s="174"/>
      <x:c r="BJ201" s="174"/>
      <x:c r="BK201" s="174"/>
      <x:c r="BL201" s="174"/>
      <x:c r="BM201" s="174"/>
      <x:c r="BN201" s="174"/>
      <x:c r="BO201" s="174"/>
      <x:c r="BP201" s="174"/>
      <x:c r="BQ201" s="174"/>
      <x:c r="BR201" s="174"/>
      <x:c r="BS201" s="174"/>
      <x:c r="BT201" s="174"/>
      <x:c r="BU201" s="174"/>
      <x:c r="BV201" s="174"/>
      <x:c r="BW201" s="174"/>
      <x:c r="BX201" s="174"/>
      <x:c r="BY201" s="174"/>
      <x:c r="BZ201" s="174"/>
      <x:c r="CA201" s="174"/>
      <x:c r="CB201" s="174"/>
      <x:c r="CC201" s="174"/>
      <x:c r="CD201" s="174"/>
      <x:c r="CE201" s="174"/>
      <x:c r="CF201" s="174"/>
      <x:c r="CG201" s="174"/>
      <x:c r="CH201" s="174"/>
      <x:c r="CI201" s="179"/>
      <x:c r="CJ201" s="174"/>
      <x:c r="CK201" s="174"/>
      <x:c r="CL201" s="174"/>
      <x:c r="CM201" s="174"/>
      <x:c r="CN201" s="174"/>
      <x:c r="CO201" s="177"/>
      <x:c r="CP201" s="174"/>
      <x:c r="CQ201" s="174"/>
      <x:c r="CR201" s="174"/>
      <x:c r="CS201" s="174"/>
      <x:c r="CT201" s="174"/>
      <x:c r="CU201" s="176"/>
      <x:c r="CV201" s="176"/>
      <x:c r="CW201" s="176"/>
      <x:c r="CX201" s="176"/>
      <x:c r="CY201" s="176"/>
      <x:c r="CZ201" s="176"/>
      <x:c r="DA201" s="176"/>
      <x:c r="DB201" s="175" t="str">
        <x:f>IF(L201="","",IF(COUNT(CU201:DA201)&lt;7,"",SUM(CU201:DA201)))</x:f>
      </x:c>
      <x:c r="DC201" s="180" t="str">
        <x:f>IF(DB201="","",ROUND(DB201/14*10,1))</x:f>
      </x:c>
      <x:c r="DD201" s="174"/>
      <x:c r="DE201" s="175" t="str">
        <x:f>IF(L201="","",IF(DC201="","Pending",IF(DD201="Yes","CONDITIONAL — safety override",IF(DC201&gt;=8,"HIGH",IF(DC201&gt;=5,"CONDITIONAL","LOW")))))</x:f>
      </x:c>
      <x:c r="DF201" s="174"/>
      <x:c r="DG201" s="174"/>
      <x:c r="DH201" s="174"/>
      <x:c r="DI201" s="174"/>
      <x:c r="DJ201" s="174"/>
      <x:c r="DK201" s="174"/>
      <x:c r="DL201" s="174"/>
      <x:c r="DM201" s="174"/>
      <x:c r="DN201" s="174"/>
      <x:c r="DO201" s="174"/>
      <x:c r="DP201" s="174"/>
      <x:c r="DQ201" s="174"/>
      <x:c r="DR201" s="174"/>
      <x:c r="DS201" s="174"/>
      <x:c r="DT201" s="174"/>
      <x:c r="DU201" s="174"/>
      <x:c r="DV201" s="174"/>
      <x:c r="DW201" s="174"/>
      <x:c r="DX201" s="174"/>
      <x:c r="DY201" s="174"/>
      <x:c r="DZ201" s="174"/>
      <x:c r="EA201" s="174"/>
      <x:c r="EB201" s="175" t="str">
        <x:f>IF(L201="","",IF(AND(F201="Claim-ready",CJ201="Yes",CL201="Yes",DZ201&lt;&gt;""),"Yes","No / Pending"))</x:f>
      </x:c>
      <x:c r="EC201" s="174"/>
      <x:c r="ED201" s="174"/>
      <x:c r="EE201" s="174"/>
      <x:c r="EF201" s="174"/>
      <x:c r="EG201" s="174"/>
      <x:c r="EH201" s="177"/>
      <x:c r="EI201" s="174"/>
      <x:c r="EJ201" s="174"/>
      <x:c r="EK201" s="174"/>
      <x:c r="EL201" s="177"/>
      <x:c r="EM201" s="174"/>
      <x:c r="EN201" s="181" t="str">
        <x:f>IF(L201="","",(IF(N201&lt;&gt;"",1,0)+IF(O201&lt;&gt;"",1,0)+IF(AJ201&lt;&gt;"",1,0)+IF(AU201&lt;&gt;"",1,0)+IF(BE201&lt;&gt;"",1,0)+IF(CF201&lt;&gt;"",1,0)+IF(CJ201="Yes",1,0)+IF(CL201="Yes",1,0)+IF(DE201&lt;&gt;"Pending",1,0)+IF(F201&lt;&gt;"",1,0)+IF(DZ201&lt;&gt;"",1,0)+IF(EI201&lt;&gt;"",1,0))/12)</x:f>
      </x:c>
    </x:row>
    <x:row r="202">
      <x:c r="A202" s="175" t="str">
        <x:f>IF(L202="","","EV-"&amp;TEXT(ROW()-3,"0000"))</x:f>
      </x:c>
      <x:c r="B202" s="174"/>
      <x:c r="C202" s="175" t="str">
        <x:f>IF(L202="","",IF(OR(CM202="Retracted",CN202="Retracted",F202="Not used"),"🔴 Do not use for conclusion",IF(OR(R202="Official / Institutional",I202="Official / contextual"),"🔵 Official / contextual",IF(OR(I202="Definition",I202="Framework",I202="Paradigm shift"),"🟣 Conceptual key source",IF(AND(CJ202="Yes",CL202="Yes",OR(CG202="High",CG202="Moderate"),CH202&lt;&gt;"High",CH202&lt;&gt;"Critical",F202="Claim-ready"),"🟢 Claim-ready","🟡 Caution / context")))))</x:f>
      </x:c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6"/>
      <x:c r="P202" s="174"/>
      <x:c r="Q202" s="174"/>
      <x:c r="R202" s="174"/>
      <x:c r="S202" s="174"/>
      <x:c r="T202" s="174"/>
      <x:c r="U202" s="174"/>
      <x:c r="V202" s="174"/>
      <x:c r="W202" s="175" t="str">
        <x:f>IF(V202="","",LOWER(SUBSTITUTE(SUBSTITUTE(SUBSTITUTE(SUBSTITUTE(TRIM(V202),"https://doi.org/",""),"http://doi.org/",""),"https://dx.doi.org/",""),"doi:","")))</x:f>
      </x:c>
      <x:c r="X202" s="174"/>
      <x:c r="Y202" s="174"/>
      <x:c r="Z202" s="174"/>
      <x:c r="AA202" s="174"/>
      <x:c r="AB202" s="174"/>
      <x:c r="AC202" s="174"/>
      <x:c r="AD202" s="177"/>
      <x:c r="AE202" s="177"/>
      <x:c r="AF202" s="174"/>
      <x:c r="AG202" s="174"/>
      <x:c r="AH202" s="174"/>
      <x:c r="AI202" s="174"/>
      <x:c r="AJ202" s="174"/>
      <x:c r="AK202" s="175" t="str">
        <x:f>IF(AJ202="","",IF(OR(LOWER(AJ202)="brazil",LOWER(AJ202)="brasil"),"Yes","No"))</x:f>
      </x:c>
      <x:c r="AL202" s="174"/>
      <x:c r="AM202" s="174"/>
      <x:c r="AN202" s="174"/>
      <x:c r="AO202" s="178"/>
      <x:c r="AP202" s="174"/>
      <x:c r="AQ202" s="174"/>
      <x:c r="AR202" s="174"/>
      <x:c r="AS202" s="174"/>
      <x:c r="AT202" s="174"/>
      <x:c r="AU202" s="174"/>
      <x:c r="AV202" s="174"/>
      <x:c r="AW202" s="174"/>
      <x:c r="AX202" s="174"/>
      <x:c r="AY202" s="174"/>
      <x:c r="AZ202" s="174"/>
      <x:c r="BA202" s="174"/>
      <x:c r="BB202" s="174"/>
      <x:c r="BC202" s="174"/>
      <x:c r="BD202" s="174"/>
      <x:c r="BE202" s="174"/>
      <x:c r="BF202" s="174"/>
      <x:c r="BG202" s="174"/>
      <x:c r="BH202" s="174"/>
      <x:c r="BI202" s="174"/>
      <x:c r="BJ202" s="174"/>
      <x:c r="BK202" s="174"/>
      <x:c r="BL202" s="174"/>
      <x:c r="BM202" s="174"/>
      <x:c r="BN202" s="174"/>
      <x:c r="BO202" s="174"/>
      <x:c r="BP202" s="174"/>
      <x:c r="BQ202" s="174"/>
      <x:c r="BR202" s="174"/>
      <x:c r="BS202" s="174"/>
      <x:c r="BT202" s="174"/>
      <x:c r="BU202" s="174"/>
      <x:c r="BV202" s="174"/>
      <x:c r="BW202" s="174"/>
      <x:c r="BX202" s="174"/>
      <x:c r="BY202" s="174"/>
      <x:c r="BZ202" s="174"/>
      <x:c r="CA202" s="174"/>
      <x:c r="CB202" s="174"/>
      <x:c r="CC202" s="174"/>
      <x:c r="CD202" s="174"/>
      <x:c r="CE202" s="174"/>
      <x:c r="CF202" s="174"/>
      <x:c r="CG202" s="174"/>
      <x:c r="CH202" s="174"/>
      <x:c r="CI202" s="179"/>
      <x:c r="CJ202" s="174"/>
      <x:c r="CK202" s="174"/>
      <x:c r="CL202" s="174"/>
      <x:c r="CM202" s="174"/>
      <x:c r="CN202" s="174"/>
      <x:c r="CO202" s="177"/>
      <x:c r="CP202" s="174"/>
      <x:c r="CQ202" s="174"/>
      <x:c r="CR202" s="174"/>
      <x:c r="CS202" s="174"/>
      <x:c r="CT202" s="174"/>
      <x:c r="CU202" s="176"/>
      <x:c r="CV202" s="176"/>
      <x:c r="CW202" s="176"/>
      <x:c r="CX202" s="176"/>
      <x:c r="CY202" s="176"/>
      <x:c r="CZ202" s="176"/>
      <x:c r="DA202" s="176"/>
      <x:c r="DB202" s="175" t="str">
        <x:f>IF(L202="","",IF(COUNT(CU202:DA202)&lt;7,"",SUM(CU202:DA202)))</x:f>
      </x:c>
      <x:c r="DC202" s="180" t="str">
        <x:f>IF(DB202="","",ROUND(DB202/14*10,1))</x:f>
      </x:c>
      <x:c r="DD202" s="174"/>
      <x:c r="DE202" s="175" t="str">
        <x:f>IF(L202="","",IF(DC202="","Pending",IF(DD202="Yes","CONDITIONAL — safety override",IF(DC202&gt;=8,"HIGH",IF(DC202&gt;=5,"CONDITIONAL","LOW")))))</x:f>
      </x:c>
      <x:c r="DF202" s="174"/>
      <x:c r="DG202" s="174"/>
      <x:c r="DH202" s="174"/>
      <x:c r="DI202" s="174"/>
      <x:c r="DJ202" s="174"/>
      <x:c r="DK202" s="174"/>
      <x:c r="DL202" s="174"/>
      <x:c r="DM202" s="174"/>
      <x:c r="DN202" s="174"/>
      <x:c r="DO202" s="174"/>
      <x:c r="DP202" s="174"/>
      <x:c r="DQ202" s="174"/>
      <x:c r="DR202" s="174"/>
      <x:c r="DS202" s="174"/>
      <x:c r="DT202" s="174"/>
      <x:c r="DU202" s="174"/>
      <x:c r="DV202" s="174"/>
      <x:c r="DW202" s="174"/>
      <x:c r="DX202" s="174"/>
      <x:c r="DY202" s="174"/>
      <x:c r="DZ202" s="174"/>
      <x:c r="EA202" s="174"/>
      <x:c r="EB202" s="175" t="str">
        <x:f>IF(L202="","",IF(AND(F202="Claim-ready",CJ202="Yes",CL202="Yes",DZ202&lt;&gt;""),"Yes","No / Pending"))</x:f>
      </x:c>
      <x:c r="EC202" s="174"/>
      <x:c r="ED202" s="174"/>
      <x:c r="EE202" s="174"/>
      <x:c r="EF202" s="174"/>
      <x:c r="EG202" s="174"/>
      <x:c r="EH202" s="177"/>
      <x:c r="EI202" s="174"/>
      <x:c r="EJ202" s="174"/>
      <x:c r="EK202" s="174"/>
      <x:c r="EL202" s="177"/>
      <x:c r="EM202" s="174"/>
      <x:c r="EN202" s="181" t="str">
        <x:f>IF(L202="","",(IF(N202&lt;&gt;"",1,0)+IF(O202&lt;&gt;"",1,0)+IF(AJ202&lt;&gt;"",1,0)+IF(AU202&lt;&gt;"",1,0)+IF(BE202&lt;&gt;"",1,0)+IF(CF202&lt;&gt;"",1,0)+IF(CJ202="Yes",1,0)+IF(CL202="Yes",1,0)+IF(DE202&lt;&gt;"Pending",1,0)+IF(F202&lt;&gt;"",1,0)+IF(DZ202&lt;&gt;"",1,0)+IF(EI202&lt;&gt;"",1,0))/12)</x:f>
      </x:c>
    </x:row>
    <x:row r="203">
      <x:c r="A203" s="175" t="str">
        <x:f>IF(L203="","","EV-"&amp;TEXT(ROW()-3,"0000"))</x:f>
      </x:c>
      <x:c r="B203" s="174"/>
      <x:c r="C203" s="175" t="str">
        <x:f>IF(L203="","",IF(OR(CM203="Retracted",CN203="Retracted",F203="Not used"),"🔴 Do not use for conclusion",IF(OR(R203="Official / Institutional",I203="Official / contextual"),"🔵 Official / contextual",IF(OR(I203="Definition",I203="Framework",I203="Paradigm shift"),"🟣 Conceptual key source",IF(AND(CJ203="Yes",CL203="Yes",OR(CG203="High",CG203="Moderate"),CH203&lt;&gt;"High",CH203&lt;&gt;"Critical",F203="Claim-ready"),"🟢 Claim-ready","🟡 Caution / context")))))</x:f>
      </x:c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6"/>
      <x:c r="P203" s="174"/>
      <x:c r="Q203" s="174"/>
      <x:c r="R203" s="174"/>
      <x:c r="S203" s="174"/>
      <x:c r="T203" s="174"/>
      <x:c r="U203" s="174"/>
      <x:c r="V203" s="174"/>
      <x:c r="W203" s="175" t="str">
        <x:f>IF(V203="","",LOWER(SUBSTITUTE(SUBSTITUTE(SUBSTITUTE(SUBSTITUTE(TRIM(V203),"https://doi.org/",""),"http://doi.org/",""),"https://dx.doi.org/",""),"doi:","")))</x:f>
      </x:c>
      <x:c r="X203" s="174"/>
      <x:c r="Y203" s="174"/>
      <x:c r="Z203" s="174"/>
      <x:c r="AA203" s="174"/>
      <x:c r="AB203" s="174"/>
      <x:c r="AC203" s="174"/>
      <x:c r="AD203" s="177"/>
      <x:c r="AE203" s="177"/>
      <x:c r="AF203" s="174"/>
      <x:c r="AG203" s="174"/>
      <x:c r="AH203" s="174"/>
      <x:c r="AI203" s="174"/>
      <x:c r="AJ203" s="174"/>
      <x:c r="AK203" s="175" t="str">
        <x:f>IF(AJ203="","",IF(OR(LOWER(AJ203)="brazil",LOWER(AJ203)="brasil"),"Yes","No"))</x:f>
      </x:c>
      <x:c r="AL203" s="174"/>
      <x:c r="AM203" s="174"/>
      <x:c r="AN203" s="174"/>
      <x:c r="AO203" s="178"/>
      <x:c r="AP203" s="174"/>
      <x:c r="AQ203" s="174"/>
      <x:c r="AR203" s="174"/>
      <x:c r="AS203" s="174"/>
      <x:c r="AT203" s="174"/>
      <x:c r="AU203" s="174"/>
      <x:c r="AV203" s="174"/>
      <x:c r="AW203" s="174"/>
      <x:c r="AX203" s="174"/>
      <x:c r="AY203" s="174"/>
      <x:c r="AZ203" s="174"/>
      <x:c r="BA203" s="174"/>
      <x:c r="BB203" s="174"/>
      <x:c r="BC203" s="174"/>
      <x:c r="BD203" s="174"/>
      <x:c r="BE203" s="174"/>
      <x:c r="BF203" s="174"/>
      <x:c r="BG203" s="174"/>
      <x:c r="BH203" s="174"/>
      <x:c r="BI203" s="174"/>
      <x:c r="BJ203" s="174"/>
      <x:c r="BK203" s="174"/>
      <x:c r="BL203" s="174"/>
      <x:c r="BM203" s="174"/>
      <x:c r="BN203" s="174"/>
      <x:c r="BO203" s="174"/>
      <x:c r="BP203" s="174"/>
      <x:c r="BQ203" s="174"/>
      <x:c r="BR203" s="174"/>
      <x:c r="BS203" s="174"/>
      <x:c r="BT203" s="174"/>
      <x:c r="BU203" s="174"/>
      <x:c r="BV203" s="174"/>
      <x:c r="BW203" s="174"/>
      <x:c r="BX203" s="174"/>
      <x:c r="BY203" s="174"/>
      <x:c r="BZ203" s="174"/>
      <x:c r="CA203" s="174"/>
      <x:c r="CB203" s="174"/>
      <x:c r="CC203" s="174"/>
      <x:c r="CD203" s="174"/>
      <x:c r="CE203" s="174"/>
      <x:c r="CF203" s="174"/>
      <x:c r="CG203" s="174"/>
      <x:c r="CH203" s="174"/>
      <x:c r="CI203" s="179"/>
      <x:c r="CJ203" s="174"/>
      <x:c r="CK203" s="174"/>
      <x:c r="CL203" s="174"/>
      <x:c r="CM203" s="174"/>
      <x:c r="CN203" s="174"/>
      <x:c r="CO203" s="177"/>
      <x:c r="CP203" s="174"/>
      <x:c r="CQ203" s="174"/>
      <x:c r="CR203" s="174"/>
      <x:c r="CS203" s="174"/>
      <x:c r="CT203" s="174"/>
      <x:c r="CU203" s="176"/>
      <x:c r="CV203" s="176"/>
      <x:c r="CW203" s="176"/>
      <x:c r="CX203" s="176"/>
      <x:c r="CY203" s="176"/>
      <x:c r="CZ203" s="176"/>
      <x:c r="DA203" s="176"/>
      <x:c r="DB203" s="175" t="str">
        <x:f>IF(L203="","",IF(COUNT(CU203:DA203)&lt;7,"",SUM(CU203:DA203)))</x:f>
      </x:c>
      <x:c r="DC203" s="180" t="str">
        <x:f>IF(DB203="","",ROUND(DB203/14*10,1))</x:f>
      </x:c>
      <x:c r="DD203" s="174"/>
      <x:c r="DE203" s="175" t="str">
        <x:f>IF(L203="","",IF(DC203="","Pending",IF(DD203="Yes","CONDITIONAL — safety override",IF(DC203&gt;=8,"HIGH",IF(DC203&gt;=5,"CONDITIONAL","LOW")))))</x:f>
      </x:c>
      <x:c r="DF203" s="174"/>
      <x:c r="DG203" s="174"/>
      <x:c r="DH203" s="174"/>
      <x:c r="DI203" s="174"/>
      <x:c r="DJ203" s="174"/>
      <x:c r="DK203" s="174"/>
      <x:c r="DL203" s="174"/>
      <x:c r="DM203" s="174"/>
      <x:c r="DN203" s="174"/>
      <x:c r="DO203" s="174"/>
      <x:c r="DP203" s="174"/>
      <x:c r="DQ203" s="174"/>
      <x:c r="DR203" s="174"/>
      <x:c r="DS203" s="174"/>
      <x:c r="DT203" s="174"/>
      <x:c r="DU203" s="174"/>
      <x:c r="DV203" s="174"/>
      <x:c r="DW203" s="174"/>
      <x:c r="DX203" s="174"/>
      <x:c r="DY203" s="174"/>
      <x:c r="DZ203" s="174"/>
      <x:c r="EA203" s="174"/>
      <x:c r="EB203" s="175" t="str">
        <x:f>IF(L203="","",IF(AND(F203="Claim-ready",CJ203="Yes",CL203="Yes",DZ203&lt;&gt;""),"Yes","No / Pending"))</x:f>
      </x:c>
      <x:c r="EC203" s="174"/>
      <x:c r="ED203" s="174"/>
      <x:c r="EE203" s="174"/>
      <x:c r="EF203" s="174"/>
      <x:c r="EG203" s="174"/>
      <x:c r="EH203" s="177"/>
      <x:c r="EI203" s="174"/>
      <x:c r="EJ203" s="174"/>
      <x:c r="EK203" s="174"/>
      <x:c r="EL203" s="177"/>
      <x:c r="EM203" s="174"/>
      <x:c r="EN203" s="181" t="str">
        <x:f>IF(L203="","",(IF(N203&lt;&gt;"",1,0)+IF(O203&lt;&gt;"",1,0)+IF(AJ203&lt;&gt;"",1,0)+IF(AU203&lt;&gt;"",1,0)+IF(BE203&lt;&gt;"",1,0)+IF(CF203&lt;&gt;"",1,0)+IF(CJ203="Yes",1,0)+IF(CL203="Yes",1,0)+IF(DE203&lt;&gt;"Pending",1,0)+IF(F203&lt;&gt;"",1,0)+IF(DZ203&lt;&gt;"",1,0)+IF(EI203&lt;&gt;"",1,0))/12)</x:f>
      </x:c>
    </x:row>
    <x:row r="204">
      <x:c r="A204" s="175" t="str">
        <x:f>IF(L204="","","EV-"&amp;TEXT(ROW()-3,"0000"))</x:f>
      </x:c>
      <x:c r="B204" s="174"/>
      <x:c r="C204" s="175" t="str">
        <x:f>IF(L204="","",IF(OR(CM204="Retracted",CN204="Retracted",F204="Not used"),"🔴 Do not use for conclusion",IF(OR(R204="Official / Institutional",I204="Official / contextual"),"🔵 Official / contextual",IF(OR(I204="Definition",I204="Framework",I204="Paradigm shift"),"🟣 Conceptual key source",IF(AND(CJ204="Yes",CL204="Yes",OR(CG204="High",CG204="Moderate"),CH204&lt;&gt;"High",CH204&lt;&gt;"Critical",F204="Claim-ready"),"🟢 Claim-ready","🟡 Caution / context")))))</x:f>
      </x:c>
      <x:c r="D204" s="174"/>
      <x:c r="E204" s="174"/>
      <x:c r="F204" s="174"/>
      <x:c r="G204" s="174"/>
      <x:c r="H204" s="174"/>
      <x:c r="I204" s="174"/>
      <x:c r="J204" s="174"/>
      <x:c r="K204" s="174"/>
      <x:c r="L204" s="174"/>
      <x:c r="M204" s="174"/>
      <x:c r="N204" s="174"/>
      <x:c r="O204" s="176"/>
      <x:c r="P204" s="174"/>
      <x:c r="Q204" s="174"/>
      <x:c r="R204" s="174"/>
      <x:c r="S204" s="174"/>
      <x:c r="T204" s="174"/>
      <x:c r="U204" s="174"/>
      <x:c r="V204" s="174"/>
      <x:c r="W204" s="175" t="str">
        <x:f>IF(V204="","",LOWER(SUBSTITUTE(SUBSTITUTE(SUBSTITUTE(SUBSTITUTE(TRIM(V204),"https://doi.org/",""),"http://doi.org/",""),"https://dx.doi.org/",""),"doi:","")))</x:f>
      </x:c>
      <x:c r="X204" s="174"/>
      <x:c r="Y204" s="174"/>
      <x:c r="Z204" s="174"/>
      <x:c r="AA204" s="174"/>
      <x:c r="AB204" s="174"/>
      <x:c r="AC204" s="174"/>
      <x:c r="AD204" s="177"/>
      <x:c r="AE204" s="177"/>
      <x:c r="AF204" s="174"/>
      <x:c r="AG204" s="174"/>
      <x:c r="AH204" s="174"/>
      <x:c r="AI204" s="174"/>
      <x:c r="AJ204" s="174"/>
      <x:c r="AK204" s="175" t="str">
        <x:f>IF(AJ204="","",IF(OR(LOWER(AJ204)="brazil",LOWER(AJ204)="brasil"),"Yes","No"))</x:f>
      </x:c>
      <x:c r="AL204" s="174"/>
      <x:c r="AM204" s="174"/>
      <x:c r="AN204" s="174"/>
      <x:c r="AO204" s="178"/>
      <x:c r="AP204" s="174"/>
      <x:c r="AQ204" s="174"/>
      <x:c r="AR204" s="174"/>
      <x:c r="AS204" s="174"/>
      <x:c r="AT204" s="174"/>
      <x:c r="AU204" s="174"/>
      <x:c r="AV204" s="174"/>
      <x:c r="AW204" s="174"/>
      <x:c r="AX204" s="174"/>
      <x:c r="AY204" s="174"/>
      <x:c r="AZ204" s="174"/>
      <x:c r="BA204" s="174"/>
      <x:c r="BB204" s="174"/>
      <x:c r="BC204" s="174"/>
      <x:c r="BD204" s="174"/>
      <x:c r="BE204" s="174"/>
      <x:c r="BF204" s="174"/>
      <x:c r="BG204" s="174"/>
      <x:c r="BH204" s="174"/>
      <x:c r="BI204" s="174"/>
      <x:c r="BJ204" s="174"/>
      <x:c r="BK204" s="174"/>
      <x:c r="BL204" s="174"/>
      <x:c r="BM204" s="174"/>
      <x:c r="BN204" s="174"/>
      <x:c r="BO204" s="174"/>
      <x:c r="BP204" s="174"/>
      <x:c r="BQ204" s="174"/>
      <x:c r="BR204" s="174"/>
      <x:c r="BS204" s="174"/>
      <x:c r="BT204" s="174"/>
      <x:c r="BU204" s="174"/>
      <x:c r="BV204" s="174"/>
      <x:c r="BW204" s="174"/>
      <x:c r="BX204" s="174"/>
      <x:c r="BY204" s="174"/>
      <x:c r="BZ204" s="174"/>
      <x:c r="CA204" s="174"/>
      <x:c r="CB204" s="174"/>
      <x:c r="CC204" s="174"/>
      <x:c r="CD204" s="174"/>
      <x:c r="CE204" s="174"/>
      <x:c r="CF204" s="174"/>
      <x:c r="CG204" s="174"/>
      <x:c r="CH204" s="174"/>
      <x:c r="CI204" s="179"/>
      <x:c r="CJ204" s="174"/>
      <x:c r="CK204" s="174"/>
      <x:c r="CL204" s="174"/>
      <x:c r="CM204" s="174"/>
      <x:c r="CN204" s="174"/>
      <x:c r="CO204" s="177"/>
      <x:c r="CP204" s="174"/>
      <x:c r="CQ204" s="174"/>
      <x:c r="CR204" s="174"/>
      <x:c r="CS204" s="174"/>
      <x:c r="CT204" s="174"/>
      <x:c r="CU204" s="176"/>
      <x:c r="CV204" s="176"/>
      <x:c r="CW204" s="176"/>
      <x:c r="CX204" s="176"/>
      <x:c r="CY204" s="176"/>
      <x:c r="CZ204" s="176"/>
      <x:c r="DA204" s="176"/>
      <x:c r="DB204" s="175" t="str">
        <x:f>IF(L204="","",IF(COUNT(CU204:DA204)&lt;7,"",SUM(CU204:DA204)))</x:f>
      </x:c>
      <x:c r="DC204" s="180" t="str">
        <x:f>IF(DB204="","",ROUND(DB204/14*10,1))</x:f>
      </x:c>
      <x:c r="DD204" s="174"/>
      <x:c r="DE204" s="175" t="str">
        <x:f>IF(L204="","",IF(DC204="","Pending",IF(DD204="Yes","CONDITIONAL — safety override",IF(DC204&gt;=8,"HIGH",IF(DC204&gt;=5,"CONDITIONAL","LOW")))))</x:f>
      </x:c>
      <x:c r="DF204" s="174"/>
      <x:c r="DG204" s="174"/>
      <x:c r="DH204" s="174"/>
      <x:c r="DI204" s="174"/>
      <x:c r="DJ204" s="174"/>
      <x:c r="DK204" s="174"/>
      <x:c r="DL204" s="174"/>
      <x:c r="DM204" s="174"/>
      <x:c r="DN204" s="174"/>
      <x:c r="DO204" s="174"/>
      <x:c r="DP204" s="174"/>
      <x:c r="DQ204" s="174"/>
      <x:c r="DR204" s="174"/>
      <x:c r="DS204" s="174"/>
      <x:c r="DT204" s="174"/>
      <x:c r="DU204" s="174"/>
      <x:c r="DV204" s="174"/>
      <x:c r="DW204" s="174"/>
      <x:c r="DX204" s="174"/>
      <x:c r="DY204" s="174"/>
      <x:c r="DZ204" s="174"/>
      <x:c r="EA204" s="174"/>
      <x:c r="EB204" s="175" t="str">
        <x:f>IF(L204="","",IF(AND(F204="Claim-ready",CJ204="Yes",CL204="Yes",DZ204&lt;&gt;""),"Yes","No / Pending"))</x:f>
      </x:c>
      <x:c r="EC204" s="174"/>
      <x:c r="ED204" s="174"/>
      <x:c r="EE204" s="174"/>
      <x:c r="EF204" s="174"/>
      <x:c r="EG204" s="174"/>
      <x:c r="EH204" s="177"/>
      <x:c r="EI204" s="174"/>
      <x:c r="EJ204" s="174"/>
      <x:c r="EK204" s="174"/>
      <x:c r="EL204" s="177"/>
      <x:c r="EM204" s="174"/>
      <x:c r="EN204" s="181" t="str">
        <x:f>IF(L204="","",(IF(N204&lt;&gt;"",1,0)+IF(O204&lt;&gt;"",1,0)+IF(AJ204&lt;&gt;"",1,0)+IF(AU204&lt;&gt;"",1,0)+IF(BE204&lt;&gt;"",1,0)+IF(CF204&lt;&gt;"",1,0)+IF(CJ204="Yes",1,0)+IF(CL204="Yes",1,0)+IF(DE204&lt;&gt;"Pending",1,0)+IF(F204&lt;&gt;"",1,0)+IF(DZ204&lt;&gt;"",1,0)+IF(EI204&lt;&gt;"",1,0))/12)</x:f>
      </x:c>
    </x:row>
    <x:row r="205">
      <x:c r="A205" s="175" t="str">
        <x:f>IF(L205="","","EV-"&amp;TEXT(ROW()-3,"0000"))</x:f>
      </x:c>
      <x:c r="B205" s="174"/>
      <x:c r="C205" s="175" t="str">
        <x:f>IF(L205="","",IF(OR(CM205="Retracted",CN205="Retracted",F205="Not used"),"🔴 Do not use for conclusion",IF(OR(R205="Official / Institutional",I205="Official / contextual"),"🔵 Official / contextual",IF(OR(I205="Definition",I205="Framework",I205="Paradigm shift"),"🟣 Conceptual key source",IF(AND(CJ205="Yes",CL205="Yes",OR(CG205="High",CG205="Moderate"),CH205&lt;&gt;"High",CH205&lt;&gt;"Critical",F205="Claim-ready"),"🟢 Claim-ready","🟡 Caution / context")))))</x:f>
      </x:c>
      <x:c r="D205" s="174"/>
      <x:c r="E205" s="174"/>
      <x:c r="F205" s="174"/>
      <x:c r="G205" s="174"/>
      <x:c r="H205" s="174"/>
      <x:c r="I205" s="174"/>
      <x:c r="J205" s="174"/>
      <x:c r="K205" s="174"/>
      <x:c r="L205" s="174"/>
      <x:c r="M205" s="174"/>
      <x:c r="N205" s="174"/>
      <x:c r="O205" s="176"/>
      <x:c r="P205" s="174"/>
      <x:c r="Q205" s="174"/>
      <x:c r="R205" s="174"/>
      <x:c r="S205" s="174"/>
      <x:c r="T205" s="174"/>
      <x:c r="U205" s="174"/>
      <x:c r="V205" s="174"/>
      <x:c r="W205" s="175" t="str">
        <x:f>IF(V205="","",LOWER(SUBSTITUTE(SUBSTITUTE(SUBSTITUTE(SUBSTITUTE(TRIM(V205),"https://doi.org/",""),"http://doi.org/",""),"https://dx.doi.org/",""),"doi:","")))</x:f>
      </x:c>
      <x:c r="X205" s="174"/>
      <x:c r="Y205" s="174"/>
      <x:c r="Z205" s="174"/>
      <x:c r="AA205" s="174"/>
      <x:c r="AB205" s="174"/>
      <x:c r="AC205" s="174"/>
      <x:c r="AD205" s="177"/>
      <x:c r="AE205" s="177"/>
      <x:c r="AF205" s="174"/>
      <x:c r="AG205" s="174"/>
      <x:c r="AH205" s="174"/>
      <x:c r="AI205" s="174"/>
      <x:c r="AJ205" s="174"/>
      <x:c r="AK205" s="175" t="str">
        <x:f>IF(AJ205="","",IF(OR(LOWER(AJ205)="brazil",LOWER(AJ205)="brasil"),"Yes","No"))</x:f>
      </x:c>
      <x:c r="AL205" s="174"/>
      <x:c r="AM205" s="174"/>
      <x:c r="AN205" s="174"/>
      <x:c r="AO205" s="178"/>
      <x:c r="AP205" s="174"/>
      <x:c r="AQ205" s="174"/>
      <x:c r="AR205" s="174"/>
      <x:c r="AS205" s="174"/>
      <x:c r="AT205" s="174"/>
      <x:c r="AU205" s="174"/>
      <x:c r="AV205" s="174"/>
      <x:c r="AW205" s="174"/>
      <x:c r="AX205" s="174"/>
      <x:c r="AY205" s="174"/>
      <x:c r="AZ205" s="174"/>
      <x:c r="BA205" s="174"/>
      <x:c r="BB205" s="174"/>
      <x:c r="BC205" s="174"/>
      <x:c r="BD205" s="174"/>
      <x:c r="BE205" s="174"/>
      <x:c r="BF205" s="174"/>
      <x:c r="BG205" s="174"/>
      <x:c r="BH205" s="174"/>
      <x:c r="BI205" s="174"/>
      <x:c r="BJ205" s="174"/>
      <x:c r="BK205" s="174"/>
      <x:c r="BL205" s="174"/>
      <x:c r="BM205" s="174"/>
      <x:c r="BN205" s="174"/>
      <x:c r="BO205" s="174"/>
      <x:c r="BP205" s="174"/>
      <x:c r="BQ205" s="174"/>
      <x:c r="BR205" s="174"/>
      <x:c r="BS205" s="174"/>
      <x:c r="BT205" s="174"/>
      <x:c r="BU205" s="174"/>
      <x:c r="BV205" s="174"/>
      <x:c r="BW205" s="174"/>
      <x:c r="BX205" s="174"/>
      <x:c r="BY205" s="174"/>
      <x:c r="BZ205" s="174"/>
      <x:c r="CA205" s="174"/>
      <x:c r="CB205" s="174"/>
      <x:c r="CC205" s="174"/>
      <x:c r="CD205" s="174"/>
      <x:c r="CE205" s="174"/>
      <x:c r="CF205" s="174"/>
      <x:c r="CG205" s="174"/>
      <x:c r="CH205" s="174"/>
      <x:c r="CI205" s="179"/>
      <x:c r="CJ205" s="174"/>
      <x:c r="CK205" s="174"/>
      <x:c r="CL205" s="174"/>
      <x:c r="CM205" s="174"/>
      <x:c r="CN205" s="174"/>
      <x:c r="CO205" s="177"/>
      <x:c r="CP205" s="174"/>
      <x:c r="CQ205" s="174"/>
      <x:c r="CR205" s="174"/>
      <x:c r="CS205" s="174"/>
      <x:c r="CT205" s="174"/>
      <x:c r="CU205" s="176"/>
      <x:c r="CV205" s="176"/>
      <x:c r="CW205" s="176"/>
      <x:c r="CX205" s="176"/>
      <x:c r="CY205" s="176"/>
      <x:c r="CZ205" s="176"/>
      <x:c r="DA205" s="176"/>
      <x:c r="DB205" s="175" t="str">
        <x:f>IF(L205="","",IF(COUNT(CU205:DA205)&lt;7,"",SUM(CU205:DA205)))</x:f>
      </x:c>
      <x:c r="DC205" s="180" t="str">
        <x:f>IF(DB205="","",ROUND(DB205/14*10,1))</x:f>
      </x:c>
      <x:c r="DD205" s="174"/>
      <x:c r="DE205" s="175" t="str">
        <x:f>IF(L205="","",IF(DC205="","Pending",IF(DD205="Yes","CONDITIONAL — safety override",IF(DC205&gt;=8,"HIGH",IF(DC205&gt;=5,"CONDITIONAL","LOW")))))</x:f>
      </x:c>
      <x:c r="DF205" s="174"/>
      <x:c r="DG205" s="174"/>
      <x:c r="DH205" s="174"/>
      <x:c r="DI205" s="174"/>
      <x:c r="DJ205" s="174"/>
      <x:c r="DK205" s="174"/>
      <x:c r="DL205" s="174"/>
      <x:c r="DM205" s="174"/>
      <x:c r="DN205" s="174"/>
      <x:c r="DO205" s="174"/>
      <x:c r="DP205" s="174"/>
      <x:c r="DQ205" s="174"/>
      <x:c r="DR205" s="174"/>
      <x:c r="DS205" s="174"/>
      <x:c r="DT205" s="174"/>
      <x:c r="DU205" s="174"/>
      <x:c r="DV205" s="174"/>
      <x:c r="DW205" s="174"/>
      <x:c r="DX205" s="174"/>
      <x:c r="DY205" s="174"/>
      <x:c r="DZ205" s="174"/>
      <x:c r="EA205" s="174"/>
      <x:c r="EB205" s="175" t="str">
        <x:f>IF(L205="","",IF(AND(F205="Claim-ready",CJ205="Yes",CL205="Yes",DZ205&lt;&gt;""),"Yes","No / Pending"))</x:f>
      </x:c>
      <x:c r="EC205" s="174"/>
      <x:c r="ED205" s="174"/>
      <x:c r="EE205" s="174"/>
      <x:c r="EF205" s="174"/>
      <x:c r="EG205" s="174"/>
      <x:c r="EH205" s="177"/>
      <x:c r="EI205" s="174"/>
      <x:c r="EJ205" s="174"/>
      <x:c r="EK205" s="174"/>
      <x:c r="EL205" s="177"/>
      <x:c r="EM205" s="174"/>
      <x:c r="EN205" s="181" t="str">
        <x:f>IF(L205="","",(IF(N205&lt;&gt;"",1,0)+IF(O205&lt;&gt;"",1,0)+IF(AJ205&lt;&gt;"",1,0)+IF(AU205&lt;&gt;"",1,0)+IF(BE205&lt;&gt;"",1,0)+IF(CF205&lt;&gt;"",1,0)+IF(CJ205="Yes",1,0)+IF(CL205="Yes",1,0)+IF(DE205&lt;&gt;"Pending",1,0)+IF(F205&lt;&gt;"",1,0)+IF(DZ205&lt;&gt;"",1,0)+IF(EI205&lt;&gt;"",1,0))/12)</x:f>
      </x:c>
    </x:row>
    <x:row r="206">
      <x:c r="A206" s="175" t="str">
        <x:f>IF(L206="","","EV-"&amp;TEXT(ROW()-3,"0000"))</x:f>
      </x:c>
      <x:c r="B206" s="174"/>
      <x:c r="C206" s="175" t="str">
        <x:f>IF(L206="","",IF(OR(CM206="Retracted",CN206="Retracted",F206="Not used"),"🔴 Do not use for conclusion",IF(OR(R206="Official / Institutional",I206="Official / contextual"),"🔵 Official / contextual",IF(OR(I206="Definition",I206="Framework",I206="Paradigm shift"),"🟣 Conceptual key source",IF(AND(CJ206="Yes",CL206="Yes",OR(CG206="High",CG206="Moderate"),CH206&lt;&gt;"High",CH206&lt;&gt;"Critical",F206="Claim-ready"),"🟢 Claim-ready","🟡 Caution / context")))))</x:f>
      </x:c>
      <x:c r="D206" s="174"/>
      <x:c r="E206" s="174"/>
      <x:c r="F206" s="174"/>
      <x:c r="G206" s="174"/>
      <x:c r="H206" s="174"/>
      <x:c r="I206" s="174"/>
      <x:c r="J206" s="174"/>
      <x:c r="K206" s="174"/>
      <x:c r="L206" s="174"/>
      <x:c r="M206" s="174"/>
      <x:c r="N206" s="174"/>
      <x:c r="O206" s="176"/>
      <x:c r="P206" s="174"/>
      <x:c r="Q206" s="174"/>
      <x:c r="R206" s="174"/>
      <x:c r="S206" s="174"/>
      <x:c r="T206" s="174"/>
      <x:c r="U206" s="174"/>
      <x:c r="V206" s="174"/>
      <x:c r="W206" s="175" t="str">
        <x:f>IF(V206="","",LOWER(SUBSTITUTE(SUBSTITUTE(SUBSTITUTE(SUBSTITUTE(TRIM(V206),"https://doi.org/",""),"http://doi.org/",""),"https://dx.doi.org/",""),"doi:","")))</x:f>
      </x:c>
      <x:c r="X206" s="174"/>
      <x:c r="Y206" s="174"/>
      <x:c r="Z206" s="174"/>
      <x:c r="AA206" s="174"/>
      <x:c r="AB206" s="174"/>
      <x:c r="AC206" s="174"/>
      <x:c r="AD206" s="177"/>
      <x:c r="AE206" s="177"/>
      <x:c r="AF206" s="174"/>
      <x:c r="AG206" s="174"/>
      <x:c r="AH206" s="174"/>
      <x:c r="AI206" s="174"/>
      <x:c r="AJ206" s="174"/>
      <x:c r="AK206" s="175" t="str">
        <x:f>IF(AJ206="","",IF(OR(LOWER(AJ206)="brazil",LOWER(AJ206)="brasil"),"Yes","No"))</x:f>
      </x:c>
      <x:c r="AL206" s="174"/>
      <x:c r="AM206" s="174"/>
      <x:c r="AN206" s="174"/>
      <x:c r="AO206" s="178"/>
      <x:c r="AP206" s="174"/>
      <x:c r="AQ206" s="174"/>
      <x:c r="AR206" s="174"/>
      <x:c r="AS206" s="174"/>
      <x:c r="AT206" s="174"/>
      <x:c r="AU206" s="174"/>
      <x:c r="AV206" s="174"/>
      <x:c r="AW206" s="174"/>
      <x:c r="AX206" s="174"/>
      <x:c r="AY206" s="174"/>
      <x:c r="AZ206" s="174"/>
      <x:c r="BA206" s="174"/>
      <x:c r="BB206" s="174"/>
      <x:c r="BC206" s="174"/>
      <x:c r="BD206" s="174"/>
      <x:c r="BE206" s="174"/>
      <x:c r="BF206" s="174"/>
      <x:c r="BG206" s="174"/>
      <x:c r="BH206" s="174"/>
      <x:c r="BI206" s="174"/>
      <x:c r="BJ206" s="174"/>
      <x:c r="BK206" s="174"/>
      <x:c r="BL206" s="174"/>
      <x:c r="BM206" s="174"/>
      <x:c r="BN206" s="174"/>
      <x:c r="BO206" s="174"/>
      <x:c r="BP206" s="174"/>
      <x:c r="BQ206" s="174"/>
      <x:c r="BR206" s="174"/>
      <x:c r="BS206" s="174"/>
      <x:c r="BT206" s="174"/>
      <x:c r="BU206" s="174"/>
      <x:c r="BV206" s="174"/>
      <x:c r="BW206" s="174"/>
      <x:c r="BX206" s="174"/>
      <x:c r="BY206" s="174"/>
      <x:c r="BZ206" s="174"/>
      <x:c r="CA206" s="174"/>
      <x:c r="CB206" s="174"/>
      <x:c r="CC206" s="174"/>
      <x:c r="CD206" s="174"/>
      <x:c r="CE206" s="174"/>
      <x:c r="CF206" s="174"/>
      <x:c r="CG206" s="174"/>
      <x:c r="CH206" s="174"/>
      <x:c r="CI206" s="179"/>
      <x:c r="CJ206" s="174"/>
      <x:c r="CK206" s="174"/>
      <x:c r="CL206" s="174"/>
      <x:c r="CM206" s="174"/>
      <x:c r="CN206" s="174"/>
      <x:c r="CO206" s="177"/>
      <x:c r="CP206" s="174"/>
      <x:c r="CQ206" s="174"/>
      <x:c r="CR206" s="174"/>
      <x:c r="CS206" s="174"/>
      <x:c r="CT206" s="174"/>
      <x:c r="CU206" s="176"/>
      <x:c r="CV206" s="176"/>
      <x:c r="CW206" s="176"/>
      <x:c r="CX206" s="176"/>
      <x:c r="CY206" s="176"/>
      <x:c r="CZ206" s="176"/>
      <x:c r="DA206" s="176"/>
      <x:c r="DB206" s="175" t="str">
        <x:f>IF(L206="","",IF(COUNT(CU206:DA206)&lt;7,"",SUM(CU206:DA206)))</x:f>
      </x:c>
      <x:c r="DC206" s="180" t="str">
        <x:f>IF(DB206="","",ROUND(DB206/14*10,1))</x:f>
      </x:c>
      <x:c r="DD206" s="174"/>
      <x:c r="DE206" s="175" t="str">
        <x:f>IF(L206="","",IF(DC206="","Pending",IF(DD206="Yes","CONDITIONAL — safety override",IF(DC206&gt;=8,"HIGH",IF(DC206&gt;=5,"CONDITIONAL","LOW")))))</x:f>
      </x:c>
      <x:c r="DF206" s="174"/>
      <x:c r="DG206" s="174"/>
      <x:c r="DH206" s="174"/>
      <x:c r="DI206" s="174"/>
      <x:c r="DJ206" s="174"/>
      <x:c r="DK206" s="174"/>
      <x:c r="DL206" s="174"/>
      <x:c r="DM206" s="174"/>
      <x:c r="DN206" s="174"/>
      <x:c r="DO206" s="174"/>
      <x:c r="DP206" s="174"/>
      <x:c r="DQ206" s="174"/>
      <x:c r="DR206" s="174"/>
      <x:c r="DS206" s="174"/>
      <x:c r="DT206" s="174"/>
      <x:c r="DU206" s="174"/>
      <x:c r="DV206" s="174"/>
      <x:c r="DW206" s="174"/>
      <x:c r="DX206" s="174"/>
      <x:c r="DY206" s="174"/>
      <x:c r="DZ206" s="174"/>
      <x:c r="EA206" s="174"/>
      <x:c r="EB206" s="175" t="str">
        <x:f>IF(L206="","",IF(AND(F206="Claim-ready",CJ206="Yes",CL206="Yes",DZ206&lt;&gt;""),"Yes","No / Pending"))</x:f>
      </x:c>
      <x:c r="EC206" s="174"/>
      <x:c r="ED206" s="174"/>
      <x:c r="EE206" s="174"/>
      <x:c r="EF206" s="174"/>
      <x:c r="EG206" s="174"/>
      <x:c r="EH206" s="177"/>
      <x:c r="EI206" s="174"/>
      <x:c r="EJ206" s="174"/>
      <x:c r="EK206" s="174"/>
      <x:c r="EL206" s="177"/>
      <x:c r="EM206" s="174"/>
      <x:c r="EN206" s="181" t="str">
        <x:f>IF(L206="","",(IF(N206&lt;&gt;"",1,0)+IF(O206&lt;&gt;"",1,0)+IF(AJ206&lt;&gt;"",1,0)+IF(AU206&lt;&gt;"",1,0)+IF(BE206&lt;&gt;"",1,0)+IF(CF206&lt;&gt;"",1,0)+IF(CJ206="Yes",1,0)+IF(CL206="Yes",1,0)+IF(DE206&lt;&gt;"Pending",1,0)+IF(F206&lt;&gt;"",1,0)+IF(DZ206&lt;&gt;"",1,0)+IF(EI206&lt;&gt;"",1,0))/12)</x:f>
      </x:c>
    </x:row>
    <x:row r="207">
      <x:c r="A207" s="175" t="str">
        <x:f>IF(L207="","","EV-"&amp;TEXT(ROW()-3,"0000"))</x:f>
      </x:c>
      <x:c r="B207" s="174"/>
      <x:c r="C207" s="175" t="str">
        <x:f>IF(L207="","",IF(OR(CM207="Retracted",CN207="Retracted",F207="Not used"),"🔴 Do not use for conclusion",IF(OR(R207="Official / Institutional",I207="Official / contextual"),"🔵 Official / contextual",IF(OR(I207="Definition",I207="Framework",I207="Paradigm shift"),"🟣 Conceptual key source",IF(AND(CJ207="Yes",CL207="Yes",OR(CG207="High",CG207="Moderate"),CH207&lt;&gt;"High",CH207&lt;&gt;"Critical",F207="Claim-ready"),"🟢 Claim-ready","🟡 Caution / context")))))</x:f>
      </x:c>
      <x:c r="D207" s="174"/>
      <x:c r="E207" s="174"/>
      <x:c r="F207" s="174"/>
      <x:c r="G207" s="174"/>
      <x:c r="H207" s="174"/>
      <x:c r="I207" s="174"/>
      <x:c r="J207" s="174"/>
      <x:c r="K207" s="174"/>
      <x:c r="L207" s="174"/>
      <x:c r="M207" s="174"/>
      <x:c r="N207" s="174"/>
      <x:c r="O207" s="176"/>
      <x:c r="P207" s="174"/>
      <x:c r="Q207" s="174"/>
      <x:c r="R207" s="174"/>
      <x:c r="S207" s="174"/>
      <x:c r="T207" s="174"/>
      <x:c r="U207" s="174"/>
      <x:c r="V207" s="174"/>
      <x:c r="W207" s="175" t="str">
        <x:f>IF(V207="","",LOWER(SUBSTITUTE(SUBSTITUTE(SUBSTITUTE(SUBSTITUTE(TRIM(V207),"https://doi.org/",""),"http://doi.org/",""),"https://dx.doi.org/",""),"doi:","")))</x:f>
      </x:c>
      <x:c r="X207" s="174"/>
      <x:c r="Y207" s="174"/>
      <x:c r="Z207" s="174"/>
      <x:c r="AA207" s="174"/>
      <x:c r="AB207" s="174"/>
      <x:c r="AC207" s="174"/>
      <x:c r="AD207" s="177"/>
      <x:c r="AE207" s="177"/>
      <x:c r="AF207" s="174"/>
      <x:c r="AG207" s="174"/>
      <x:c r="AH207" s="174"/>
      <x:c r="AI207" s="174"/>
      <x:c r="AJ207" s="174"/>
      <x:c r="AK207" s="175" t="str">
        <x:f>IF(AJ207="","",IF(OR(LOWER(AJ207)="brazil",LOWER(AJ207)="brasil"),"Yes","No"))</x:f>
      </x:c>
      <x:c r="AL207" s="174"/>
      <x:c r="AM207" s="174"/>
      <x:c r="AN207" s="174"/>
      <x:c r="AO207" s="178"/>
      <x:c r="AP207" s="174"/>
      <x:c r="AQ207" s="174"/>
      <x:c r="AR207" s="174"/>
      <x:c r="AS207" s="174"/>
      <x:c r="AT207" s="174"/>
      <x:c r="AU207" s="174"/>
      <x:c r="AV207" s="174"/>
      <x:c r="AW207" s="174"/>
      <x:c r="AX207" s="174"/>
      <x:c r="AY207" s="174"/>
      <x:c r="AZ207" s="174"/>
      <x:c r="BA207" s="174"/>
      <x:c r="BB207" s="174"/>
      <x:c r="BC207" s="174"/>
      <x:c r="BD207" s="174"/>
      <x:c r="BE207" s="174"/>
      <x:c r="BF207" s="174"/>
      <x:c r="BG207" s="174"/>
      <x:c r="BH207" s="174"/>
      <x:c r="BI207" s="174"/>
      <x:c r="BJ207" s="174"/>
      <x:c r="BK207" s="174"/>
      <x:c r="BL207" s="174"/>
      <x:c r="BM207" s="174"/>
      <x:c r="BN207" s="174"/>
      <x:c r="BO207" s="174"/>
      <x:c r="BP207" s="174"/>
      <x:c r="BQ207" s="174"/>
      <x:c r="BR207" s="174"/>
      <x:c r="BS207" s="174"/>
      <x:c r="BT207" s="174"/>
      <x:c r="BU207" s="174"/>
      <x:c r="BV207" s="174"/>
      <x:c r="BW207" s="174"/>
      <x:c r="BX207" s="174"/>
      <x:c r="BY207" s="174"/>
      <x:c r="BZ207" s="174"/>
      <x:c r="CA207" s="174"/>
      <x:c r="CB207" s="174"/>
      <x:c r="CC207" s="174"/>
      <x:c r="CD207" s="174"/>
      <x:c r="CE207" s="174"/>
      <x:c r="CF207" s="174"/>
      <x:c r="CG207" s="174"/>
      <x:c r="CH207" s="174"/>
      <x:c r="CI207" s="179"/>
      <x:c r="CJ207" s="174"/>
      <x:c r="CK207" s="174"/>
      <x:c r="CL207" s="174"/>
      <x:c r="CM207" s="174"/>
      <x:c r="CN207" s="174"/>
      <x:c r="CO207" s="177"/>
      <x:c r="CP207" s="174"/>
      <x:c r="CQ207" s="174"/>
      <x:c r="CR207" s="174"/>
      <x:c r="CS207" s="174"/>
      <x:c r="CT207" s="174"/>
      <x:c r="CU207" s="176"/>
      <x:c r="CV207" s="176"/>
      <x:c r="CW207" s="176"/>
      <x:c r="CX207" s="176"/>
      <x:c r="CY207" s="176"/>
      <x:c r="CZ207" s="176"/>
      <x:c r="DA207" s="176"/>
      <x:c r="DB207" s="175" t="str">
        <x:f>IF(L207="","",IF(COUNT(CU207:DA207)&lt;7,"",SUM(CU207:DA207)))</x:f>
      </x:c>
      <x:c r="DC207" s="180" t="str">
        <x:f>IF(DB207="","",ROUND(DB207/14*10,1))</x:f>
      </x:c>
      <x:c r="DD207" s="174"/>
      <x:c r="DE207" s="175" t="str">
        <x:f>IF(L207="","",IF(DC207="","Pending",IF(DD207="Yes","CONDITIONAL — safety override",IF(DC207&gt;=8,"HIGH",IF(DC207&gt;=5,"CONDITIONAL","LOW")))))</x:f>
      </x:c>
      <x:c r="DF207" s="174"/>
      <x:c r="DG207" s="174"/>
      <x:c r="DH207" s="174"/>
      <x:c r="DI207" s="174"/>
      <x:c r="DJ207" s="174"/>
      <x:c r="DK207" s="174"/>
      <x:c r="DL207" s="174"/>
      <x:c r="DM207" s="174"/>
      <x:c r="DN207" s="174"/>
      <x:c r="DO207" s="174"/>
      <x:c r="DP207" s="174"/>
      <x:c r="DQ207" s="174"/>
      <x:c r="DR207" s="174"/>
      <x:c r="DS207" s="174"/>
      <x:c r="DT207" s="174"/>
      <x:c r="DU207" s="174"/>
      <x:c r="DV207" s="174"/>
      <x:c r="DW207" s="174"/>
      <x:c r="DX207" s="174"/>
      <x:c r="DY207" s="174"/>
      <x:c r="DZ207" s="174"/>
      <x:c r="EA207" s="174"/>
      <x:c r="EB207" s="175" t="str">
        <x:f>IF(L207="","",IF(AND(F207="Claim-ready",CJ207="Yes",CL207="Yes",DZ207&lt;&gt;""),"Yes","No / Pending"))</x:f>
      </x:c>
      <x:c r="EC207" s="174"/>
      <x:c r="ED207" s="174"/>
      <x:c r="EE207" s="174"/>
      <x:c r="EF207" s="174"/>
      <x:c r="EG207" s="174"/>
      <x:c r="EH207" s="177"/>
      <x:c r="EI207" s="174"/>
      <x:c r="EJ207" s="174"/>
      <x:c r="EK207" s="174"/>
      <x:c r="EL207" s="177"/>
      <x:c r="EM207" s="174"/>
      <x:c r="EN207" s="181" t="str">
        <x:f>IF(L207="","",(IF(N207&lt;&gt;"",1,0)+IF(O207&lt;&gt;"",1,0)+IF(AJ207&lt;&gt;"",1,0)+IF(AU207&lt;&gt;"",1,0)+IF(BE207&lt;&gt;"",1,0)+IF(CF207&lt;&gt;"",1,0)+IF(CJ207="Yes",1,0)+IF(CL207="Yes",1,0)+IF(DE207&lt;&gt;"Pending",1,0)+IF(F207&lt;&gt;"",1,0)+IF(DZ207&lt;&gt;"",1,0)+IF(EI207&lt;&gt;"",1,0))/12)</x:f>
      </x:c>
    </x:row>
    <x:row r="208">
      <x:c r="A208" s="175" t="str">
        <x:f>IF(L208="","","EV-"&amp;TEXT(ROW()-3,"0000"))</x:f>
      </x:c>
      <x:c r="B208" s="174"/>
      <x:c r="C208" s="175" t="str">
        <x:f>IF(L208="","",IF(OR(CM208="Retracted",CN208="Retracted",F208="Not used"),"🔴 Do not use for conclusion",IF(OR(R208="Official / Institutional",I208="Official / contextual"),"🔵 Official / contextual",IF(OR(I208="Definition",I208="Framework",I208="Paradigm shift"),"🟣 Conceptual key source",IF(AND(CJ208="Yes",CL208="Yes",OR(CG208="High",CG208="Moderate"),CH208&lt;&gt;"High",CH208&lt;&gt;"Critical",F208="Claim-ready"),"🟢 Claim-ready","🟡 Caution / context")))))</x:f>
      </x:c>
      <x:c r="D208" s="174"/>
      <x:c r="E208" s="174"/>
      <x:c r="F208" s="174"/>
      <x:c r="G208" s="174"/>
      <x:c r="H208" s="174"/>
      <x:c r="I208" s="174"/>
      <x:c r="J208" s="174"/>
      <x:c r="K208" s="174"/>
      <x:c r="L208" s="174"/>
      <x:c r="M208" s="174"/>
      <x:c r="N208" s="174"/>
      <x:c r="O208" s="176"/>
      <x:c r="P208" s="174"/>
      <x:c r="Q208" s="174"/>
      <x:c r="R208" s="174"/>
      <x:c r="S208" s="174"/>
      <x:c r="T208" s="174"/>
      <x:c r="U208" s="174"/>
      <x:c r="V208" s="174"/>
      <x:c r="W208" s="175" t="str">
        <x:f>IF(V208="","",LOWER(SUBSTITUTE(SUBSTITUTE(SUBSTITUTE(SUBSTITUTE(TRIM(V208),"https://doi.org/",""),"http://doi.org/",""),"https://dx.doi.org/",""),"doi:","")))</x:f>
      </x:c>
      <x:c r="X208" s="174"/>
      <x:c r="Y208" s="174"/>
      <x:c r="Z208" s="174"/>
      <x:c r="AA208" s="174"/>
      <x:c r="AB208" s="174"/>
      <x:c r="AC208" s="174"/>
      <x:c r="AD208" s="177"/>
      <x:c r="AE208" s="177"/>
      <x:c r="AF208" s="174"/>
      <x:c r="AG208" s="174"/>
      <x:c r="AH208" s="174"/>
      <x:c r="AI208" s="174"/>
      <x:c r="AJ208" s="174"/>
      <x:c r="AK208" s="175" t="str">
        <x:f>IF(AJ208="","",IF(OR(LOWER(AJ208)="brazil",LOWER(AJ208)="brasil"),"Yes","No"))</x:f>
      </x:c>
      <x:c r="AL208" s="174"/>
      <x:c r="AM208" s="174"/>
      <x:c r="AN208" s="174"/>
      <x:c r="AO208" s="178"/>
      <x:c r="AP208" s="174"/>
      <x:c r="AQ208" s="174"/>
      <x:c r="AR208" s="174"/>
      <x:c r="AS208" s="174"/>
      <x:c r="AT208" s="174"/>
      <x:c r="AU208" s="174"/>
      <x:c r="AV208" s="174"/>
      <x:c r="AW208" s="174"/>
      <x:c r="AX208" s="174"/>
      <x:c r="AY208" s="174"/>
      <x:c r="AZ208" s="174"/>
      <x:c r="BA208" s="174"/>
      <x:c r="BB208" s="174"/>
      <x:c r="BC208" s="174"/>
      <x:c r="BD208" s="174"/>
      <x:c r="BE208" s="174"/>
      <x:c r="BF208" s="174"/>
      <x:c r="BG208" s="174"/>
      <x:c r="BH208" s="174"/>
      <x:c r="BI208" s="174"/>
      <x:c r="BJ208" s="174"/>
      <x:c r="BK208" s="174"/>
      <x:c r="BL208" s="174"/>
      <x:c r="BM208" s="174"/>
      <x:c r="BN208" s="174"/>
      <x:c r="BO208" s="174"/>
      <x:c r="BP208" s="174"/>
      <x:c r="BQ208" s="174"/>
      <x:c r="BR208" s="174"/>
      <x:c r="BS208" s="174"/>
      <x:c r="BT208" s="174"/>
      <x:c r="BU208" s="174"/>
      <x:c r="BV208" s="174"/>
      <x:c r="BW208" s="174"/>
      <x:c r="BX208" s="174"/>
      <x:c r="BY208" s="174"/>
      <x:c r="BZ208" s="174"/>
      <x:c r="CA208" s="174"/>
      <x:c r="CB208" s="174"/>
      <x:c r="CC208" s="174"/>
      <x:c r="CD208" s="174"/>
      <x:c r="CE208" s="174"/>
      <x:c r="CF208" s="174"/>
      <x:c r="CG208" s="174"/>
      <x:c r="CH208" s="174"/>
      <x:c r="CI208" s="179"/>
      <x:c r="CJ208" s="174"/>
      <x:c r="CK208" s="174"/>
      <x:c r="CL208" s="174"/>
      <x:c r="CM208" s="174"/>
      <x:c r="CN208" s="174"/>
      <x:c r="CO208" s="177"/>
      <x:c r="CP208" s="174"/>
      <x:c r="CQ208" s="174"/>
      <x:c r="CR208" s="174"/>
      <x:c r="CS208" s="174"/>
      <x:c r="CT208" s="174"/>
      <x:c r="CU208" s="176"/>
      <x:c r="CV208" s="176"/>
      <x:c r="CW208" s="176"/>
      <x:c r="CX208" s="176"/>
      <x:c r="CY208" s="176"/>
      <x:c r="CZ208" s="176"/>
      <x:c r="DA208" s="176"/>
      <x:c r="DB208" s="175" t="str">
        <x:f>IF(L208="","",IF(COUNT(CU208:DA208)&lt;7,"",SUM(CU208:DA208)))</x:f>
      </x:c>
      <x:c r="DC208" s="180" t="str">
        <x:f>IF(DB208="","",ROUND(DB208/14*10,1))</x:f>
      </x:c>
      <x:c r="DD208" s="174"/>
      <x:c r="DE208" s="175" t="str">
        <x:f>IF(L208="","",IF(DC208="","Pending",IF(DD208="Yes","CONDITIONAL — safety override",IF(DC208&gt;=8,"HIGH",IF(DC208&gt;=5,"CONDITIONAL","LOW")))))</x:f>
      </x:c>
      <x:c r="DF208" s="174"/>
      <x:c r="DG208" s="174"/>
      <x:c r="DH208" s="174"/>
      <x:c r="DI208" s="174"/>
      <x:c r="DJ208" s="174"/>
      <x:c r="DK208" s="174"/>
      <x:c r="DL208" s="174"/>
      <x:c r="DM208" s="174"/>
      <x:c r="DN208" s="174"/>
      <x:c r="DO208" s="174"/>
      <x:c r="DP208" s="174"/>
      <x:c r="DQ208" s="174"/>
      <x:c r="DR208" s="174"/>
      <x:c r="DS208" s="174"/>
      <x:c r="DT208" s="174"/>
      <x:c r="DU208" s="174"/>
      <x:c r="DV208" s="174"/>
      <x:c r="DW208" s="174"/>
      <x:c r="DX208" s="174"/>
      <x:c r="DY208" s="174"/>
      <x:c r="DZ208" s="174"/>
      <x:c r="EA208" s="174"/>
      <x:c r="EB208" s="175" t="str">
        <x:f>IF(L208="","",IF(AND(F208="Claim-ready",CJ208="Yes",CL208="Yes",DZ208&lt;&gt;""),"Yes","No / Pending"))</x:f>
      </x:c>
      <x:c r="EC208" s="174"/>
      <x:c r="ED208" s="174"/>
      <x:c r="EE208" s="174"/>
      <x:c r="EF208" s="174"/>
      <x:c r="EG208" s="174"/>
      <x:c r="EH208" s="177"/>
      <x:c r="EI208" s="174"/>
      <x:c r="EJ208" s="174"/>
      <x:c r="EK208" s="174"/>
      <x:c r="EL208" s="177"/>
      <x:c r="EM208" s="174"/>
      <x:c r="EN208" s="181" t="str">
        <x:f>IF(L208="","",(IF(N208&lt;&gt;"",1,0)+IF(O208&lt;&gt;"",1,0)+IF(AJ208&lt;&gt;"",1,0)+IF(AU208&lt;&gt;"",1,0)+IF(BE208&lt;&gt;"",1,0)+IF(CF208&lt;&gt;"",1,0)+IF(CJ208="Yes",1,0)+IF(CL208="Yes",1,0)+IF(DE208&lt;&gt;"Pending",1,0)+IF(F208&lt;&gt;"",1,0)+IF(DZ208&lt;&gt;"",1,0)+IF(EI208&lt;&gt;"",1,0))/12)</x:f>
      </x:c>
    </x:row>
    <x:row r="209">
      <x:c r="A209" s="175" t="str">
        <x:f>IF(L209="","","EV-"&amp;TEXT(ROW()-3,"0000"))</x:f>
      </x:c>
      <x:c r="B209" s="174"/>
      <x:c r="C209" s="175" t="str">
        <x:f>IF(L209="","",IF(OR(CM209="Retracted",CN209="Retracted",F209="Not used"),"🔴 Do not use for conclusion",IF(OR(R209="Official / Institutional",I209="Official / contextual"),"🔵 Official / contextual",IF(OR(I209="Definition",I209="Framework",I209="Paradigm shift"),"🟣 Conceptual key source",IF(AND(CJ209="Yes",CL209="Yes",OR(CG209="High",CG209="Moderate"),CH209&lt;&gt;"High",CH209&lt;&gt;"Critical",F209="Claim-ready"),"🟢 Claim-ready","🟡 Caution / context")))))</x:f>
      </x:c>
      <x:c r="D209" s="174"/>
      <x:c r="E209" s="174"/>
      <x:c r="F209" s="174"/>
      <x:c r="G209" s="174"/>
      <x:c r="H209" s="174"/>
      <x:c r="I209" s="174"/>
      <x:c r="J209" s="174"/>
      <x:c r="K209" s="174"/>
      <x:c r="L209" s="174"/>
      <x:c r="M209" s="174"/>
      <x:c r="N209" s="174"/>
      <x:c r="O209" s="176"/>
      <x:c r="P209" s="174"/>
      <x:c r="Q209" s="174"/>
      <x:c r="R209" s="174"/>
      <x:c r="S209" s="174"/>
      <x:c r="T209" s="174"/>
      <x:c r="U209" s="174"/>
      <x:c r="V209" s="174"/>
      <x:c r="W209" s="175" t="str">
        <x:f>IF(V209="","",LOWER(SUBSTITUTE(SUBSTITUTE(SUBSTITUTE(SUBSTITUTE(TRIM(V209),"https://doi.org/",""),"http://doi.org/",""),"https://dx.doi.org/",""),"doi:","")))</x:f>
      </x:c>
      <x:c r="X209" s="174"/>
      <x:c r="Y209" s="174"/>
      <x:c r="Z209" s="174"/>
      <x:c r="AA209" s="174"/>
      <x:c r="AB209" s="174"/>
      <x:c r="AC209" s="174"/>
      <x:c r="AD209" s="177"/>
      <x:c r="AE209" s="177"/>
      <x:c r="AF209" s="174"/>
      <x:c r="AG209" s="174"/>
      <x:c r="AH209" s="174"/>
      <x:c r="AI209" s="174"/>
      <x:c r="AJ209" s="174"/>
      <x:c r="AK209" s="175" t="str">
        <x:f>IF(AJ209="","",IF(OR(LOWER(AJ209)="brazil",LOWER(AJ209)="brasil"),"Yes","No"))</x:f>
      </x:c>
      <x:c r="AL209" s="174"/>
      <x:c r="AM209" s="174"/>
      <x:c r="AN209" s="174"/>
      <x:c r="AO209" s="178"/>
      <x:c r="AP209" s="174"/>
      <x:c r="AQ209" s="174"/>
      <x:c r="AR209" s="174"/>
      <x:c r="AS209" s="174"/>
      <x:c r="AT209" s="174"/>
      <x:c r="AU209" s="174"/>
      <x:c r="AV209" s="174"/>
      <x:c r="AW209" s="174"/>
      <x:c r="AX209" s="174"/>
      <x:c r="AY209" s="174"/>
      <x:c r="AZ209" s="174"/>
      <x:c r="BA209" s="174"/>
      <x:c r="BB209" s="174"/>
      <x:c r="BC209" s="174"/>
      <x:c r="BD209" s="174"/>
      <x:c r="BE209" s="174"/>
      <x:c r="BF209" s="174"/>
      <x:c r="BG209" s="174"/>
      <x:c r="BH209" s="174"/>
      <x:c r="BI209" s="174"/>
      <x:c r="BJ209" s="174"/>
      <x:c r="BK209" s="174"/>
      <x:c r="BL209" s="174"/>
      <x:c r="BM209" s="174"/>
      <x:c r="BN209" s="174"/>
      <x:c r="BO209" s="174"/>
      <x:c r="BP209" s="174"/>
      <x:c r="BQ209" s="174"/>
      <x:c r="BR209" s="174"/>
      <x:c r="BS209" s="174"/>
      <x:c r="BT209" s="174"/>
      <x:c r="BU209" s="174"/>
      <x:c r="BV209" s="174"/>
      <x:c r="BW209" s="174"/>
      <x:c r="BX209" s="174"/>
      <x:c r="BY209" s="174"/>
      <x:c r="BZ209" s="174"/>
      <x:c r="CA209" s="174"/>
      <x:c r="CB209" s="174"/>
      <x:c r="CC209" s="174"/>
      <x:c r="CD209" s="174"/>
      <x:c r="CE209" s="174"/>
      <x:c r="CF209" s="174"/>
      <x:c r="CG209" s="174"/>
      <x:c r="CH209" s="174"/>
      <x:c r="CI209" s="179"/>
      <x:c r="CJ209" s="174"/>
      <x:c r="CK209" s="174"/>
      <x:c r="CL209" s="174"/>
      <x:c r="CM209" s="174"/>
      <x:c r="CN209" s="174"/>
      <x:c r="CO209" s="177"/>
      <x:c r="CP209" s="174"/>
      <x:c r="CQ209" s="174"/>
      <x:c r="CR209" s="174"/>
      <x:c r="CS209" s="174"/>
      <x:c r="CT209" s="174"/>
      <x:c r="CU209" s="176"/>
      <x:c r="CV209" s="176"/>
      <x:c r="CW209" s="176"/>
      <x:c r="CX209" s="176"/>
      <x:c r="CY209" s="176"/>
      <x:c r="CZ209" s="176"/>
      <x:c r="DA209" s="176"/>
      <x:c r="DB209" s="175" t="str">
        <x:f>IF(L209="","",IF(COUNT(CU209:DA209)&lt;7,"",SUM(CU209:DA209)))</x:f>
      </x:c>
      <x:c r="DC209" s="180" t="str">
        <x:f>IF(DB209="","",ROUND(DB209/14*10,1))</x:f>
      </x:c>
      <x:c r="DD209" s="174"/>
      <x:c r="DE209" s="175" t="str">
        <x:f>IF(L209="","",IF(DC209="","Pending",IF(DD209="Yes","CONDITIONAL — safety override",IF(DC209&gt;=8,"HIGH",IF(DC209&gt;=5,"CONDITIONAL","LOW")))))</x:f>
      </x:c>
      <x:c r="DF209" s="174"/>
      <x:c r="DG209" s="174"/>
      <x:c r="DH209" s="174"/>
      <x:c r="DI209" s="174"/>
      <x:c r="DJ209" s="174"/>
      <x:c r="DK209" s="174"/>
      <x:c r="DL209" s="174"/>
      <x:c r="DM209" s="174"/>
      <x:c r="DN209" s="174"/>
      <x:c r="DO209" s="174"/>
      <x:c r="DP209" s="174"/>
      <x:c r="DQ209" s="174"/>
      <x:c r="DR209" s="174"/>
      <x:c r="DS209" s="174"/>
      <x:c r="DT209" s="174"/>
      <x:c r="DU209" s="174"/>
      <x:c r="DV209" s="174"/>
      <x:c r="DW209" s="174"/>
      <x:c r="DX209" s="174"/>
      <x:c r="DY209" s="174"/>
      <x:c r="DZ209" s="174"/>
      <x:c r="EA209" s="174"/>
      <x:c r="EB209" s="175" t="str">
        <x:f>IF(L209="","",IF(AND(F209="Claim-ready",CJ209="Yes",CL209="Yes",DZ209&lt;&gt;""),"Yes","No / Pending"))</x:f>
      </x:c>
      <x:c r="EC209" s="174"/>
      <x:c r="ED209" s="174"/>
      <x:c r="EE209" s="174"/>
      <x:c r="EF209" s="174"/>
      <x:c r="EG209" s="174"/>
      <x:c r="EH209" s="177"/>
      <x:c r="EI209" s="174"/>
      <x:c r="EJ209" s="174"/>
      <x:c r="EK209" s="174"/>
      <x:c r="EL209" s="177"/>
      <x:c r="EM209" s="174"/>
      <x:c r="EN209" s="181" t="str">
        <x:f>IF(L209="","",(IF(N209&lt;&gt;"",1,0)+IF(O209&lt;&gt;"",1,0)+IF(AJ209&lt;&gt;"",1,0)+IF(AU209&lt;&gt;"",1,0)+IF(BE209&lt;&gt;"",1,0)+IF(CF209&lt;&gt;"",1,0)+IF(CJ209="Yes",1,0)+IF(CL209="Yes",1,0)+IF(DE209&lt;&gt;"Pending",1,0)+IF(F209&lt;&gt;"",1,0)+IF(DZ209&lt;&gt;"",1,0)+IF(EI209&lt;&gt;"",1,0))/12)</x:f>
      </x:c>
    </x:row>
    <x:row r="210">
      <x:c r="A210" s="175" t="str">
        <x:f>IF(L210="","","EV-"&amp;TEXT(ROW()-3,"0000"))</x:f>
      </x:c>
      <x:c r="B210" s="174"/>
      <x:c r="C210" s="175" t="str">
        <x:f>IF(L210="","",IF(OR(CM210="Retracted",CN210="Retracted",F210="Not used"),"🔴 Do not use for conclusion",IF(OR(R210="Official / Institutional",I210="Official / contextual"),"🔵 Official / contextual",IF(OR(I210="Definition",I210="Framework",I210="Paradigm shift"),"🟣 Conceptual key source",IF(AND(CJ210="Yes",CL210="Yes",OR(CG210="High",CG210="Moderate"),CH210&lt;&gt;"High",CH210&lt;&gt;"Critical",F210="Claim-ready"),"🟢 Claim-ready","🟡 Caution / context")))))</x:f>
      </x:c>
      <x:c r="D210" s="174"/>
      <x:c r="E210" s="174"/>
      <x:c r="F210" s="174"/>
      <x:c r="G210" s="174"/>
      <x:c r="H210" s="174"/>
      <x:c r="I210" s="174"/>
      <x:c r="J210" s="174"/>
      <x:c r="K210" s="174"/>
      <x:c r="L210" s="174"/>
      <x:c r="M210" s="174"/>
      <x:c r="N210" s="174"/>
      <x:c r="O210" s="176"/>
      <x:c r="P210" s="174"/>
      <x:c r="Q210" s="174"/>
      <x:c r="R210" s="174"/>
      <x:c r="S210" s="174"/>
      <x:c r="T210" s="174"/>
      <x:c r="U210" s="174"/>
      <x:c r="V210" s="174"/>
      <x:c r="W210" s="175" t="str">
        <x:f>IF(V210="","",LOWER(SUBSTITUTE(SUBSTITUTE(SUBSTITUTE(SUBSTITUTE(TRIM(V210),"https://doi.org/",""),"http://doi.org/",""),"https://dx.doi.org/",""),"doi:","")))</x:f>
      </x:c>
      <x:c r="X210" s="174"/>
      <x:c r="Y210" s="174"/>
      <x:c r="Z210" s="174"/>
      <x:c r="AA210" s="174"/>
      <x:c r="AB210" s="174"/>
      <x:c r="AC210" s="174"/>
      <x:c r="AD210" s="177"/>
      <x:c r="AE210" s="177"/>
      <x:c r="AF210" s="174"/>
      <x:c r="AG210" s="174"/>
      <x:c r="AH210" s="174"/>
      <x:c r="AI210" s="174"/>
      <x:c r="AJ210" s="174"/>
      <x:c r="AK210" s="175" t="str">
        <x:f>IF(AJ210="","",IF(OR(LOWER(AJ210)="brazil",LOWER(AJ210)="brasil"),"Yes","No"))</x:f>
      </x:c>
      <x:c r="AL210" s="174"/>
      <x:c r="AM210" s="174"/>
      <x:c r="AN210" s="174"/>
      <x:c r="AO210" s="178"/>
      <x:c r="AP210" s="174"/>
      <x:c r="AQ210" s="174"/>
      <x:c r="AR210" s="174"/>
      <x:c r="AS210" s="174"/>
      <x:c r="AT210" s="174"/>
      <x:c r="AU210" s="174"/>
      <x:c r="AV210" s="174"/>
      <x:c r="AW210" s="174"/>
      <x:c r="AX210" s="174"/>
      <x:c r="AY210" s="174"/>
      <x:c r="AZ210" s="174"/>
      <x:c r="BA210" s="174"/>
      <x:c r="BB210" s="174"/>
      <x:c r="BC210" s="174"/>
      <x:c r="BD210" s="174"/>
      <x:c r="BE210" s="174"/>
      <x:c r="BF210" s="174"/>
      <x:c r="BG210" s="174"/>
      <x:c r="BH210" s="174"/>
      <x:c r="BI210" s="174"/>
      <x:c r="BJ210" s="174"/>
      <x:c r="BK210" s="174"/>
      <x:c r="BL210" s="174"/>
      <x:c r="BM210" s="174"/>
      <x:c r="BN210" s="174"/>
      <x:c r="BO210" s="174"/>
      <x:c r="BP210" s="174"/>
      <x:c r="BQ210" s="174"/>
      <x:c r="BR210" s="174"/>
      <x:c r="BS210" s="174"/>
      <x:c r="BT210" s="174"/>
      <x:c r="BU210" s="174"/>
      <x:c r="BV210" s="174"/>
      <x:c r="BW210" s="174"/>
      <x:c r="BX210" s="174"/>
      <x:c r="BY210" s="174"/>
      <x:c r="BZ210" s="174"/>
      <x:c r="CA210" s="174"/>
      <x:c r="CB210" s="174"/>
      <x:c r="CC210" s="174"/>
      <x:c r="CD210" s="174"/>
      <x:c r="CE210" s="174"/>
      <x:c r="CF210" s="174"/>
      <x:c r="CG210" s="174"/>
      <x:c r="CH210" s="174"/>
      <x:c r="CI210" s="179"/>
      <x:c r="CJ210" s="174"/>
      <x:c r="CK210" s="174"/>
      <x:c r="CL210" s="174"/>
      <x:c r="CM210" s="174"/>
      <x:c r="CN210" s="174"/>
      <x:c r="CO210" s="177"/>
      <x:c r="CP210" s="174"/>
      <x:c r="CQ210" s="174"/>
      <x:c r="CR210" s="174"/>
      <x:c r="CS210" s="174"/>
      <x:c r="CT210" s="174"/>
      <x:c r="CU210" s="176"/>
      <x:c r="CV210" s="176"/>
      <x:c r="CW210" s="176"/>
      <x:c r="CX210" s="176"/>
      <x:c r="CY210" s="176"/>
      <x:c r="CZ210" s="176"/>
      <x:c r="DA210" s="176"/>
      <x:c r="DB210" s="175" t="str">
        <x:f>IF(L210="","",IF(COUNT(CU210:DA210)&lt;7,"",SUM(CU210:DA210)))</x:f>
      </x:c>
      <x:c r="DC210" s="180" t="str">
        <x:f>IF(DB210="","",ROUND(DB210/14*10,1))</x:f>
      </x:c>
      <x:c r="DD210" s="174"/>
      <x:c r="DE210" s="175" t="str">
        <x:f>IF(L210="","",IF(DC210="","Pending",IF(DD210="Yes","CONDITIONAL — safety override",IF(DC210&gt;=8,"HIGH",IF(DC210&gt;=5,"CONDITIONAL","LOW")))))</x:f>
      </x:c>
      <x:c r="DF210" s="174"/>
      <x:c r="DG210" s="174"/>
      <x:c r="DH210" s="174"/>
      <x:c r="DI210" s="174"/>
      <x:c r="DJ210" s="174"/>
      <x:c r="DK210" s="174"/>
      <x:c r="DL210" s="174"/>
      <x:c r="DM210" s="174"/>
      <x:c r="DN210" s="174"/>
      <x:c r="DO210" s="174"/>
      <x:c r="DP210" s="174"/>
      <x:c r="DQ210" s="174"/>
      <x:c r="DR210" s="174"/>
      <x:c r="DS210" s="174"/>
      <x:c r="DT210" s="174"/>
      <x:c r="DU210" s="174"/>
      <x:c r="DV210" s="174"/>
      <x:c r="DW210" s="174"/>
      <x:c r="DX210" s="174"/>
      <x:c r="DY210" s="174"/>
      <x:c r="DZ210" s="174"/>
      <x:c r="EA210" s="174"/>
      <x:c r="EB210" s="175" t="str">
        <x:f>IF(L210="","",IF(AND(F210="Claim-ready",CJ210="Yes",CL210="Yes",DZ210&lt;&gt;""),"Yes","No / Pending"))</x:f>
      </x:c>
      <x:c r="EC210" s="174"/>
      <x:c r="ED210" s="174"/>
      <x:c r="EE210" s="174"/>
      <x:c r="EF210" s="174"/>
      <x:c r="EG210" s="174"/>
      <x:c r="EH210" s="177"/>
      <x:c r="EI210" s="174"/>
      <x:c r="EJ210" s="174"/>
      <x:c r="EK210" s="174"/>
      <x:c r="EL210" s="177"/>
      <x:c r="EM210" s="174"/>
      <x:c r="EN210" s="181" t="str">
        <x:f>IF(L210="","",(IF(N210&lt;&gt;"",1,0)+IF(O210&lt;&gt;"",1,0)+IF(AJ210&lt;&gt;"",1,0)+IF(AU210&lt;&gt;"",1,0)+IF(BE210&lt;&gt;"",1,0)+IF(CF210&lt;&gt;"",1,0)+IF(CJ210="Yes",1,0)+IF(CL210="Yes",1,0)+IF(DE210&lt;&gt;"Pending",1,0)+IF(F210&lt;&gt;"",1,0)+IF(DZ210&lt;&gt;"",1,0)+IF(EI210&lt;&gt;"",1,0))/12)</x:f>
      </x:c>
    </x:row>
    <x:row r="211">
      <x:c r="A211" s="175" t="str">
        <x:f>IF(L211="","","EV-"&amp;TEXT(ROW()-3,"0000"))</x:f>
      </x:c>
      <x:c r="B211" s="174"/>
      <x:c r="C211" s="175" t="str">
        <x:f>IF(L211="","",IF(OR(CM211="Retracted",CN211="Retracted",F211="Not used"),"🔴 Do not use for conclusion",IF(OR(R211="Official / Institutional",I211="Official / contextual"),"🔵 Official / contextual",IF(OR(I211="Definition",I211="Framework",I211="Paradigm shift"),"🟣 Conceptual key source",IF(AND(CJ211="Yes",CL211="Yes",OR(CG211="High",CG211="Moderate"),CH211&lt;&gt;"High",CH211&lt;&gt;"Critical",F211="Claim-ready"),"🟢 Claim-ready","🟡 Caution / context")))))</x:f>
      </x:c>
      <x:c r="D211" s="174"/>
      <x:c r="E211" s="174"/>
      <x:c r="F211" s="174"/>
      <x:c r="G211" s="174"/>
      <x:c r="H211" s="174"/>
      <x:c r="I211" s="174"/>
      <x:c r="J211" s="174"/>
      <x:c r="K211" s="174"/>
      <x:c r="L211" s="174"/>
      <x:c r="M211" s="174"/>
      <x:c r="N211" s="174"/>
      <x:c r="O211" s="176"/>
      <x:c r="P211" s="174"/>
      <x:c r="Q211" s="174"/>
      <x:c r="R211" s="174"/>
      <x:c r="S211" s="174"/>
      <x:c r="T211" s="174"/>
      <x:c r="U211" s="174"/>
      <x:c r="V211" s="174"/>
      <x:c r="W211" s="175" t="str">
        <x:f>IF(V211="","",LOWER(SUBSTITUTE(SUBSTITUTE(SUBSTITUTE(SUBSTITUTE(TRIM(V211),"https://doi.org/",""),"http://doi.org/",""),"https://dx.doi.org/",""),"doi:","")))</x:f>
      </x:c>
      <x:c r="X211" s="174"/>
      <x:c r="Y211" s="174"/>
      <x:c r="Z211" s="174"/>
      <x:c r="AA211" s="174"/>
      <x:c r="AB211" s="174"/>
      <x:c r="AC211" s="174"/>
      <x:c r="AD211" s="177"/>
      <x:c r="AE211" s="177"/>
      <x:c r="AF211" s="174"/>
      <x:c r="AG211" s="174"/>
      <x:c r="AH211" s="174"/>
      <x:c r="AI211" s="174"/>
      <x:c r="AJ211" s="174"/>
      <x:c r="AK211" s="175" t="str">
        <x:f>IF(AJ211="","",IF(OR(LOWER(AJ211)="brazil",LOWER(AJ211)="brasil"),"Yes","No"))</x:f>
      </x:c>
      <x:c r="AL211" s="174"/>
      <x:c r="AM211" s="174"/>
      <x:c r="AN211" s="174"/>
      <x:c r="AO211" s="178"/>
      <x:c r="AP211" s="174"/>
      <x:c r="AQ211" s="174"/>
      <x:c r="AR211" s="174"/>
      <x:c r="AS211" s="174"/>
      <x:c r="AT211" s="174"/>
      <x:c r="AU211" s="174"/>
      <x:c r="AV211" s="174"/>
      <x:c r="AW211" s="174"/>
      <x:c r="AX211" s="174"/>
      <x:c r="AY211" s="174"/>
      <x:c r="AZ211" s="174"/>
      <x:c r="BA211" s="174"/>
      <x:c r="BB211" s="174"/>
      <x:c r="BC211" s="174"/>
      <x:c r="BD211" s="174"/>
      <x:c r="BE211" s="174"/>
      <x:c r="BF211" s="174"/>
      <x:c r="BG211" s="174"/>
      <x:c r="BH211" s="174"/>
      <x:c r="BI211" s="174"/>
      <x:c r="BJ211" s="174"/>
      <x:c r="BK211" s="174"/>
      <x:c r="BL211" s="174"/>
      <x:c r="BM211" s="174"/>
      <x:c r="BN211" s="174"/>
      <x:c r="BO211" s="174"/>
      <x:c r="BP211" s="174"/>
      <x:c r="BQ211" s="174"/>
      <x:c r="BR211" s="174"/>
      <x:c r="BS211" s="174"/>
      <x:c r="BT211" s="174"/>
      <x:c r="BU211" s="174"/>
      <x:c r="BV211" s="174"/>
      <x:c r="BW211" s="174"/>
      <x:c r="BX211" s="174"/>
      <x:c r="BY211" s="174"/>
      <x:c r="BZ211" s="174"/>
      <x:c r="CA211" s="174"/>
      <x:c r="CB211" s="174"/>
      <x:c r="CC211" s="174"/>
      <x:c r="CD211" s="174"/>
      <x:c r="CE211" s="174"/>
      <x:c r="CF211" s="174"/>
      <x:c r="CG211" s="174"/>
      <x:c r="CH211" s="174"/>
      <x:c r="CI211" s="179"/>
      <x:c r="CJ211" s="174"/>
      <x:c r="CK211" s="174"/>
      <x:c r="CL211" s="174"/>
      <x:c r="CM211" s="174"/>
      <x:c r="CN211" s="174"/>
      <x:c r="CO211" s="177"/>
      <x:c r="CP211" s="174"/>
      <x:c r="CQ211" s="174"/>
      <x:c r="CR211" s="174"/>
      <x:c r="CS211" s="174"/>
      <x:c r="CT211" s="174"/>
      <x:c r="CU211" s="176"/>
      <x:c r="CV211" s="176"/>
      <x:c r="CW211" s="176"/>
      <x:c r="CX211" s="176"/>
      <x:c r="CY211" s="176"/>
      <x:c r="CZ211" s="176"/>
      <x:c r="DA211" s="176"/>
      <x:c r="DB211" s="175" t="str">
        <x:f>IF(L211="","",IF(COUNT(CU211:DA211)&lt;7,"",SUM(CU211:DA211)))</x:f>
      </x:c>
      <x:c r="DC211" s="180" t="str">
        <x:f>IF(DB211="","",ROUND(DB211/14*10,1))</x:f>
      </x:c>
      <x:c r="DD211" s="174"/>
      <x:c r="DE211" s="175" t="str">
        <x:f>IF(L211="","",IF(DC211="","Pending",IF(DD211="Yes","CONDITIONAL — safety override",IF(DC211&gt;=8,"HIGH",IF(DC211&gt;=5,"CONDITIONAL","LOW")))))</x:f>
      </x:c>
      <x:c r="DF211" s="174"/>
      <x:c r="DG211" s="174"/>
      <x:c r="DH211" s="174"/>
      <x:c r="DI211" s="174"/>
      <x:c r="DJ211" s="174"/>
      <x:c r="DK211" s="174"/>
      <x:c r="DL211" s="174"/>
      <x:c r="DM211" s="174"/>
      <x:c r="DN211" s="174"/>
      <x:c r="DO211" s="174"/>
      <x:c r="DP211" s="174"/>
      <x:c r="DQ211" s="174"/>
      <x:c r="DR211" s="174"/>
      <x:c r="DS211" s="174"/>
      <x:c r="DT211" s="174"/>
      <x:c r="DU211" s="174"/>
      <x:c r="DV211" s="174"/>
      <x:c r="DW211" s="174"/>
      <x:c r="DX211" s="174"/>
      <x:c r="DY211" s="174"/>
      <x:c r="DZ211" s="174"/>
      <x:c r="EA211" s="174"/>
      <x:c r="EB211" s="175" t="str">
        <x:f>IF(L211="","",IF(AND(F211="Claim-ready",CJ211="Yes",CL211="Yes",DZ211&lt;&gt;""),"Yes","No / Pending"))</x:f>
      </x:c>
      <x:c r="EC211" s="174"/>
      <x:c r="ED211" s="174"/>
      <x:c r="EE211" s="174"/>
      <x:c r="EF211" s="174"/>
      <x:c r="EG211" s="174"/>
      <x:c r="EH211" s="177"/>
      <x:c r="EI211" s="174"/>
      <x:c r="EJ211" s="174"/>
      <x:c r="EK211" s="174"/>
      <x:c r="EL211" s="177"/>
      <x:c r="EM211" s="174"/>
      <x:c r="EN211" s="181" t="str">
        <x:f>IF(L211="","",(IF(N211&lt;&gt;"",1,0)+IF(O211&lt;&gt;"",1,0)+IF(AJ211&lt;&gt;"",1,0)+IF(AU211&lt;&gt;"",1,0)+IF(BE211&lt;&gt;"",1,0)+IF(CF211&lt;&gt;"",1,0)+IF(CJ211="Yes",1,0)+IF(CL211="Yes",1,0)+IF(DE211&lt;&gt;"Pending",1,0)+IF(F211&lt;&gt;"",1,0)+IF(DZ211&lt;&gt;"",1,0)+IF(EI211&lt;&gt;"",1,0))/12)</x:f>
      </x:c>
    </x:row>
    <x:row r="212">
      <x:c r="A212" s="175" t="str">
        <x:f>IF(L212="","","EV-"&amp;TEXT(ROW()-3,"0000"))</x:f>
      </x:c>
      <x:c r="B212" s="174"/>
      <x:c r="C212" s="175" t="str">
        <x:f>IF(L212="","",IF(OR(CM212="Retracted",CN212="Retracted",F212="Not used"),"🔴 Do not use for conclusion",IF(OR(R212="Official / Institutional",I212="Official / contextual"),"🔵 Official / contextual",IF(OR(I212="Definition",I212="Framework",I212="Paradigm shift"),"🟣 Conceptual key source",IF(AND(CJ212="Yes",CL212="Yes",OR(CG212="High",CG212="Moderate"),CH212&lt;&gt;"High",CH212&lt;&gt;"Critical",F212="Claim-ready"),"🟢 Claim-ready","🟡 Caution / context")))))</x:f>
      </x:c>
      <x:c r="D212" s="174"/>
      <x:c r="E212" s="174"/>
      <x:c r="F212" s="174"/>
      <x:c r="G212" s="174"/>
      <x:c r="H212" s="174"/>
      <x:c r="I212" s="174"/>
      <x:c r="J212" s="174"/>
      <x:c r="K212" s="174"/>
      <x:c r="L212" s="174"/>
      <x:c r="M212" s="174"/>
      <x:c r="N212" s="174"/>
      <x:c r="O212" s="176"/>
      <x:c r="P212" s="174"/>
      <x:c r="Q212" s="174"/>
      <x:c r="R212" s="174"/>
      <x:c r="S212" s="174"/>
      <x:c r="T212" s="174"/>
      <x:c r="U212" s="174"/>
      <x:c r="V212" s="174"/>
      <x:c r="W212" s="175" t="str">
        <x:f>IF(V212="","",LOWER(SUBSTITUTE(SUBSTITUTE(SUBSTITUTE(SUBSTITUTE(TRIM(V212),"https://doi.org/",""),"http://doi.org/",""),"https://dx.doi.org/",""),"doi:","")))</x:f>
      </x:c>
      <x:c r="X212" s="174"/>
      <x:c r="Y212" s="174"/>
      <x:c r="Z212" s="174"/>
      <x:c r="AA212" s="174"/>
      <x:c r="AB212" s="174"/>
      <x:c r="AC212" s="174"/>
      <x:c r="AD212" s="177"/>
      <x:c r="AE212" s="177"/>
      <x:c r="AF212" s="174"/>
      <x:c r="AG212" s="174"/>
      <x:c r="AH212" s="174"/>
      <x:c r="AI212" s="174"/>
      <x:c r="AJ212" s="174"/>
      <x:c r="AK212" s="175" t="str">
        <x:f>IF(AJ212="","",IF(OR(LOWER(AJ212)="brazil",LOWER(AJ212)="brasil"),"Yes","No"))</x:f>
      </x:c>
      <x:c r="AL212" s="174"/>
      <x:c r="AM212" s="174"/>
      <x:c r="AN212" s="174"/>
      <x:c r="AO212" s="178"/>
      <x:c r="AP212" s="174"/>
      <x:c r="AQ212" s="174"/>
      <x:c r="AR212" s="174"/>
      <x:c r="AS212" s="174"/>
      <x:c r="AT212" s="174"/>
      <x:c r="AU212" s="174"/>
      <x:c r="AV212" s="174"/>
      <x:c r="AW212" s="174"/>
      <x:c r="AX212" s="174"/>
      <x:c r="AY212" s="174"/>
      <x:c r="AZ212" s="174"/>
      <x:c r="BA212" s="174"/>
      <x:c r="BB212" s="174"/>
      <x:c r="BC212" s="174"/>
      <x:c r="BD212" s="174"/>
      <x:c r="BE212" s="174"/>
      <x:c r="BF212" s="174"/>
      <x:c r="BG212" s="174"/>
      <x:c r="BH212" s="174"/>
      <x:c r="BI212" s="174"/>
      <x:c r="BJ212" s="174"/>
      <x:c r="BK212" s="174"/>
      <x:c r="BL212" s="174"/>
      <x:c r="BM212" s="174"/>
      <x:c r="BN212" s="174"/>
      <x:c r="BO212" s="174"/>
      <x:c r="BP212" s="174"/>
      <x:c r="BQ212" s="174"/>
      <x:c r="BR212" s="174"/>
      <x:c r="BS212" s="174"/>
      <x:c r="BT212" s="174"/>
      <x:c r="BU212" s="174"/>
      <x:c r="BV212" s="174"/>
      <x:c r="BW212" s="174"/>
      <x:c r="BX212" s="174"/>
      <x:c r="BY212" s="174"/>
      <x:c r="BZ212" s="174"/>
      <x:c r="CA212" s="174"/>
      <x:c r="CB212" s="174"/>
      <x:c r="CC212" s="174"/>
      <x:c r="CD212" s="174"/>
      <x:c r="CE212" s="174"/>
      <x:c r="CF212" s="174"/>
      <x:c r="CG212" s="174"/>
      <x:c r="CH212" s="174"/>
      <x:c r="CI212" s="179"/>
      <x:c r="CJ212" s="174"/>
      <x:c r="CK212" s="174"/>
      <x:c r="CL212" s="174"/>
      <x:c r="CM212" s="174"/>
      <x:c r="CN212" s="174"/>
      <x:c r="CO212" s="177"/>
      <x:c r="CP212" s="174"/>
      <x:c r="CQ212" s="174"/>
      <x:c r="CR212" s="174"/>
      <x:c r="CS212" s="174"/>
      <x:c r="CT212" s="174"/>
      <x:c r="CU212" s="176"/>
      <x:c r="CV212" s="176"/>
      <x:c r="CW212" s="176"/>
      <x:c r="CX212" s="176"/>
      <x:c r="CY212" s="176"/>
      <x:c r="CZ212" s="176"/>
      <x:c r="DA212" s="176"/>
      <x:c r="DB212" s="175" t="str">
        <x:f>IF(L212="","",IF(COUNT(CU212:DA212)&lt;7,"",SUM(CU212:DA212)))</x:f>
      </x:c>
      <x:c r="DC212" s="180" t="str">
        <x:f>IF(DB212="","",ROUND(DB212/14*10,1))</x:f>
      </x:c>
      <x:c r="DD212" s="174"/>
      <x:c r="DE212" s="175" t="str">
        <x:f>IF(L212="","",IF(DC212="","Pending",IF(DD212="Yes","CONDITIONAL — safety override",IF(DC212&gt;=8,"HIGH",IF(DC212&gt;=5,"CONDITIONAL","LOW")))))</x:f>
      </x:c>
      <x:c r="DF212" s="174"/>
      <x:c r="DG212" s="174"/>
      <x:c r="DH212" s="174"/>
      <x:c r="DI212" s="174"/>
      <x:c r="DJ212" s="174"/>
      <x:c r="DK212" s="174"/>
      <x:c r="DL212" s="174"/>
      <x:c r="DM212" s="174"/>
      <x:c r="DN212" s="174"/>
      <x:c r="DO212" s="174"/>
      <x:c r="DP212" s="174"/>
      <x:c r="DQ212" s="174"/>
      <x:c r="DR212" s="174"/>
      <x:c r="DS212" s="174"/>
      <x:c r="DT212" s="174"/>
      <x:c r="DU212" s="174"/>
      <x:c r="DV212" s="174"/>
      <x:c r="DW212" s="174"/>
      <x:c r="DX212" s="174"/>
      <x:c r="DY212" s="174"/>
      <x:c r="DZ212" s="174"/>
      <x:c r="EA212" s="174"/>
      <x:c r="EB212" s="175" t="str">
        <x:f>IF(L212="","",IF(AND(F212="Claim-ready",CJ212="Yes",CL212="Yes",DZ212&lt;&gt;""),"Yes","No / Pending"))</x:f>
      </x:c>
      <x:c r="EC212" s="174"/>
      <x:c r="ED212" s="174"/>
      <x:c r="EE212" s="174"/>
      <x:c r="EF212" s="174"/>
      <x:c r="EG212" s="174"/>
      <x:c r="EH212" s="177"/>
      <x:c r="EI212" s="174"/>
      <x:c r="EJ212" s="174"/>
      <x:c r="EK212" s="174"/>
      <x:c r="EL212" s="177"/>
      <x:c r="EM212" s="174"/>
      <x:c r="EN212" s="181" t="str">
        <x:f>IF(L212="","",(IF(N212&lt;&gt;"",1,0)+IF(O212&lt;&gt;"",1,0)+IF(AJ212&lt;&gt;"",1,0)+IF(AU212&lt;&gt;"",1,0)+IF(BE212&lt;&gt;"",1,0)+IF(CF212&lt;&gt;"",1,0)+IF(CJ212="Yes",1,0)+IF(CL212="Yes",1,0)+IF(DE212&lt;&gt;"Pending",1,0)+IF(F212&lt;&gt;"",1,0)+IF(DZ212&lt;&gt;"",1,0)+IF(EI212&lt;&gt;"",1,0))/12)</x:f>
      </x:c>
    </x:row>
    <x:row r="213">
      <x:c r="A213" s="175" t="str">
        <x:f>IF(L213="","","EV-"&amp;TEXT(ROW()-3,"0000"))</x:f>
      </x:c>
      <x:c r="B213" s="174"/>
      <x:c r="C213" s="175" t="str">
        <x:f>IF(L213="","",IF(OR(CM213="Retracted",CN213="Retracted",F213="Not used"),"🔴 Do not use for conclusion",IF(OR(R213="Official / Institutional",I213="Official / contextual"),"🔵 Official / contextual",IF(OR(I213="Definition",I213="Framework",I213="Paradigm shift"),"🟣 Conceptual key source",IF(AND(CJ213="Yes",CL213="Yes",OR(CG213="High",CG213="Moderate"),CH213&lt;&gt;"High",CH213&lt;&gt;"Critical",F213="Claim-ready"),"🟢 Claim-ready","🟡 Caution / context")))))</x:f>
      </x:c>
      <x:c r="D213" s="174"/>
      <x:c r="E213" s="174"/>
      <x:c r="F213" s="174"/>
      <x:c r="G213" s="174"/>
      <x:c r="H213" s="174"/>
      <x:c r="I213" s="174"/>
      <x:c r="J213" s="174"/>
      <x:c r="K213" s="174"/>
      <x:c r="L213" s="174"/>
      <x:c r="M213" s="174"/>
      <x:c r="N213" s="174"/>
      <x:c r="O213" s="176"/>
      <x:c r="P213" s="174"/>
      <x:c r="Q213" s="174"/>
      <x:c r="R213" s="174"/>
      <x:c r="S213" s="174"/>
      <x:c r="T213" s="174"/>
      <x:c r="U213" s="174"/>
      <x:c r="V213" s="174"/>
      <x:c r="W213" s="175" t="str">
        <x:f>IF(V213="","",LOWER(SUBSTITUTE(SUBSTITUTE(SUBSTITUTE(SUBSTITUTE(TRIM(V213),"https://doi.org/",""),"http://doi.org/",""),"https://dx.doi.org/",""),"doi:","")))</x:f>
      </x:c>
      <x:c r="X213" s="174"/>
      <x:c r="Y213" s="174"/>
      <x:c r="Z213" s="174"/>
      <x:c r="AA213" s="174"/>
      <x:c r="AB213" s="174"/>
      <x:c r="AC213" s="174"/>
      <x:c r="AD213" s="177"/>
      <x:c r="AE213" s="177"/>
      <x:c r="AF213" s="174"/>
      <x:c r="AG213" s="174"/>
      <x:c r="AH213" s="174"/>
      <x:c r="AI213" s="174"/>
      <x:c r="AJ213" s="174"/>
      <x:c r="AK213" s="175" t="str">
        <x:f>IF(AJ213="","",IF(OR(LOWER(AJ213)="brazil",LOWER(AJ213)="brasil"),"Yes","No"))</x:f>
      </x:c>
      <x:c r="AL213" s="174"/>
      <x:c r="AM213" s="174"/>
      <x:c r="AN213" s="174"/>
      <x:c r="AO213" s="178"/>
      <x:c r="AP213" s="174"/>
      <x:c r="AQ213" s="174"/>
      <x:c r="AR213" s="174"/>
      <x:c r="AS213" s="174"/>
      <x:c r="AT213" s="174"/>
      <x:c r="AU213" s="174"/>
      <x:c r="AV213" s="174"/>
      <x:c r="AW213" s="174"/>
      <x:c r="AX213" s="174"/>
      <x:c r="AY213" s="174"/>
      <x:c r="AZ213" s="174"/>
      <x:c r="BA213" s="174"/>
      <x:c r="BB213" s="174"/>
      <x:c r="BC213" s="174"/>
      <x:c r="BD213" s="174"/>
      <x:c r="BE213" s="174"/>
      <x:c r="BF213" s="174"/>
      <x:c r="BG213" s="174"/>
      <x:c r="BH213" s="174"/>
      <x:c r="BI213" s="174"/>
      <x:c r="BJ213" s="174"/>
      <x:c r="BK213" s="174"/>
      <x:c r="BL213" s="174"/>
      <x:c r="BM213" s="174"/>
      <x:c r="BN213" s="174"/>
      <x:c r="BO213" s="174"/>
      <x:c r="BP213" s="174"/>
      <x:c r="BQ213" s="174"/>
      <x:c r="BR213" s="174"/>
      <x:c r="BS213" s="174"/>
      <x:c r="BT213" s="174"/>
      <x:c r="BU213" s="174"/>
      <x:c r="BV213" s="174"/>
      <x:c r="BW213" s="174"/>
      <x:c r="BX213" s="174"/>
      <x:c r="BY213" s="174"/>
      <x:c r="BZ213" s="174"/>
      <x:c r="CA213" s="174"/>
      <x:c r="CB213" s="174"/>
      <x:c r="CC213" s="174"/>
      <x:c r="CD213" s="174"/>
      <x:c r="CE213" s="174"/>
      <x:c r="CF213" s="174"/>
      <x:c r="CG213" s="174"/>
      <x:c r="CH213" s="174"/>
      <x:c r="CI213" s="179"/>
      <x:c r="CJ213" s="174"/>
      <x:c r="CK213" s="174"/>
      <x:c r="CL213" s="174"/>
      <x:c r="CM213" s="174"/>
      <x:c r="CN213" s="174"/>
      <x:c r="CO213" s="177"/>
      <x:c r="CP213" s="174"/>
      <x:c r="CQ213" s="174"/>
      <x:c r="CR213" s="174"/>
      <x:c r="CS213" s="174"/>
      <x:c r="CT213" s="174"/>
      <x:c r="CU213" s="176"/>
      <x:c r="CV213" s="176"/>
      <x:c r="CW213" s="176"/>
      <x:c r="CX213" s="176"/>
      <x:c r="CY213" s="176"/>
      <x:c r="CZ213" s="176"/>
      <x:c r="DA213" s="176"/>
      <x:c r="DB213" s="175" t="str">
        <x:f>IF(L213="","",IF(COUNT(CU213:DA213)&lt;7,"",SUM(CU213:DA213)))</x:f>
      </x:c>
      <x:c r="DC213" s="180" t="str">
        <x:f>IF(DB213="","",ROUND(DB213/14*10,1))</x:f>
      </x:c>
      <x:c r="DD213" s="174"/>
      <x:c r="DE213" s="175" t="str">
        <x:f>IF(L213="","",IF(DC213="","Pending",IF(DD213="Yes","CONDITIONAL — safety override",IF(DC213&gt;=8,"HIGH",IF(DC213&gt;=5,"CONDITIONAL","LOW")))))</x:f>
      </x:c>
      <x:c r="DF213" s="174"/>
      <x:c r="DG213" s="174"/>
      <x:c r="DH213" s="174"/>
      <x:c r="DI213" s="174"/>
      <x:c r="DJ213" s="174"/>
      <x:c r="DK213" s="174"/>
      <x:c r="DL213" s="174"/>
      <x:c r="DM213" s="174"/>
      <x:c r="DN213" s="174"/>
      <x:c r="DO213" s="174"/>
      <x:c r="DP213" s="174"/>
      <x:c r="DQ213" s="174"/>
      <x:c r="DR213" s="174"/>
      <x:c r="DS213" s="174"/>
      <x:c r="DT213" s="174"/>
      <x:c r="DU213" s="174"/>
      <x:c r="DV213" s="174"/>
      <x:c r="DW213" s="174"/>
      <x:c r="DX213" s="174"/>
      <x:c r="DY213" s="174"/>
      <x:c r="DZ213" s="174"/>
      <x:c r="EA213" s="174"/>
      <x:c r="EB213" s="175" t="str">
        <x:f>IF(L213="","",IF(AND(F213="Claim-ready",CJ213="Yes",CL213="Yes",DZ213&lt;&gt;""),"Yes","No / Pending"))</x:f>
      </x:c>
      <x:c r="EC213" s="174"/>
      <x:c r="ED213" s="174"/>
      <x:c r="EE213" s="174"/>
      <x:c r="EF213" s="174"/>
      <x:c r="EG213" s="174"/>
      <x:c r="EH213" s="177"/>
      <x:c r="EI213" s="174"/>
      <x:c r="EJ213" s="174"/>
      <x:c r="EK213" s="174"/>
      <x:c r="EL213" s="177"/>
      <x:c r="EM213" s="174"/>
      <x:c r="EN213" s="181" t="str">
        <x:f>IF(L213="","",(IF(N213&lt;&gt;"",1,0)+IF(O213&lt;&gt;"",1,0)+IF(AJ213&lt;&gt;"",1,0)+IF(AU213&lt;&gt;"",1,0)+IF(BE213&lt;&gt;"",1,0)+IF(CF213&lt;&gt;"",1,0)+IF(CJ213="Yes",1,0)+IF(CL213="Yes",1,0)+IF(DE213&lt;&gt;"Pending",1,0)+IF(F213&lt;&gt;"",1,0)+IF(DZ213&lt;&gt;"",1,0)+IF(EI213&lt;&gt;"",1,0))/12)</x:f>
      </x:c>
    </x:row>
    <x:row r="214">
      <x:c r="A214" s="175" t="str">
        <x:f>IF(L214="","","EV-"&amp;TEXT(ROW()-3,"0000"))</x:f>
      </x:c>
      <x:c r="B214" s="174"/>
      <x:c r="C214" s="175" t="str">
        <x:f>IF(L214="","",IF(OR(CM214="Retracted",CN214="Retracted",F214="Not used"),"🔴 Do not use for conclusion",IF(OR(R214="Official / Institutional",I214="Official / contextual"),"🔵 Official / contextual",IF(OR(I214="Definition",I214="Framework",I214="Paradigm shift"),"🟣 Conceptual key source",IF(AND(CJ214="Yes",CL214="Yes",OR(CG214="High",CG214="Moderate"),CH214&lt;&gt;"High",CH214&lt;&gt;"Critical",F214="Claim-ready"),"🟢 Claim-ready","🟡 Caution / context")))))</x:f>
      </x:c>
      <x:c r="D214" s="174"/>
      <x:c r="E214" s="174"/>
      <x:c r="F214" s="174"/>
      <x:c r="G214" s="174"/>
      <x:c r="H214" s="174"/>
      <x:c r="I214" s="174"/>
      <x:c r="J214" s="174"/>
      <x:c r="K214" s="174"/>
      <x:c r="L214" s="174"/>
      <x:c r="M214" s="174"/>
      <x:c r="N214" s="174"/>
      <x:c r="O214" s="176"/>
      <x:c r="P214" s="174"/>
      <x:c r="Q214" s="174"/>
      <x:c r="R214" s="174"/>
      <x:c r="S214" s="174"/>
      <x:c r="T214" s="174"/>
      <x:c r="U214" s="174"/>
      <x:c r="V214" s="174"/>
      <x:c r="W214" s="175" t="str">
        <x:f>IF(V214="","",LOWER(SUBSTITUTE(SUBSTITUTE(SUBSTITUTE(SUBSTITUTE(TRIM(V214),"https://doi.org/",""),"http://doi.org/",""),"https://dx.doi.org/",""),"doi:","")))</x:f>
      </x:c>
      <x:c r="X214" s="174"/>
      <x:c r="Y214" s="174"/>
      <x:c r="Z214" s="174"/>
      <x:c r="AA214" s="174"/>
      <x:c r="AB214" s="174"/>
      <x:c r="AC214" s="174"/>
      <x:c r="AD214" s="177"/>
      <x:c r="AE214" s="177"/>
      <x:c r="AF214" s="174"/>
      <x:c r="AG214" s="174"/>
      <x:c r="AH214" s="174"/>
      <x:c r="AI214" s="174"/>
      <x:c r="AJ214" s="174"/>
      <x:c r="AK214" s="175" t="str">
        <x:f>IF(AJ214="","",IF(OR(LOWER(AJ214)="brazil",LOWER(AJ214)="brasil"),"Yes","No"))</x:f>
      </x:c>
      <x:c r="AL214" s="174"/>
      <x:c r="AM214" s="174"/>
      <x:c r="AN214" s="174"/>
      <x:c r="AO214" s="178"/>
      <x:c r="AP214" s="174"/>
      <x:c r="AQ214" s="174"/>
      <x:c r="AR214" s="174"/>
      <x:c r="AS214" s="174"/>
      <x:c r="AT214" s="174"/>
      <x:c r="AU214" s="174"/>
      <x:c r="AV214" s="174"/>
      <x:c r="AW214" s="174"/>
      <x:c r="AX214" s="174"/>
      <x:c r="AY214" s="174"/>
      <x:c r="AZ214" s="174"/>
      <x:c r="BA214" s="174"/>
      <x:c r="BB214" s="174"/>
      <x:c r="BC214" s="174"/>
      <x:c r="BD214" s="174"/>
      <x:c r="BE214" s="174"/>
      <x:c r="BF214" s="174"/>
      <x:c r="BG214" s="174"/>
      <x:c r="BH214" s="174"/>
      <x:c r="BI214" s="174"/>
      <x:c r="BJ214" s="174"/>
      <x:c r="BK214" s="174"/>
      <x:c r="BL214" s="174"/>
      <x:c r="BM214" s="174"/>
      <x:c r="BN214" s="174"/>
      <x:c r="BO214" s="174"/>
      <x:c r="BP214" s="174"/>
      <x:c r="BQ214" s="174"/>
      <x:c r="BR214" s="174"/>
      <x:c r="BS214" s="174"/>
      <x:c r="BT214" s="174"/>
      <x:c r="BU214" s="174"/>
      <x:c r="BV214" s="174"/>
      <x:c r="BW214" s="174"/>
      <x:c r="BX214" s="174"/>
      <x:c r="BY214" s="174"/>
      <x:c r="BZ214" s="174"/>
      <x:c r="CA214" s="174"/>
      <x:c r="CB214" s="174"/>
      <x:c r="CC214" s="174"/>
      <x:c r="CD214" s="174"/>
      <x:c r="CE214" s="174"/>
      <x:c r="CF214" s="174"/>
      <x:c r="CG214" s="174"/>
      <x:c r="CH214" s="174"/>
      <x:c r="CI214" s="179"/>
      <x:c r="CJ214" s="174"/>
      <x:c r="CK214" s="174"/>
      <x:c r="CL214" s="174"/>
      <x:c r="CM214" s="174"/>
      <x:c r="CN214" s="174"/>
      <x:c r="CO214" s="177"/>
      <x:c r="CP214" s="174"/>
      <x:c r="CQ214" s="174"/>
      <x:c r="CR214" s="174"/>
      <x:c r="CS214" s="174"/>
      <x:c r="CT214" s="174"/>
      <x:c r="CU214" s="176"/>
      <x:c r="CV214" s="176"/>
      <x:c r="CW214" s="176"/>
      <x:c r="CX214" s="176"/>
      <x:c r="CY214" s="176"/>
      <x:c r="CZ214" s="176"/>
      <x:c r="DA214" s="176"/>
      <x:c r="DB214" s="175" t="str">
        <x:f>IF(L214="","",IF(COUNT(CU214:DA214)&lt;7,"",SUM(CU214:DA214)))</x:f>
      </x:c>
      <x:c r="DC214" s="180" t="str">
        <x:f>IF(DB214="","",ROUND(DB214/14*10,1))</x:f>
      </x:c>
      <x:c r="DD214" s="174"/>
      <x:c r="DE214" s="175" t="str">
        <x:f>IF(L214="","",IF(DC214="","Pending",IF(DD214="Yes","CONDITIONAL — safety override",IF(DC214&gt;=8,"HIGH",IF(DC214&gt;=5,"CONDITIONAL","LOW")))))</x:f>
      </x:c>
      <x:c r="DF214" s="174"/>
      <x:c r="DG214" s="174"/>
      <x:c r="DH214" s="174"/>
      <x:c r="DI214" s="174"/>
      <x:c r="DJ214" s="174"/>
      <x:c r="DK214" s="174"/>
      <x:c r="DL214" s="174"/>
      <x:c r="DM214" s="174"/>
      <x:c r="DN214" s="174"/>
      <x:c r="DO214" s="174"/>
      <x:c r="DP214" s="174"/>
      <x:c r="DQ214" s="174"/>
      <x:c r="DR214" s="174"/>
      <x:c r="DS214" s="174"/>
      <x:c r="DT214" s="174"/>
      <x:c r="DU214" s="174"/>
      <x:c r="DV214" s="174"/>
      <x:c r="DW214" s="174"/>
      <x:c r="DX214" s="174"/>
      <x:c r="DY214" s="174"/>
      <x:c r="DZ214" s="174"/>
      <x:c r="EA214" s="174"/>
      <x:c r="EB214" s="175" t="str">
        <x:f>IF(L214="","",IF(AND(F214="Claim-ready",CJ214="Yes",CL214="Yes",DZ214&lt;&gt;""),"Yes","No / Pending"))</x:f>
      </x:c>
      <x:c r="EC214" s="174"/>
      <x:c r="ED214" s="174"/>
      <x:c r="EE214" s="174"/>
      <x:c r="EF214" s="174"/>
      <x:c r="EG214" s="174"/>
      <x:c r="EH214" s="177"/>
      <x:c r="EI214" s="174"/>
      <x:c r="EJ214" s="174"/>
      <x:c r="EK214" s="174"/>
      <x:c r="EL214" s="177"/>
      <x:c r="EM214" s="174"/>
      <x:c r="EN214" s="181" t="str">
        <x:f>IF(L214="","",(IF(N214&lt;&gt;"",1,0)+IF(O214&lt;&gt;"",1,0)+IF(AJ214&lt;&gt;"",1,0)+IF(AU214&lt;&gt;"",1,0)+IF(BE214&lt;&gt;"",1,0)+IF(CF214&lt;&gt;"",1,0)+IF(CJ214="Yes",1,0)+IF(CL214="Yes",1,0)+IF(DE214&lt;&gt;"Pending",1,0)+IF(F214&lt;&gt;"",1,0)+IF(DZ214&lt;&gt;"",1,0)+IF(EI214&lt;&gt;"",1,0))/12)</x:f>
      </x:c>
    </x:row>
    <x:row r="215">
      <x:c r="A215" s="175" t="str">
        <x:f>IF(L215="","","EV-"&amp;TEXT(ROW()-3,"0000"))</x:f>
      </x:c>
      <x:c r="B215" s="174"/>
      <x:c r="C215" s="175" t="str">
        <x:f>IF(L215="","",IF(OR(CM215="Retracted",CN215="Retracted",F215="Not used"),"🔴 Do not use for conclusion",IF(OR(R215="Official / Institutional",I215="Official / contextual"),"🔵 Official / contextual",IF(OR(I215="Definition",I215="Framework",I215="Paradigm shift"),"🟣 Conceptual key source",IF(AND(CJ215="Yes",CL215="Yes",OR(CG215="High",CG215="Moderate"),CH215&lt;&gt;"High",CH215&lt;&gt;"Critical",F215="Claim-ready"),"🟢 Claim-ready","🟡 Caution / context")))))</x:f>
      </x:c>
      <x:c r="D215" s="174"/>
      <x:c r="E215" s="174"/>
      <x:c r="F215" s="174"/>
      <x:c r="G215" s="174"/>
      <x:c r="H215" s="174"/>
      <x:c r="I215" s="174"/>
      <x:c r="J215" s="174"/>
      <x:c r="K215" s="174"/>
      <x:c r="L215" s="174"/>
      <x:c r="M215" s="174"/>
      <x:c r="N215" s="174"/>
      <x:c r="O215" s="176"/>
      <x:c r="P215" s="174"/>
      <x:c r="Q215" s="174"/>
      <x:c r="R215" s="174"/>
      <x:c r="S215" s="174"/>
      <x:c r="T215" s="174"/>
      <x:c r="U215" s="174"/>
      <x:c r="V215" s="174"/>
      <x:c r="W215" s="175" t="str">
        <x:f>IF(V215="","",LOWER(SUBSTITUTE(SUBSTITUTE(SUBSTITUTE(SUBSTITUTE(TRIM(V215),"https://doi.org/",""),"http://doi.org/",""),"https://dx.doi.org/",""),"doi:","")))</x:f>
      </x:c>
      <x:c r="X215" s="174"/>
      <x:c r="Y215" s="174"/>
      <x:c r="Z215" s="174"/>
      <x:c r="AA215" s="174"/>
      <x:c r="AB215" s="174"/>
      <x:c r="AC215" s="174"/>
      <x:c r="AD215" s="177"/>
      <x:c r="AE215" s="177"/>
      <x:c r="AF215" s="174"/>
      <x:c r="AG215" s="174"/>
      <x:c r="AH215" s="174"/>
      <x:c r="AI215" s="174"/>
      <x:c r="AJ215" s="174"/>
      <x:c r="AK215" s="175" t="str">
        <x:f>IF(AJ215="","",IF(OR(LOWER(AJ215)="brazil",LOWER(AJ215)="brasil"),"Yes","No"))</x:f>
      </x:c>
      <x:c r="AL215" s="174"/>
      <x:c r="AM215" s="174"/>
      <x:c r="AN215" s="174"/>
      <x:c r="AO215" s="178"/>
      <x:c r="AP215" s="174"/>
      <x:c r="AQ215" s="174"/>
      <x:c r="AR215" s="174"/>
      <x:c r="AS215" s="174"/>
      <x:c r="AT215" s="174"/>
      <x:c r="AU215" s="174"/>
      <x:c r="AV215" s="174"/>
      <x:c r="AW215" s="174"/>
      <x:c r="AX215" s="174"/>
      <x:c r="AY215" s="174"/>
      <x:c r="AZ215" s="174"/>
      <x:c r="BA215" s="174"/>
      <x:c r="BB215" s="174"/>
      <x:c r="BC215" s="174"/>
      <x:c r="BD215" s="174"/>
      <x:c r="BE215" s="174"/>
      <x:c r="BF215" s="174"/>
      <x:c r="BG215" s="174"/>
      <x:c r="BH215" s="174"/>
      <x:c r="BI215" s="174"/>
      <x:c r="BJ215" s="174"/>
      <x:c r="BK215" s="174"/>
      <x:c r="BL215" s="174"/>
      <x:c r="BM215" s="174"/>
      <x:c r="BN215" s="174"/>
      <x:c r="BO215" s="174"/>
      <x:c r="BP215" s="174"/>
      <x:c r="BQ215" s="174"/>
      <x:c r="BR215" s="174"/>
      <x:c r="BS215" s="174"/>
      <x:c r="BT215" s="174"/>
      <x:c r="BU215" s="174"/>
      <x:c r="BV215" s="174"/>
      <x:c r="BW215" s="174"/>
      <x:c r="BX215" s="174"/>
      <x:c r="BY215" s="174"/>
      <x:c r="BZ215" s="174"/>
      <x:c r="CA215" s="174"/>
      <x:c r="CB215" s="174"/>
      <x:c r="CC215" s="174"/>
      <x:c r="CD215" s="174"/>
      <x:c r="CE215" s="174"/>
      <x:c r="CF215" s="174"/>
      <x:c r="CG215" s="174"/>
      <x:c r="CH215" s="174"/>
      <x:c r="CI215" s="179"/>
      <x:c r="CJ215" s="174"/>
      <x:c r="CK215" s="174"/>
      <x:c r="CL215" s="174"/>
      <x:c r="CM215" s="174"/>
      <x:c r="CN215" s="174"/>
      <x:c r="CO215" s="177"/>
      <x:c r="CP215" s="174"/>
      <x:c r="CQ215" s="174"/>
      <x:c r="CR215" s="174"/>
      <x:c r="CS215" s="174"/>
      <x:c r="CT215" s="174"/>
      <x:c r="CU215" s="176"/>
      <x:c r="CV215" s="176"/>
      <x:c r="CW215" s="176"/>
      <x:c r="CX215" s="176"/>
      <x:c r="CY215" s="176"/>
      <x:c r="CZ215" s="176"/>
      <x:c r="DA215" s="176"/>
      <x:c r="DB215" s="175" t="str">
        <x:f>IF(L215="","",IF(COUNT(CU215:DA215)&lt;7,"",SUM(CU215:DA215)))</x:f>
      </x:c>
      <x:c r="DC215" s="180" t="str">
        <x:f>IF(DB215="","",ROUND(DB215/14*10,1))</x:f>
      </x:c>
      <x:c r="DD215" s="174"/>
      <x:c r="DE215" s="175" t="str">
        <x:f>IF(L215="","",IF(DC215="","Pending",IF(DD215="Yes","CONDITIONAL — safety override",IF(DC215&gt;=8,"HIGH",IF(DC215&gt;=5,"CONDITIONAL","LOW")))))</x:f>
      </x:c>
      <x:c r="DF215" s="174"/>
      <x:c r="DG215" s="174"/>
      <x:c r="DH215" s="174"/>
      <x:c r="DI215" s="174"/>
      <x:c r="DJ215" s="174"/>
      <x:c r="DK215" s="174"/>
      <x:c r="DL215" s="174"/>
      <x:c r="DM215" s="174"/>
      <x:c r="DN215" s="174"/>
      <x:c r="DO215" s="174"/>
      <x:c r="DP215" s="174"/>
      <x:c r="DQ215" s="174"/>
      <x:c r="DR215" s="174"/>
      <x:c r="DS215" s="174"/>
      <x:c r="DT215" s="174"/>
      <x:c r="DU215" s="174"/>
      <x:c r="DV215" s="174"/>
      <x:c r="DW215" s="174"/>
      <x:c r="DX215" s="174"/>
      <x:c r="DY215" s="174"/>
      <x:c r="DZ215" s="174"/>
      <x:c r="EA215" s="174"/>
      <x:c r="EB215" s="175" t="str">
        <x:f>IF(L215="","",IF(AND(F215="Claim-ready",CJ215="Yes",CL215="Yes",DZ215&lt;&gt;""),"Yes","No / Pending"))</x:f>
      </x:c>
      <x:c r="EC215" s="174"/>
      <x:c r="ED215" s="174"/>
      <x:c r="EE215" s="174"/>
      <x:c r="EF215" s="174"/>
      <x:c r="EG215" s="174"/>
      <x:c r="EH215" s="177"/>
      <x:c r="EI215" s="174"/>
      <x:c r="EJ215" s="174"/>
      <x:c r="EK215" s="174"/>
      <x:c r="EL215" s="177"/>
      <x:c r="EM215" s="174"/>
      <x:c r="EN215" s="181" t="str">
        <x:f>IF(L215="","",(IF(N215&lt;&gt;"",1,0)+IF(O215&lt;&gt;"",1,0)+IF(AJ215&lt;&gt;"",1,0)+IF(AU215&lt;&gt;"",1,0)+IF(BE215&lt;&gt;"",1,0)+IF(CF215&lt;&gt;"",1,0)+IF(CJ215="Yes",1,0)+IF(CL215="Yes",1,0)+IF(DE215&lt;&gt;"Pending",1,0)+IF(F215&lt;&gt;"",1,0)+IF(DZ215&lt;&gt;"",1,0)+IF(EI215&lt;&gt;"",1,0))/12)</x:f>
      </x:c>
    </x:row>
    <x:row r="216">
      <x:c r="A216" s="175" t="str">
        <x:f>IF(L216="","","EV-"&amp;TEXT(ROW()-3,"0000"))</x:f>
      </x:c>
      <x:c r="B216" s="174"/>
      <x:c r="C216" s="175" t="str">
        <x:f>IF(L216="","",IF(OR(CM216="Retracted",CN216="Retracted",F216="Not used"),"🔴 Do not use for conclusion",IF(OR(R216="Official / Institutional",I216="Official / contextual"),"🔵 Official / contextual",IF(OR(I216="Definition",I216="Framework",I216="Paradigm shift"),"🟣 Conceptual key source",IF(AND(CJ216="Yes",CL216="Yes",OR(CG216="High",CG216="Moderate"),CH216&lt;&gt;"High",CH216&lt;&gt;"Critical",F216="Claim-ready"),"🟢 Claim-ready","🟡 Caution / context")))))</x:f>
      </x:c>
      <x:c r="D216" s="174"/>
      <x:c r="E216" s="174"/>
      <x:c r="F216" s="174"/>
      <x:c r="G216" s="174"/>
      <x:c r="H216" s="174"/>
      <x:c r="I216" s="174"/>
      <x:c r="J216" s="174"/>
      <x:c r="K216" s="174"/>
      <x:c r="L216" s="174"/>
      <x:c r="M216" s="174"/>
      <x:c r="N216" s="174"/>
      <x:c r="O216" s="176"/>
      <x:c r="P216" s="174"/>
      <x:c r="Q216" s="174"/>
      <x:c r="R216" s="174"/>
      <x:c r="S216" s="174"/>
      <x:c r="T216" s="174"/>
      <x:c r="U216" s="174"/>
      <x:c r="V216" s="174"/>
      <x:c r="W216" s="175" t="str">
        <x:f>IF(V216="","",LOWER(SUBSTITUTE(SUBSTITUTE(SUBSTITUTE(SUBSTITUTE(TRIM(V216),"https://doi.org/",""),"http://doi.org/",""),"https://dx.doi.org/",""),"doi:","")))</x:f>
      </x:c>
      <x:c r="X216" s="174"/>
      <x:c r="Y216" s="174"/>
      <x:c r="Z216" s="174"/>
      <x:c r="AA216" s="174"/>
      <x:c r="AB216" s="174"/>
      <x:c r="AC216" s="174"/>
      <x:c r="AD216" s="177"/>
      <x:c r="AE216" s="177"/>
      <x:c r="AF216" s="174"/>
      <x:c r="AG216" s="174"/>
      <x:c r="AH216" s="174"/>
      <x:c r="AI216" s="174"/>
      <x:c r="AJ216" s="174"/>
      <x:c r="AK216" s="175" t="str">
        <x:f>IF(AJ216="","",IF(OR(LOWER(AJ216)="brazil",LOWER(AJ216)="brasil"),"Yes","No"))</x:f>
      </x:c>
      <x:c r="AL216" s="174"/>
      <x:c r="AM216" s="174"/>
      <x:c r="AN216" s="174"/>
      <x:c r="AO216" s="178"/>
      <x:c r="AP216" s="174"/>
      <x:c r="AQ216" s="174"/>
      <x:c r="AR216" s="174"/>
      <x:c r="AS216" s="174"/>
      <x:c r="AT216" s="174"/>
      <x:c r="AU216" s="174"/>
      <x:c r="AV216" s="174"/>
      <x:c r="AW216" s="174"/>
      <x:c r="AX216" s="174"/>
      <x:c r="AY216" s="174"/>
      <x:c r="AZ216" s="174"/>
      <x:c r="BA216" s="174"/>
      <x:c r="BB216" s="174"/>
      <x:c r="BC216" s="174"/>
      <x:c r="BD216" s="174"/>
      <x:c r="BE216" s="174"/>
      <x:c r="BF216" s="174"/>
      <x:c r="BG216" s="174"/>
      <x:c r="BH216" s="174"/>
      <x:c r="BI216" s="174"/>
      <x:c r="BJ216" s="174"/>
      <x:c r="BK216" s="174"/>
      <x:c r="BL216" s="174"/>
      <x:c r="BM216" s="174"/>
      <x:c r="BN216" s="174"/>
      <x:c r="BO216" s="174"/>
      <x:c r="BP216" s="174"/>
      <x:c r="BQ216" s="174"/>
      <x:c r="BR216" s="174"/>
      <x:c r="BS216" s="174"/>
      <x:c r="BT216" s="174"/>
      <x:c r="BU216" s="174"/>
      <x:c r="BV216" s="174"/>
      <x:c r="BW216" s="174"/>
      <x:c r="BX216" s="174"/>
      <x:c r="BY216" s="174"/>
      <x:c r="BZ216" s="174"/>
      <x:c r="CA216" s="174"/>
      <x:c r="CB216" s="174"/>
      <x:c r="CC216" s="174"/>
      <x:c r="CD216" s="174"/>
      <x:c r="CE216" s="174"/>
      <x:c r="CF216" s="174"/>
      <x:c r="CG216" s="174"/>
      <x:c r="CH216" s="174"/>
      <x:c r="CI216" s="179"/>
      <x:c r="CJ216" s="174"/>
      <x:c r="CK216" s="174"/>
      <x:c r="CL216" s="174"/>
      <x:c r="CM216" s="174"/>
      <x:c r="CN216" s="174"/>
      <x:c r="CO216" s="177"/>
      <x:c r="CP216" s="174"/>
      <x:c r="CQ216" s="174"/>
      <x:c r="CR216" s="174"/>
      <x:c r="CS216" s="174"/>
      <x:c r="CT216" s="174"/>
      <x:c r="CU216" s="176"/>
      <x:c r="CV216" s="176"/>
      <x:c r="CW216" s="176"/>
      <x:c r="CX216" s="176"/>
      <x:c r="CY216" s="176"/>
      <x:c r="CZ216" s="176"/>
      <x:c r="DA216" s="176"/>
      <x:c r="DB216" s="175" t="str">
        <x:f>IF(L216="","",IF(COUNT(CU216:DA216)&lt;7,"",SUM(CU216:DA216)))</x:f>
      </x:c>
      <x:c r="DC216" s="180" t="str">
        <x:f>IF(DB216="","",ROUND(DB216/14*10,1))</x:f>
      </x:c>
      <x:c r="DD216" s="174"/>
      <x:c r="DE216" s="175" t="str">
        <x:f>IF(L216="","",IF(DC216="","Pending",IF(DD216="Yes","CONDITIONAL — safety override",IF(DC216&gt;=8,"HIGH",IF(DC216&gt;=5,"CONDITIONAL","LOW")))))</x:f>
      </x:c>
      <x:c r="DF216" s="174"/>
      <x:c r="DG216" s="174"/>
      <x:c r="DH216" s="174"/>
      <x:c r="DI216" s="174"/>
      <x:c r="DJ216" s="174"/>
      <x:c r="DK216" s="174"/>
      <x:c r="DL216" s="174"/>
      <x:c r="DM216" s="174"/>
      <x:c r="DN216" s="174"/>
      <x:c r="DO216" s="174"/>
      <x:c r="DP216" s="174"/>
      <x:c r="DQ216" s="174"/>
      <x:c r="DR216" s="174"/>
      <x:c r="DS216" s="174"/>
      <x:c r="DT216" s="174"/>
      <x:c r="DU216" s="174"/>
      <x:c r="DV216" s="174"/>
      <x:c r="DW216" s="174"/>
      <x:c r="DX216" s="174"/>
      <x:c r="DY216" s="174"/>
      <x:c r="DZ216" s="174"/>
      <x:c r="EA216" s="174"/>
      <x:c r="EB216" s="175" t="str">
        <x:f>IF(L216="","",IF(AND(F216="Claim-ready",CJ216="Yes",CL216="Yes",DZ216&lt;&gt;""),"Yes","No / Pending"))</x:f>
      </x:c>
      <x:c r="EC216" s="174"/>
      <x:c r="ED216" s="174"/>
      <x:c r="EE216" s="174"/>
      <x:c r="EF216" s="174"/>
      <x:c r="EG216" s="174"/>
      <x:c r="EH216" s="177"/>
      <x:c r="EI216" s="174"/>
      <x:c r="EJ216" s="174"/>
      <x:c r="EK216" s="174"/>
      <x:c r="EL216" s="177"/>
      <x:c r="EM216" s="174"/>
      <x:c r="EN216" s="181" t="str">
        <x:f>IF(L216="","",(IF(N216&lt;&gt;"",1,0)+IF(O216&lt;&gt;"",1,0)+IF(AJ216&lt;&gt;"",1,0)+IF(AU216&lt;&gt;"",1,0)+IF(BE216&lt;&gt;"",1,0)+IF(CF216&lt;&gt;"",1,0)+IF(CJ216="Yes",1,0)+IF(CL216="Yes",1,0)+IF(DE216&lt;&gt;"Pending",1,0)+IF(F216&lt;&gt;"",1,0)+IF(DZ216&lt;&gt;"",1,0)+IF(EI216&lt;&gt;"",1,0))/12)</x:f>
      </x:c>
    </x:row>
    <x:row r="217">
      <x:c r="A217" s="175" t="str">
        <x:f>IF(L217="","","EV-"&amp;TEXT(ROW()-3,"0000"))</x:f>
      </x:c>
      <x:c r="B217" s="174"/>
      <x:c r="C217" s="175" t="str">
        <x:f>IF(L217="","",IF(OR(CM217="Retracted",CN217="Retracted",F217="Not used"),"🔴 Do not use for conclusion",IF(OR(R217="Official / Institutional",I217="Official / contextual"),"🔵 Official / contextual",IF(OR(I217="Definition",I217="Framework",I217="Paradigm shift"),"🟣 Conceptual key source",IF(AND(CJ217="Yes",CL217="Yes",OR(CG217="High",CG217="Moderate"),CH217&lt;&gt;"High",CH217&lt;&gt;"Critical",F217="Claim-ready"),"🟢 Claim-ready","🟡 Caution / context")))))</x:f>
      </x:c>
      <x:c r="D217" s="174"/>
      <x:c r="E217" s="174"/>
      <x:c r="F217" s="174"/>
      <x:c r="G217" s="174"/>
      <x:c r="H217" s="174"/>
      <x:c r="I217" s="174"/>
      <x:c r="J217" s="174"/>
      <x:c r="K217" s="174"/>
      <x:c r="L217" s="174"/>
      <x:c r="M217" s="174"/>
      <x:c r="N217" s="174"/>
      <x:c r="O217" s="176"/>
      <x:c r="P217" s="174"/>
      <x:c r="Q217" s="174"/>
      <x:c r="R217" s="174"/>
      <x:c r="S217" s="174"/>
      <x:c r="T217" s="174"/>
      <x:c r="U217" s="174"/>
      <x:c r="V217" s="174"/>
      <x:c r="W217" s="175" t="str">
        <x:f>IF(V217="","",LOWER(SUBSTITUTE(SUBSTITUTE(SUBSTITUTE(SUBSTITUTE(TRIM(V217),"https://doi.org/",""),"http://doi.org/",""),"https://dx.doi.org/",""),"doi:","")))</x:f>
      </x:c>
      <x:c r="X217" s="174"/>
      <x:c r="Y217" s="174"/>
      <x:c r="Z217" s="174"/>
      <x:c r="AA217" s="174"/>
      <x:c r="AB217" s="174"/>
      <x:c r="AC217" s="174"/>
      <x:c r="AD217" s="177"/>
      <x:c r="AE217" s="177"/>
      <x:c r="AF217" s="174"/>
      <x:c r="AG217" s="174"/>
      <x:c r="AH217" s="174"/>
      <x:c r="AI217" s="174"/>
      <x:c r="AJ217" s="174"/>
      <x:c r="AK217" s="175" t="str">
        <x:f>IF(AJ217="","",IF(OR(LOWER(AJ217)="brazil",LOWER(AJ217)="brasil"),"Yes","No"))</x:f>
      </x:c>
      <x:c r="AL217" s="174"/>
      <x:c r="AM217" s="174"/>
      <x:c r="AN217" s="174"/>
      <x:c r="AO217" s="178"/>
      <x:c r="AP217" s="174"/>
      <x:c r="AQ217" s="174"/>
      <x:c r="AR217" s="174"/>
      <x:c r="AS217" s="174"/>
      <x:c r="AT217" s="174"/>
      <x:c r="AU217" s="174"/>
      <x:c r="AV217" s="174"/>
      <x:c r="AW217" s="174"/>
      <x:c r="AX217" s="174"/>
      <x:c r="AY217" s="174"/>
      <x:c r="AZ217" s="174"/>
      <x:c r="BA217" s="174"/>
      <x:c r="BB217" s="174"/>
      <x:c r="BC217" s="174"/>
      <x:c r="BD217" s="174"/>
      <x:c r="BE217" s="174"/>
      <x:c r="BF217" s="174"/>
      <x:c r="BG217" s="174"/>
      <x:c r="BH217" s="174"/>
      <x:c r="BI217" s="174"/>
      <x:c r="BJ217" s="174"/>
      <x:c r="BK217" s="174"/>
      <x:c r="BL217" s="174"/>
      <x:c r="BM217" s="174"/>
      <x:c r="BN217" s="174"/>
      <x:c r="BO217" s="174"/>
      <x:c r="BP217" s="174"/>
      <x:c r="BQ217" s="174"/>
      <x:c r="BR217" s="174"/>
      <x:c r="BS217" s="174"/>
      <x:c r="BT217" s="174"/>
      <x:c r="BU217" s="174"/>
      <x:c r="BV217" s="174"/>
      <x:c r="BW217" s="174"/>
      <x:c r="BX217" s="174"/>
      <x:c r="BY217" s="174"/>
      <x:c r="BZ217" s="174"/>
      <x:c r="CA217" s="174"/>
      <x:c r="CB217" s="174"/>
      <x:c r="CC217" s="174"/>
      <x:c r="CD217" s="174"/>
      <x:c r="CE217" s="174"/>
      <x:c r="CF217" s="174"/>
      <x:c r="CG217" s="174"/>
      <x:c r="CH217" s="174"/>
      <x:c r="CI217" s="179"/>
      <x:c r="CJ217" s="174"/>
      <x:c r="CK217" s="174"/>
      <x:c r="CL217" s="174"/>
      <x:c r="CM217" s="174"/>
      <x:c r="CN217" s="174"/>
      <x:c r="CO217" s="177"/>
      <x:c r="CP217" s="174"/>
      <x:c r="CQ217" s="174"/>
      <x:c r="CR217" s="174"/>
      <x:c r="CS217" s="174"/>
      <x:c r="CT217" s="174"/>
      <x:c r="CU217" s="176"/>
      <x:c r="CV217" s="176"/>
      <x:c r="CW217" s="176"/>
      <x:c r="CX217" s="176"/>
      <x:c r="CY217" s="176"/>
      <x:c r="CZ217" s="176"/>
      <x:c r="DA217" s="176"/>
      <x:c r="DB217" s="175" t="str">
        <x:f>IF(L217="","",IF(COUNT(CU217:DA217)&lt;7,"",SUM(CU217:DA217)))</x:f>
      </x:c>
      <x:c r="DC217" s="180" t="str">
        <x:f>IF(DB217="","",ROUND(DB217/14*10,1))</x:f>
      </x:c>
      <x:c r="DD217" s="174"/>
      <x:c r="DE217" s="175" t="str">
        <x:f>IF(L217="","",IF(DC217="","Pending",IF(DD217="Yes","CONDITIONAL — safety override",IF(DC217&gt;=8,"HIGH",IF(DC217&gt;=5,"CONDITIONAL","LOW")))))</x:f>
      </x:c>
      <x:c r="DF217" s="174"/>
      <x:c r="DG217" s="174"/>
      <x:c r="DH217" s="174"/>
      <x:c r="DI217" s="174"/>
      <x:c r="DJ217" s="174"/>
      <x:c r="DK217" s="174"/>
      <x:c r="DL217" s="174"/>
      <x:c r="DM217" s="174"/>
      <x:c r="DN217" s="174"/>
      <x:c r="DO217" s="174"/>
      <x:c r="DP217" s="174"/>
      <x:c r="DQ217" s="174"/>
      <x:c r="DR217" s="174"/>
      <x:c r="DS217" s="174"/>
      <x:c r="DT217" s="174"/>
      <x:c r="DU217" s="174"/>
      <x:c r="DV217" s="174"/>
      <x:c r="DW217" s="174"/>
      <x:c r="DX217" s="174"/>
      <x:c r="DY217" s="174"/>
      <x:c r="DZ217" s="174"/>
      <x:c r="EA217" s="174"/>
      <x:c r="EB217" s="175" t="str">
        <x:f>IF(L217="","",IF(AND(F217="Claim-ready",CJ217="Yes",CL217="Yes",DZ217&lt;&gt;""),"Yes","No / Pending"))</x:f>
      </x:c>
      <x:c r="EC217" s="174"/>
      <x:c r="ED217" s="174"/>
      <x:c r="EE217" s="174"/>
      <x:c r="EF217" s="174"/>
      <x:c r="EG217" s="174"/>
      <x:c r="EH217" s="177"/>
      <x:c r="EI217" s="174"/>
      <x:c r="EJ217" s="174"/>
      <x:c r="EK217" s="174"/>
      <x:c r="EL217" s="177"/>
      <x:c r="EM217" s="174"/>
      <x:c r="EN217" s="181" t="str">
        <x:f>IF(L217="","",(IF(N217&lt;&gt;"",1,0)+IF(O217&lt;&gt;"",1,0)+IF(AJ217&lt;&gt;"",1,0)+IF(AU217&lt;&gt;"",1,0)+IF(BE217&lt;&gt;"",1,0)+IF(CF217&lt;&gt;"",1,0)+IF(CJ217="Yes",1,0)+IF(CL217="Yes",1,0)+IF(DE217&lt;&gt;"Pending",1,0)+IF(F217&lt;&gt;"",1,0)+IF(DZ217&lt;&gt;"",1,0)+IF(EI217&lt;&gt;"",1,0))/12)</x:f>
      </x:c>
    </x:row>
    <x:row r="218">
      <x:c r="A218" s="175" t="str">
        <x:f>IF(L218="","","EV-"&amp;TEXT(ROW()-3,"0000"))</x:f>
      </x:c>
      <x:c r="B218" s="174"/>
      <x:c r="C218" s="175" t="str">
        <x:f>IF(L218="","",IF(OR(CM218="Retracted",CN218="Retracted",F218="Not used"),"🔴 Do not use for conclusion",IF(OR(R218="Official / Institutional",I218="Official / contextual"),"🔵 Official / contextual",IF(OR(I218="Definition",I218="Framework",I218="Paradigm shift"),"🟣 Conceptual key source",IF(AND(CJ218="Yes",CL218="Yes",OR(CG218="High",CG218="Moderate"),CH218&lt;&gt;"High",CH218&lt;&gt;"Critical",F218="Claim-ready"),"🟢 Claim-ready","🟡 Caution / context")))))</x:f>
      </x:c>
      <x:c r="D218" s="174"/>
      <x:c r="E218" s="174"/>
      <x:c r="F218" s="174"/>
      <x:c r="G218" s="174"/>
      <x:c r="H218" s="174"/>
      <x:c r="I218" s="174"/>
      <x:c r="J218" s="174"/>
      <x:c r="K218" s="174"/>
      <x:c r="L218" s="174"/>
      <x:c r="M218" s="174"/>
      <x:c r="N218" s="174"/>
      <x:c r="O218" s="176"/>
      <x:c r="P218" s="174"/>
      <x:c r="Q218" s="174"/>
      <x:c r="R218" s="174"/>
      <x:c r="S218" s="174"/>
      <x:c r="T218" s="174"/>
      <x:c r="U218" s="174"/>
      <x:c r="V218" s="174"/>
      <x:c r="W218" s="175" t="str">
        <x:f>IF(V218="","",LOWER(SUBSTITUTE(SUBSTITUTE(SUBSTITUTE(SUBSTITUTE(TRIM(V218),"https://doi.org/",""),"http://doi.org/",""),"https://dx.doi.org/",""),"doi:","")))</x:f>
      </x:c>
      <x:c r="X218" s="174"/>
      <x:c r="Y218" s="174"/>
      <x:c r="Z218" s="174"/>
      <x:c r="AA218" s="174"/>
      <x:c r="AB218" s="174"/>
      <x:c r="AC218" s="174"/>
      <x:c r="AD218" s="177"/>
      <x:c r="AE218" s="177"/>
      <x:c r="AF218" s="174"/>
      <x:c r="AG218" s="174"/>
      <x:c r="AH218" s="174"/>
      <x:c r="AI218" s="174"/>
      <x:c r="AJ218" s="174"/>
      <x:c r="AK218" s="175" t="str">
        <x:f>IF(AJ218="","",IF(OR(LOWER(AJ218)="brazil",LOWER(AJ218)="brasil"),"Yes","No"))</x:f>
      </x:c>
      <x:c r="AL218" s="174"/>
      <x:c r="AM218" s="174"/>
      <x:c r="AN218" s="174"/>
      <x:c r="AO218" s="178"/>
      <x:c r="AP218" s="174"/>
      <x:c r="AQ218" s="174"/>
      <x:c r="AR218" s="174"/>
      <x:c r="AS218" s="174"/>
      <x:c r="AT218" s="174"/>
      <x:c r="AU218" s="174"/>
      <x:c r="AV218" s="174"/>
      <x:c r="AW218" s="174"/>
      <x:c r="AX218" s="174"/>
      <x:c r="AY218" s="174"/>
      <x:c r="AZ218" s="174"/>
      <x:c r="BA218" s="174"/>
      <x:c r="BB218" s="174"/>
      <x:c r="BC218" s="174"/>
      <x:c r="BD218" s="174"/>
      <x:c r="BE218" s="174"/>
      <x:c r="BF218" s="174"/>
      <x:c r="BG218" s="174"/>
      <x:c r="BH218" s="174"/>
      <x:c r="BI218" s="174"/>
      <x:c r="BJ218" s="174"/>
      <x:c r="BK218" s="174"/>
      <x:c r="BL218" s="174"/>
      <x:c r="BM218" s="174"/>
      <x:c r="BN218" s="174"/>
      <x:c r="BO218" s="174"/>
      <x:c r="BP218" s="174"/>
      <x:c r="BQ218" s="174"/>
      <x:c r="BR218" s="174"/>
      <x:c r="BS218" s="174"/>
      <x:c r="BT218" s="174"/>
      <x:c r="BU218" s="174"/>
      <x:c r="BV218" s="174"/>
      <x:c r="BW218" s="174"/>
      <x:c r="BX218" s="174"/>
      <x:c r="BY218" s="174"/>
      <x:c r="BZ218" s="174"/>
      <x:c r="CA218" s="174"/>
      <x:c r="CB218" s="174"/>
      <x:c r="CC218" s="174"/>
      <x:c r="CD218" s="174"/>
      <x:c r="CE218" s="174"/>
      <x:c r="CF218" s="174"/>
      <x:c r="CG218" s="174"/>
      <x:c r="CH218" s="174"/>
      <x:c r="CI218" s="179"/>
      <x:c r="CJ218" s="174"/>
      <x:c r="CK218" s="174"/>
      <x:c r="CL218" s="174"/>
      <x:c r="CM218" s="174"/>
      <x:c r="CN218" s="174"/>
      <x:c r="CO218" s="177"/>
      <x:c r="CP218" s="174"/>
      <x:c r="CQ218" s="174"/>
      <x:c r="CR218" s="174"/>
      <x:c r="CS218" s="174"/>
      <x:c r="CT218" s="174"/>
      <x:c r="CU218" s="176"/>
      <x:c r="CV218" s="176"/>
      <x:c r="CW218" s="176"/>
      <x:c r="CX218" s="176"/>
      <x:c r="CY218" s="176"/>
      <x:c r="CZ218" s="176"/>
      <x:c r="DA218" s="176"/>
      <x:c r="DB218" s="175" t="str">
        <x:f>IF(L218="","",IF(COUNT(CU218:DA218)&lt;7,"",SUM(CU218:DA218)))</x:f>
      </x:c>
      <x:c r="DC218" s="180" t="str">
        <x:f>IF(DB218="","",ROUND(DB218/14*10,1))</x:f>
      </x:c>
      <x:c r="DD218" s="174"/>
      <x:c r="DE218" s="175" t="str">
        <x:f>IF(L218="","",IF(DC218="","Pending",IF(DD218="Yes","CONDITIONAL — safety override",IF(DC218&gt;=8,"HIGH",IF(DC218&gt;=5,"CONDITIONAL","LOW")))))</x:f>
      </x:c>
      <x:c r="DF218" s="174"/>
      <x:c r="DG218" s="174"/>
      <x:c r="DH218" s="174"/>
      <x:c r="DI218" s="174"/>
      <x:c r="DJ218" s="174"/>
      <x:c r="DK218" s="174"/>
      <x:c r="DL218" s="174"/>
      <x:c r="DM218" s="174"/>
      <x:c r="DN218" s="174"/>
      <x:c r="DO218" s="174"/>
      <x:c r="DP218" s="174"/>
      <x:c r="DQ218" s="174"/>
      <x:c r="DR218" s="174"/>
      <x:c r="DS218" s="174"/>
      <x:c r="DT218" s="174"/>
      <x:c r="DU218" s="174"/>
      <x:c r="DV218" s="174"/>
      <x:c r="DW218" s="174"/>
      <x:c r="DX218" s="174"/>
      <x:c r="DY218" s="174"/>
      <x:c r="DZ218" s="174"/>
      <x:c r="EA218" s="174"/>
      <x:c r="EB218" s="175" t="str">
        <x:f>IF(L218="","",IF(AND(F218="Claim-ready",CJ218="Yes",CL218="Yes",DZ218&lt;&gt;""),"Yes","No / Pending"))</x:f>
      </x:c>
      <x:c r="EC218" s="174"/>
      <x:c r="ED218" s="174"/>
      <x:c r="EE218" s="174"/>
      <x:c r="EF218" s="174"/>
      <x:c r="EG218" s="174"/>
      <x:c r="EH218" s="177"/>
      <x:c r="EI218" s="174"/>
      <x:c r="EJ218" s="174"/>
      <x:c r="EK218" s="174"/>
      <x:c r="EL218" s="177"/>
      <x:c r="EM218" s="174"/>
      <x:c r="EN218" s="181" t="str">
        <x:f>IF(L218="","",(IF(N218&lt;&gt;"",1,0)+IF(O218&lt;&gt;"",1,0)+IF(AJ218&lt;&gt;"",1,0)+IF(AU218&lt;&gt;"",1,0)+IF(BE218&lt;&gt;"",1,0)+IF(CF218&lt;&gt;"",1,0)+IF(CJ218="Yes",1,0)+IF(CL218="Yes",1,0)+IF(DE218&lt;&gt;"Pending",1,0)+IF(F218&lt;&gt;"",1,0)+IF(DZ218&lt;&gt;"",1,0)+IF(EI218&lt;&gt;"",1,0))/12)</x:f>
      </x:c>
    </x:row>
    <x:row r="219">
      <x:c r="A219" s="175" t="str">
        <x:f>IF(L219="","","EV-"&amp;TEXT(ROW()-3,"0000"))</x:f>
      </x:c>
      <x:c r="B219" s="174"/>
      <x:c r="C219" s="175" t="str">
        <x:f>IF(L219="","",IF(OR(CM219="Retracted",CN219="Retracted",F219="Not used"),"🔴 Do not use for conclusion",IF(OR(R219="Official / Institutional",I219="Official / contextual"),"🔵 Official / contextual",IF(OR(I219="Definition",I219="Framework",I219="Paradigm shift"),"🟣 Conceptual key source",IF(AND(CJ219="Yes",CL219="Yes",OR(CG219="High",CG219="Moderate"),CH219&lt;&gt;"High",CH219&lt;&gt;"Critical",F219="Claim-ready"),"🟢 Claim-ready","🟡 Caution / context")))))</x:f>
      </x:c>
      <x:c r="D219" s="174"/>
      <x:c r="E219" s="174"/>
      <x:c r="F219" s="174"/>
      <x:c r="G219" s="174"/>
      <x:c r="H219" s="174"/>
      <x:c r="I219" s="174"/>
      <x:c r="J219" s="174"/>
      <x:c r="K219" s="174"/>
      <x:c r="L219" s="174"/>
      <x:c r="M219" s="174"/>
      <x:c r="N219" s="174"/>
      <x:c r="O219" s="176"/>
      <x:c r="P219" s="174"/>
      <x:c r="Q219" s="174"/>
      <x:c r="R219" s="174"/>
      <x:c r="S219" s="174"/>
      <x:c r="T219" s="174"/>
      <x:c r="U219" s="174"/>
      <x:c r="V219" s="174"/>
      <x:c r="W219" s="175" t="str">
        <x:f>IF(V219="","",LOWER(SUBSTITUTE(SUBSTITUTE(SUBSTITUTE(SUBSTITUTE(TRIM(V219),"https://doi.org/",""),"http://doi.org/",""),"https://dx.doi.org/",""),"doi:","")))</x:f>
      </x:c>
      <x:c r="X219" s="174"/>
      <x:c r="Y219" s="174"/>
      <x:c r="Z219" s="174"/>
      <x:c r="AA219" s="174"/>
      <x:c r="AB219" s="174"/>
      <x:c r="AC219" s="174"/>
      <x:c r="AD219" s="177"/>
      <x:c r="AE219" s="177"/>
      <x:c r="AF219" s="174"/>
      <x:c r="AG219" s="174"/>
      <x:c r="AH219" s="174"/>
      <x:c r="AI219" s="174"/>
      <x:c r="AJ219" s="174"/>
      <x:c r="AK219" s="175" t="str">
        <x:f>IF(AJ219="","",IF(OR(LOWER(AJ219)="brazil",LOWER(AJ219)="brasil"),"Yes","No"))</x:f>
      </x:c>
      <x:c r="AL219" s="174"/>
      <x:c r="AM219" s="174"/>
      <x:c r="AN219" s="174"/>
      <x:c r="AO219" s="178"/>
      <x:c r="AP219" s="174"/>
      <x:c r="AQ219" s="174"/>
      <x:c r="AR219" s="174"/>
      <x:c r="AS219" s="174"/>
      <x:c r="AT219" s="174"/>
      <x:c r="AU219" s="174"/>
      <x:c r="AV219" s="174"/>
      <x:c r="AW219" s="174"/>
      <x:c r="AX219" s="174"/>
      <x:c r="AY219" s="174"/>
      <x:c r="AZ219" s="174"/>
      <x:c r="BA219" s="174"/>
      <x:c r="BB219" s="174"/>
      <x:c r="BC219" s="174"/>
      <x:c r="BD219" s="174"/>
      <x:c r="BE219" s="174"/>
      <x:c r="BF219" s="174"/>
      <x:c r="BG219" s="174"/>
      <x:c r="BH219" s="174"/>
      <x:c r="BI219" s="174"/>
      <x:c r="BJ219" s="174"/>
      <x:c r="BK219" s="174"/>
      <x:c r="BL219" s="174"/>
      <x:c r="BM219" s="174"/>
      <x:c r="BN219" s="174"/>
      <x:c r="BO219" s="174"/>
      <x:c r="BP219" s="174"/>
      <x:c r="BQ219" s="174"/>
      <x:c r="BR219" s="174"/>
      <x:c r="BS219" s="174"/>
      <x:c r="BT219" s="174"/>
      <x:c r="BU219" s="174"/>
      <x:c r="BV219" s="174"/>
      <x:c r="BW219" s="174"/>
      <x:c r="BX219" s="174"/>
      <x:c r="BY219" s="174"/>
      <x:c r="BZ219" s="174"/>
      <x:c r="CA219" s="174"/>
      <x:c r="CB219" s="174"/>
      <x:c r="CC219" s="174"/>
      <x:c r="CD219" s="174"/>
      <x:c r="CE219" s="174"/>
      <x:c r="CF219" s="174"/>
      <x:c r="CG219" s="174"/>
      <x:c r="CH219" s="174"/>
      <x:c r="CI219" s="179"/>
      <x:c r="CJ219" s="174"/>
      <x:c r="CK219" s="174"/>
      <x:c r="CL219" s="174"/>
      <x:c r="CM219" s="174"/>
      <x:c r="CN219" s="174"/>
      <x:c r="CO219" s="177"/>
      <x:c r="CP219" s="174"/>
      <x:c r="CQ219" s="174"/>
      <x:c r="CR219" s="174"/>
      <x:c r="CS219" s="174"/>
      <x:c r="CT219" s="174"/>
      <x:c r="CU219" s="176"/>
      <x:c r="CV219" s="176"/>
      <x:c r="CW219" s="176"/>
      <x:c r="CX219" s="176"/>
      <x:c r="CY219" s="176"/>
      <x:c r="CZ219" s="176"/>
      <x:c r="DA219" s="176"/>
      <x:c r="DB219" s="175" t="str">
        <x:f>IF(L219="","",IF(COUNT(CU219:DA219)&lt;7,"",SUM(CU219:DA219)))</x:f>
      </x:c>
      <x:c r="DC219" s="180" t="str">
        <x:f>IF(DB219="","",ROUND(DB219/14*10,1))</x:f>
      </x:c>
      <x:c r="DD219" s="174"/>
      <x:c r="DE219" s="175" t="str">
        <x:f>IF(L219="","",IF(DC219="","Pending",IF(DD219="Yes","CONDITIONAL — safety override",IF(DC219&gt;=8,"HIGH",IF(DC219&gt;=5,"CONDITIONAL","LOW")))))</x:f>
      </x:c>
      <x:c r="DF219" s="174"/>
      <x:c r="DG219" s="174"/>
      <x:c r="DH219" s="174"/>
      <x:c r="DI219" s="174"/>
      <x:c r="DJ219" s="174"/>
      <x:c r="DK219" s="174"/>
      <x:c r="DL219" s="174"/>
      <x:c r="DM219" s="174"/>
      <x:c r="DN219" s="174"/>
      <x:c r="DO219" s="174"/>
      <x:c r="DP219" s="174"/>
      <x:c r="DQ219" s="174"/>
      <x:c r="DR219" s="174"/>
      <x:c r="DS219" s="174"/>
      <x:c r="DT219" s="174"/>
      <x:c r="DU219" s="174"/>
      <x:c r="DV219" s="174"/>
      <x:c r="DW219" s="174"/>
      <x:c r="DX219" s="174"/>
      <x:c r="DY219" s="174"/>
      <x:c r="DZ219" s="174"/>
      <x:c r="EA219" s="174"/>
      <x:c r="EB219" s="175" t="str">
        <x:f>IF(L219="","",IF(AND(F219="Claim-ready",CJ219="Yes",CL219="Yes",DZ219&lt;&gt;""),"Yes","No / Pending"))</x:f>
      </x:c>
      <x:c r="EC219" s="174"/>
      <x:c r="ED219" s="174"/>
      <x:c r="EE219" s="174"/>
      <x:c r="EF219" s="174"/>
      <x:c r="EG219" s="174"/>
      <x:c r="EH219" s="177"/>
      <x:c r="EI219" s="174"/>
      <x:c r="EJ219" s="174"/>
      <x:c r="EK219" s="174"/>
      <x:c r="EL219" s="177"/>
      <x:c r="EM219" s="174"/>
      <x:c r="EN219" s="181" t="str">
        <x:f>IF(L219="","",(IF(N219&lt;&gt;"",1,0)+IF(O219&lt;&gt;"",1,0)+IF(AJ219&lt;&gt;"",1,0)+IF(AU219&lt;&gt;"",1,0)+IF(BE219&lt;&gt;"",1,0)+IF(CF219&lt;&gt;"",1,0)+IF(CJ219="Yes",1,0)+IF(CL219="Yes",1,0)+IF(DE219&lt;&gt;"Pending",1,0)+IF(F219&lt;&gt;"",1,0)+IF(DZ219&lt;&gt;"",1,0)+IF(EI219&lt;&gt;"",1,0))/12)</x:f>
      </x:c>
    </x:row>
    <x:row r="220">
      <x:c r="A220" s="175" t="str">
        <x:f>IF(L220="","","EV-"&amp;TEXT(ROW()-3,"0000"))</x:f>
      </x:c>
      <x:c r="B220" s="174"/>
      <x:c r="C220" s="175" t="str">
        <x:f>IF(L220="","",IF(OR(CM220="Retracted",CN220="Retracted",F220="Not used"),"🔴 Do not use for conclusion",IF(OR(R220="Official / Institutional",I220="Official / contextual"),"🔵 Official / contextual",IF(OR(I220="Definition",I220="Framework",I220="Paradigm shift"),"🟣 Conceptual key source",IF(AND(CJ220="Yes",CL220="Yes",OR(CG220="High",CG220="Moderate"),CH220&lt;&gt;"High",CH220&lt;&gt;"Critical",F220="Claim-ready"),"🟢 Claim-ready","🟡 Caution / context")))))</x:f>
      </x:c>
      <x:c r="D220" s="174"/>
      <x:c r="E220" s="174"/>
      <x:c r="F220" s="174"/>
      <x:c r="G220" s="174"/>
      <x:c r="H220" s="174"/>
      <x:c r="I220" s="174"/>
      <x:c r="J220" s="174"/>
      <x:c r="K220" s="174"/>
      <x:c r="L220" s="174"/>
      <x:c r="M220" s="174"/>
      <x:c r="N220" s="174"/>
      <x:c r="O220" s="176"/>
      <x:c r="P220" s="174"/>
      <x:c r="Q220" s="174"/>
      <x:c r="R220" s="174"/>
      <x:c r="S220" s="174"/>
      <x:c r="T220" s="174"/>
      <x:c r="U220" s="174"/>
      <x:c r="V220" s="174"/>
      <x:c r="W220" s="175" t="str">
        <x:f>IF(V220="","",LOWER(SUBSTITUTE(SUBSTITUTE(SUBSTITUTE(SUBSTITUTE(TRIM(V220),"https://doi.org/",""),"http://doi.org/",""),"https://dx.doi.org/",""),"doi:","")))</x:f>
      </x:c>
      <x:c r="X220" s="174"/>
      <x:c r="Y220" s="174"/>
      <x:c r="Z220" s="174"/>
      <x:c r="AA220" s="174"/>
      <x:c r="AB220" s="174"/>
      <x:c r="AC220" s="174"/>
      <x:c r="AD220" s="177"/>
      <x:c r="AE220" s="177"/>
      <x:c r="AF220" s="174"/>
      <x:c r="AG220" s="174"/>
      <x:c r="AH220" s="174"/>
      <x:c r="AI220" s="174"/>
      <x:c r="AJ220" s="174"/>
      <x:c r="AK220" s="175" t="str">
        <x:f>IF(AJ220="","",IF(OR(LOWER(AJ220)="brazil",LOWER(AJ220)="brasil"),"Yes","No"))</x:f>
      </x:c>
      <x:c r="AL220" s="174"/>
      <x:c r="AM220" s="174"/>
      <x:c r="AN220" s="174"/>
      <x:c r="AO220" s="178"/>
      <x:c r="AP220" s="174"/>
      <x:c r="AQ220" s="174"/>
      <x:c r="AR220" s="174"/>
      <x:c r="AS220" s="174"/>
      <x:c r="AT220" s="174"/>
      <x:c r="AU220" s="174"/>
      <x:c r="AV220" s="174"/>
      <x:c r="AW220" s="174"/>
      <x:c r="AX220" s="174"/>
      <x:c r="AY220" s="174"/>
      <x:c r="AZ220" s="174"/>
      <x:c r="BA220" s="174"/>
      <x:c r="BB220" s="174"/>
      <x:c r="BC220" s="174"/>
      <x:c r="BD220" s="174"/>
      <x:c r="BE220" s="174"/>
      <x:c r="BF220" s="174"/>
      <x:c r="BG220" s="174"/>
      <x:c r="BH220" s="174"/>
      <x:c r="BI220" s="174"/>
      <x:c r="BJ220" s="174"/>
      <x:c r="BK220" s="174"/>
      <x:c r="BL220" s="174"/>
      <x:c r="BM220" s="174"/>
      <x:c r="BN220" s="174"/>
      <x:c r="BO220" s="174"/>
      <x:c r="BP220" s="174"/>
      <x:c r="BQ220" s="174"/>
      <x:c r="BR220" s="174"/>
      <x:c r="BS220" s="174"/>
      <x:c r="BT220" s="174"/>
      <x:c r="BU220" s="174"/>
      <x:c r="BV220" s="174"/>
      <x:c r="BW220" s="174"/>
      <x:c r="BX220" s="174"/>
      <x:c r="BY220" s="174"/>
      <x:c r="BZ220" s="174"/>
      <x:c r="CA220" s="174"/>
      <x:c r="CB220" s="174"/>
      <x:c r="CC220" s="174"/>
      <x:c r="CD220" s="174"/>
      <x:c r="CE220" s="174"/>
      <x:c r="CF220" s="174"/>
      <x:c r="CG220" s="174"/>
      <x:c r="CH220" s="174"/>
      <x:c r="CI220" s="179"/>
      <x:c r="CJ220" s="174"/>
      <x:c r="CK220" s="174"/>
      <x:c r="CL220" s="174"/>
      <x:c r="CM220" s="174"/>
      <x:c r="CN220" s="174"/>
      <x:c r="CO220" s="177"/>
      <x:c r="CP220" s="174"/>
      <x:c r="CQ220" s="174"/>
      <x:c r="CR220" s="174"/>
      <x:c r="CS220" s="174"/>
      <x:c r="CT220" s="174"/>
      <x:c r="CU220" s="176"/>
      <x:c r="CV220" s="176"/>
      <x:c r="CW220" s="176"/>
      <x:c r="CX220" s="176"/>
      <x:c r="CY220" s="176"/>
      <x:c r="CZ220" s="176"/>
      <x:c r="DA220" s="176"/>
      <x:c r="DB220" s="175" t="str">
        <x:f>IF(L220="","",IF(COUNT(CU220:DA220)&lt;7,"",SUM(CU220:DA220)))</x:f>
      </x:c>
      <x:c r="DC220" s="180" t="str">
        <x:f>IF(DB220="","",ROUND(DB220/14*10,1))</x:f>
      </x:c>
      <x:c r="DD220" s="174"/>
      <x:c r="DE220" s="175" t="str">
        <x:f>IF(L220="","",IF(DC220="","Pending",IF(DD220="Yes","CONDITIONAL — safety override",IF(DC220&gt;=8,"HIGH",IF(DC220&gt;=5,"CONDITIONAL","LOW")))))</x:f>
      </x:c>
      <x:c r="DF220" s="174"/>
      <x:c r="DG220" s="174"/>
      <x:c r="DH220" s="174"/>
      <x:c r="DI220" s="174"/>
      <x:c r="DJ220" s="174"/>
      <x:c r="DK220" s="174"/>
      <x:c r="DL220" s="174"/>
      <x:c r="DM220" s="174"/>
      <x:c r="DN220" s="174"/>
      <x:c r="DO220" s="174"/>
      <x:c r="DP220" s="174"/>
      <x:c r="DQ220" s="174"/>
      <x:c r="DR220" s="174"/>
      <x:c r="DS220" s="174"/>
      <x:c r="DT220" s="174"/>
      <x:c r="DU220" s="174"/>
      <x:c r="DV220" s="174"/>
      <x:c r="DW220" s="174"/>
      <x:c r="DX220" s="174"/>
      <x:c r="DY220" s="174"/>
      <x:c r="DZ220" s="174"/>
      <x:c r="EA220" s="174"/>
      <x:c r="EB220" s="175" t="str">
        <x:f>IF(L220="","",IF(AND(F220="Claim-ready",CJ220="Yes",CL220="Yes",DZ220&lt;&gt;""),"Yes","No / Pending"))</x:f>
      </x:c>
      <x:c r="EC220" s="174"/>
      <x:c r="ED220" s="174"/>
      <x:c r="EE220" s="174"/>
      <x:c r="EF220" s="174"/>
      <x:c r="EG220" s="174"/>
      <x:c r="EH220" s="177"/>
      <x:c r="EI220" s="174"/>
      <x:c r="EJ220" s="174"/>
      <x:c r="EK220" s="174"/>
      <x:c r="EL220" s="177"/>
      <x:c r="EM220" s="174"/>
      <x:c r="EN220" s="181" t="str">
        <x:f>IF(L220="","",(IF(N220&lt;&gt;"",1,0)+IF(O220&lt;&gt;"",1,0)+IF(AJ220&lt;&gt;"",1,0)+IF(AU220&lt;&gt;"",1,0)+IF(BE220&lt;&gt;"",1,0)+IF(CF220&lt;&gt;"",1,0)+IF(CJ220="Yes",1,0)+IF(CL220="Yes",1,0)+IF(DE220&lt;&gt;"Pending",1,0)+IF(F220&lt;&gt;"",1,0)+IF(DZ220&lt;&gt;"",1,0)+IF(EI220&lt;&gt;"",1,0))/12)</x:f>
      </x:c>
    </x:row>
    <x:row r="221">
      <x:c r="A221" s="175" t="str">
        <x:f>IF(L221="","","EV-"&amp;TEXT(ROW()-3,"0000"))</x:f>
      </x:c>
      <x:c r="B221" s="174"/>
      <x:c r="C221" s="175" t="str">
        <x:f>IF(L221="","",IF(OR(CM221="Retracted",CN221="Retracted",F221="Not used"),"🔴 Do not use for conclusion",IF(OR(R221="Official / Institutional",I221="Official / contextual"),"🔵 Official / contextual",IF(OR(I221="Definition",I221="Framework",I221="Paradigm shift"),"🟣 Conceptual key source",IF(AND(CJ221="Yes",CL221="Yes",OR(CG221="High",CG221="Moderate"),CH221&lt;&gt;"High",CH221&lt;&gt;"Critical",F221="Claim-ready"),"🟢 Claim-ready","🟡 Caution / context")))))</x:f>
      </x:c>
      <x:c r="D221" s="174"/>
      <x:c r="E221" s="174"/>
      <x:c r="F221" s="174"/>
      <x:c r="G221" s="174"/>
      <x:c r="H221" s="174"/>
      <x:c r="I221" s="174"/>
      <x:c r="J221" s="174"/>
      <x:c r="K221" s="174"/>
      <x:c r="L221" s="174"/>
      <x:c r="M221" s="174"/>
      <x:c r="N221" s="174"/>
      <x:c r="O221" s="176"/>
      <x:c r="P221" s="174"/>
      <x:c r="Q221" s="174"/>
      <x:c r="R221" s="174"/>
      <x:c r="S221" s="174"/>
      <x:c r="T221" s="174"/>
      <x:c r="U221" s="174"/>
      <x:c r="V221" s="174"/>
      <x:c r="W221" s="175" t="str">
        <x:f>IF(V221="","",LOWER(SUBSTITUTE(SUBSTITUTE(SUBSTITUTE(SUBSTITUTE(TRIM(V221),"https://doi.org/",""),"http://doi.org/",""),"https://dx.doi.org/",""),"doi:","")))</x:f>
      </x:c>
      <x:c r="X221" s="174"/>
      <x:c r="Y221" s="174"/>
      <x:c r="Z221" s="174"/>
      <x:c r="AA221" s="174"/>
      <x:c r="AB221" s="174"/>
      <x:c r="AC221" s="174"/>
      <x:c r="AD221" s="177"/>
      <x:c r="AE221" s="177"/>
      <x:c r="AF221" s="174"/>
      <x:c r="AG221" s="174"/>
      <x:c r="AH221" s="174"/>
      <x:c r="AI221" s="174"/>
      <x:c r="AJ221" s="174"/>
      <x:c r="AK221" s="175" t="str">
        <x:f>IF(AJ221="","",IF(OR(LOWER(AJ221)="brazil",LOWER(AJ221)="brasil"),"Yes","No"))</x:f>
      </x:c>
      <x:c r="AL221" s="174"/>
      <x:c r="AM221" s="174"/>
      <x:c r="AN221" s="174"/>
      <x:c r="AO221" s="178"/>
      <x:c r="AP221" s="174"/>
      <x:c r="AQ221" s="174"/>
      <x:c r="AR221" s="174"/>
      <x:c r="AS221" s="174"/>
      <x:c r="AT221" s="174"/>
      <x:c r="AU221" s="174"/>
      <x:c r="AV221" s="174"/>
      <x:c r="AW221" s="174"/>
      <x:c r="AX221" s="174"/>
      <x:c r="AY221" s="174"/>
      <x:c r="AZ221" s="174"/>
      <x:c r="BA221" s="174"/>
      <x:c r="BB221" s="174"/>
      <x:c r="BC221" s="174"/>
      <x:c r="BD221" s="174"/>
      <x:c r="BE221" s="174"/>
      <x:c r="BF221" s="174"/>
      <x:c r="BG221" s="174"/>
      <x:c r="BH221" s="174"/>
      <x:c r="BI221" s="174"/>
      <x:c r="BJ221" s="174"/>
      <x:c r="BK221" s="174"/>
      <x:c r="BL221" s="174"/>
      <x:c r="BM221" s="174"/>
      <x:c r="BN221" s="174"/>
      <x:c r="BO221" s="174"/>
      <x:c r="BP221" s="174"/>
      <x:c r="BQ221" s="174"/>
      <x:c r="BR221" s="174"/>
      <x:c r="BS221" s="174"/>
      <x:c r="BT221" s="174"/>
      <x:c r="BU221" s="174"/>
      <x:c r="BV221" s="174"/>
      <x:c r="BW221" s="174"/>
      <x:c r="BX221" s="174"/>
      <x:c r="BY221" s="174"/>
      <x:c r="BZ221" s="174"/>
      <x:c r="CA221" s="174"/>
      <x:c r="CB221" s="174"/>
      <x:c r="CC221" s="174"/>
      <x:c r="CD221" s="174"/>
      <x:c r="CE221" s="174"/>
      <x:c r="CF221" s="174"/>
      <x:c r="CG221" s="174"/>
      <x:c r="CH221" s="174"/>
      <x:c r="CI221" s="179"/>
      <x:c r="CJ221" s="174"/>
      <x:c r="CK221" s="174"/>
      <x:c r="CL221" s="174"/>
      <x:c r="CM221" s="174"/>
      <x:c r="CN221" s="174"/>
      <x:c r="CO221" s="177"/>
      <x:c r="CP221" s="174"/>
      <x:c r="CQ221" s="174"/>
      <x:c r="CR221" s="174"/>
      <x:c r="CS221" s="174"/>
      <x:c r="CT221" s="174"/>
      <x:c r="CU221" s="176"/>
      <x:c r="CV221" s="176"/>
      <x:c r="CW221" s="176"/>
      <x:c r="CX221" s="176"/>
      <x:c r="CY221" s="176"/>
      <x:c r="CZ221" s="176"/>
      <x:c r="DA221" s="176"/>
      <x:c r="DB221" s="175" t="str">
        <x:f>IF(L221="","",IF(COUNT(CU221:DA221)&lt;7,"",SUM(CU221:DA221)))</x:f>
      </x:c>
      <x:c r="DC221" s="180" t="str">
        <x:f>IF(DB221="","",ROUND(DB221/14*10,1))</x:f>
      </x:c>
      <x:c r="DD221" s="174"/>
      <x:c r="DE221" s="175" t="str">
        <x:f>IF(L221="","",IF(DC221="","Pending",IF(DD221="Yes","CONDITIONAL — safety override",IF(DC221&gt;=8,"HIGH",IF(DC221&gt;=5,"CONDITIONAL","LOW")))))</x:f>
      </x:c>
      <x:c r="DF221" s="174"/>
      <x:c r="DG221" s="174"/>
      <x:c r="DH221" s="174"/>
      <x:c r="DI221" s="174"/>
      <x:c r="DJ221" s="174"/>
      <x:c r="DK221" s="174"/>
      <x:c r="DL221" s="174"/>
      <x:c r="DM221" s="174"/>
      <x:c r="DN221" s="174"/>
      <x:c r="DO221" s="174"/>
      <x:c r="DP221" s="174"/>
      <x:c r="DQ221" s="174"/>
      <x:c r="DR221" s="174"/>
      <x:c r="DS221" s="174"/>
      <x:c r="DT221" s="174"/>
      <x:c r="DU221" s="174"/>
      <x:c r="DV221" s="174"/>
      <x:c r="DW221" s="174"/>
      <x:c r="DX221" s="174"/>
      <x:c r="DY221" s="174"/>
      <x:c r="DZ221" s="174"/>
      <x:c r="EA221" s="174"/>
      <x:c r="EB221" s="175" t="str">
        <x:f>IF(L221="","",IF(AND(F221="Claim-ready",CJ221="Yes",CL221="Yes",DZ221&lt;&gt;""),"Yes","No / Pending"))</x:f>
      </x:c>
      <x:c r="EC221" s="174"/>
      <x:c r="ED221" s="174"/>
      <x:c r="EE221" s="174"/>
      <x:c r="EF221" s="174"/>
      <x:c r="EG221" s="174"/>
      <x:c r="EH221" s="177"/>
      <x:c r="EI221" s="174"/>
      <x:c r="EJ221" s="174"/>
      <x:c r="EK221" s="174"/>
      <x:c r="EL221" s="177"/>
      <x:c r="EM221" s="174"/>
      <x:c r="EN221" s="181" t="str">
        <x:f>IF(L221="","",(IF(N221&lt;&gt;"",1,0)+IF(O221&lt;&gt;"",1,0)+IF(AJ221&lt;&gt;"",1,0)+IF(AU221&lt;&gt;"",1,0)+IF(BE221&lt;&gt;"",1,0)+IF(CF221&lt;&gt;"",1,0)+IF(CJ221="Yes",1,0)+IF(CL221="Yes",1,0)+IF(DE221&lt;&gt;"Pending",1,0)+IF(F221&lt;&gt;"",1,0)+IF(DZ221&lt;&gt;"",1,0)+IF(EI221&lt;&gt;"",1,0))/12)</x:f>
      </x:c>
    </x:row>
    <x:row r="222">
      <x:c r="A222" s="175" t="str">
        <x:f>IF(L222="","","EV-"&amp;TEXT(ROW()-3,"0000"))</x:f>
      </x:c>
      <x:c r="B222" s="174"/>
      <x:c r="C222" s="175" t="str">
        <x:f>IF(L222="","",IF(OR(CM222="Retracted",CN222="Retracted",F222="Not used"),"🔴 Do not use for conclusion",IF(OR(R222="Official / Institutional",I222="Official / contextual"),"🔵 Official / contextual",IF(OR(I222="Definition",I222="Framework",I222="Paradigm shift"),"🟣 Conceptual key source",IF(AND(CJ222="Yes",CL222="Yes",OR(CG222="High",CG222="Moderate"),CH222&lt;&gt;"High",CH222&lt;&gt;"Critical",F222="Claim-ready"),"🟢 Claim-ready","🟡 Caution / context")))))</x:f>
      </x:c>
      <x:c r="D222" s="174"/>
      <x:c r="E222" s="174"/>
      <x:c r="F222" s="174"/>
      <x:c r="G222" s="174"/>
      <x:c r="H222" s="174"/>
      <x:c r="I222" s="174"/>
      <x:c r="J222" s="174"/>
      <x:c r="K222" s="174"/>
      <x:c r="L222" s="174"/>
      <x:c r="M222" s="174"/>
      <x:c r="N222" s="174"/>
      <x:c r="O222" s="176"/>
      <x:c r="P222" s="174"/>
      <x:c r="Q222" s="174"/>
      <x:c r="R222" s="174"/>
      <x:c r="S222" s="174"/>
      <x:c r="T222" s="174"/>
      <x:c r="U222" s="174"/>
      <x:c r="V222" s="174"/>
      <x:c r="W222" s="175" t="str">
        <x:f>IF(V222="","",LOWER(SUBSTITUTE(SUBSTITUTE(SUBSTITUTE(SUBSTITUTE(TRIM(V222),"https://doi.org/",""),"http://doi.org/",""),"https://dx.doi.org/",""),"doi:","")))</x:f>
      </x:c>
      <x:c r="X222" s="174"/>
      <x:c r="Y222" s="174"/>
      <x:c r="Z222" s="174"/>
      <x:c r="AA222" s="174"/>
      <x:c r="AB222" s="174"/>
      <x:c r="AC222" s="174"/>
      <x:c r="AD222" s="177"/>
      <x:c r="AE222" s="177"/>
      <x:c r="AF222" s="174"/>
      <x:c r="AG222" s="174"/>
      <x:c r="AH222" s="174"/>
      <x:c r="AI222" s="174"/>
      <x:c r="AJ222" s="174"/>
      <x:c r="AK222" s="175" t="str">
        <x:f>IF(AJ222="","",IF(OR(LOWER(AJ222)="brazil",LOWER(AJ222)="brasil"),"Yes","No"))</x:f>
      </x:c>
      <x:c r="AL222" s="174"/>
      <x:c r="AM222" s="174"/>
      <x:c r="AN222" s="174"/>
      <x:c r="AO222" s="178"/>
      <x:c r="AP222" s="174"/>
      <x:c r="AQ222" s="174"/>
      <x:c r="AR222" s="174"/>
      <x:c r="AS222" s="174"/>
      <x:c r="AT222" s="174"/>
      <x:c r="AU222" s="174"/>
      <x:c r="AV222" s="174"/>
      <x:c r="AW222" s="174"/>
      <x:c r="AX222" s="174"/>
      <x:c r="AY222" s="174"/>
      <x:c r="AZ222" s="174"/>
      <x:c r="BA222" s="174"/>
      <x:c r="BB222" s="174"/>
      <x:c r="BC222" s="174"/>
      <x:c r="BD222" s="174"/>
      <x:c r="BE222" s="174"/>
      <x:c r="BF222" s="174"/>
      <x:c r="BG222" s="174"/>
      <x:c r="BH222" s="174"/>
      <x:c r="BI222" s="174"/>
      <x:c r="BJ222" s="174"/>
      <x:c r="BK222" s="174"/>
      <x:c r="BL222" s="174"/>
      <x:c r="BM222" s="174"/>
      <x:c r="BN222" s="174"/>
      <x:c r="BO222" s="174"/>
      <x:c r="BP222" s="174"/>
      <x:c r="BQ222" s="174"/>
      <x:c r="BR222" s="174"/>
      <x:c r="BS222" s="174"/>
      <x:c r="BT222" s="174"/>
      <x:c r="BU222" s="174"/>
      <x:c r="BV222" s="174"/>
      <x:c r="BW222" s="174"/>
      <x:c r="BX222" s="174"/>
      <x:c r="BY222" s="174"/>
      <x:c r="BZ222" s="174"/>
      <x:c r="CA222" s="174"/>
      <x:c r="CB222" s="174"/>
      <x:c r="CC222" s="174"/>
      <x:c r="CD222" s="174"/>
      <x:c r="CE222" s="174"/>
      <x:c r="CF222" s="174"/>
      <x:c r="CG222" s="174"/>
      <x:c r="CH222" s="174"/>
      <x:c r="CI222" s="179"/>
      <x:c r="CJ222" s="174"/>
      <x:c r="CK222" s="174"/>
      <x:c r="CL222" s="174"/>
      <x:c r="CM222" s="174"/>
      <x:c r="CN222" s="174"/>
      <x:c r="CO222" s="177"/>
      <x:c r="CP222" s="174"/>
      <x:c r="CQ222" s="174"/>
      <x:c r="CR222" s="174"/>
      <x:c r="CS222" s="174"/>
      <x:c r="CT222" s="174"/>
      <x:c r="CU222" s="176"/>
      <x:c r="CV222" s="176"/>
      <x:c r="CW222" s="176"/>
      <x:c r="CX222" s="176"/>
      <x:c r="CY222" s="176"/>
      <x:c r="CZ222" s="176"/>
      <x:c r="DA222" s="176"/>
      <x:c r="DB222" s="175" t="str">
        <x:f>IF(L222="","",IF(COUNT(CU222:DA222)&lt;7,"",SUM(CU222:DA222)))</x:f>
      </x:c>
      <x:c r="DC222" s="180" t="str">
        <x:f>IF(DB222="","",ROUND(DB222/14*10,1))</x:f>
      </x:c>
      <x:c r="DD222" s="174"/>
      <x:c r="DE222" s="175" t="str">
        <x:f>IF(L222="","",IF(DC222="","Pending",IF(DD222="Yes","CONDITIONAL — safety override",IF(DC222&gt;=8,"HIGH",IF(DC222&gt;=5,"CONDITIONAL","LOW")))))</x:f>
      </x:c>
      <x:c r="DF222" s="174"/>
      <x:c r="DG222" s="174"/>
      <x:c r="DH222" s="174"/>
      <x:c r="DI222" s="174"/>
      <x:c r="DJ222" s="174"/>
      <x:c r="DK222" s="174"/>
      <x:c r="DL222" s="174"/>
      <x:c r="DM222" s="174"/>
      <x:c r="DN222" s="174"/>
      <x:c r="DO222" s="174"/>
      <x:c r="DP222" s="174"/>
      <x:c r="DQ222" s="174"/>
      <x:c r="DR222" s="174"/>
      <x:c r="DS222" s="174"/>
      <x:c r="DT222" s="174"/>
      <x:c r="DU222" s="174"/>
      <x:c r="DV222" s="174"/>
      <x:c r="DW222" s="174"/>
      <x:c r="DX222" s="174"/>
      <x:c r="DY222" s="174"/>
      <x:c r="DZ222" s="174"/>
      <x:c r="EA222" s="174"/>
      <x:c r="EB222" s="175" t="str">
        <x:f>IF(L222="","",IF(AND(F222="Claim-ready",CJ222="Yes",CL222="Yes",DZ222&lt;&gt;""),"Yes","No / Pending"))</x:f>
      </x:c>
      <x:c r="EC222" s="174"/>
      <x:c r="ED222" s="174"/>
      <x:c r="EE222" s="174"/>
      <x:c r="EF222" s="174"/>
      <x:c r="EG222" s="174"/>
      <x:c r="EH222" s="177"/>
      <x:c r="EI222" s="174"/>
      <x:c r="EJ222" s="174"/>
      <x:c r="EK222" s="174"/>
      <x:c r="EL222" s="177"/>
      <x:c r="EM222" s="174"/>
      <x:c r="EN222" s="181" t="str">
        <x:f>IF(L222="","",(IF(N222&lt;&gt;"",1,0)+IF(O222&lt;&gt;"",1,0)+IF(AJ222&lt;&gt;"",1,0)+IF(AU222&lt;&gt;"",1,0)+IF(BE222&lt;&gt;"",1,0)+IF(CF222&lt;&gt;"",1,0)+IF(CJ222="Yes",1,0)+IF(CL222="Yes",1,0)+IF(DE222&lt;&gt;"Pending",1,0)+IF(F222&lt;&gt;"",1,0)+IF(DZ222&lt;&gt;"",1,0)+IF(EI222&lt;&gt;"",1,0))/12)</x:f>
      </x:c>
    </x:row>
    <x:row r="223">
      <x:c r="A223" s="175" t="str">
        <x:f>IF(L223="","","EV-"&amp;TEXT(ROW()-3,"0000"))</x:f>
      </x:c>
      <x:c r="B223" s="174"/>
      <x:c r="C223" s="175" t="str">
        <x:f>IF(L223="","",IF(OR(CM223="Retracted",CN223="Retracted",F223="Not used"),"🔴 Do not use for conclusion",IF(OR(R223="Official / Institutional",I223="Official / contextual"),"🔵 Official / contextual",IF(OR(I223="Definition",I223="Framework",I223="Paradigm shift"),"🟣 Conceptual key source",IF(AND(CJ223="Yes",CL223="Yes",OR(CG223="High",CG223="Moderate"),CH223&lt;&gt;"High",CH223&lt;&gt;"Critical",F223="Claim-ready"),"🟢 Claim-ready","🟡 Caution / context")))))</x:f>
      </x:c>
      <x:c r="D223" s="174"/>
      <x:c r="E223" s="174"/>
      <x:c r="F223" s="174"/>
      <x:c r="G223" s="174"/>
      <x:c r="H223" s="174"/>
      <x:c r="I223" s="174"/>
      <x:c r="J223" s="174"/>
      <x:c r="K223" s="174"/>
      <x:c r="L223" s="174"/>
      <x:c r="M223" s="174"/>
      <x:c r="N223" s="174"/>
      <x:c r="O223" s="176"/>
      <x:c r="P223" s="174"/>
      <x:c r="Q223" s="174"/>
      <x:c r="R223" s="174"/>
      <x:c r="S223" s="174"/>
      <x:c r="T223" s="174"/>
      <x:c r="U223" s="174"/>
      <x:c r="V223" s="174"/>
      <x:c r="W223" s="175" t="str">
        <x:f>IF(V223="","",LOWER(SUBSTITUTE(SUBSTITUTE(SUBSTITUTE(SUBSTITUTE(TRIM(V223),"https://doi.org/",""),"http://doi.org/",""),"https://dx.doi.org/",""),"doi:","")))</x:f>
      </x:c>
      <x:c r="X223" s="174"/>
      <x:c r="Y223" s="174"/>
      <x:c r="Z223" s="174"/>
      <x:c r="AA223" s="174"/>
      <x:c r="AB223" s="174"/>
      <x:c r="AC223" s="174"/>
      <x:c r="AD223" s="177"/>
      <x:c r="AE223" s="177"/>
      <x:c r="AF223" s="174"/>
      <x:c r="AG223" s="174"/>
      <x:c r="AH223" s="174"/>
      <x:c r="AI223" s="174"/>
      <x:c r="AJ223" s="174"/>
      <x:c r="AK223" s="175" t="str">
        <x:f>IF(AJ223="","",IF(OR(LOWER(AJ223)="brazil",LOWER(AJ223)="brasil"),"Yes","No"))</x:f>
      </x:c>
      <x:c r="AL223" s="174"/>
      <x:c r="AM223" s="174"/>
      <x:c r="AN223" s="174"/>
      <x:c r="AO223" s="178"/>
      <x:c r="AP223" s="174"/>
      <x:c r="AQ223" s="174"/>
      <x:c r="AR223" s="174"/>
      <x:c r="AS223" s="174"/>
      <x:c r="AT223" s="174"/>
      <x:c r="AU223" s="174"/>
      <x:c r="AV223" s="174"/>
      <x:c r="AW223" s="174"/>
      <x:c r="AX223" s="174"/>
      <x:c r="AY223" s="174"/>
      <x:c r="AZ223" s="174"/>
      <x:c r="BA223" s="174"/>
      <x:c r="BB223" s="174"/>
      <x:c r="BC223" s="174"/>
      <x:c r="BD223" s="174"/>
      <x:c r="BE223" s="174"/>
      <x:c r="BF223" s="174"/>
      <x:c r="BG223" s="174"/>
      <x:c r="BH223" s="174"/>
      <x:c r="BI223" s="174"/>
      <x:c r="BJ223" s="174"/>
      <x:c r="BK223" s="174"/>
      <x:c r="BL223" s="174"/>
      <x:c r="BM223" s="174"/>
      <x:c r="BN223" s="174"/>
      <x:c r="BO223" s="174"/>
      <x:c r="BP223" s="174"/>
      <x:c r="BQ223" s="174"/>
      <x:c r="BR223" s="174"/>
      <x:c r="BS223" s="174"/>
      <x:c r="BT223" s="174"/>
      <x:c r="BU223" s="174"/>
      <x:c r="BV223" s="174"/>
      <x:c r="BW223" s="174"/>
      <x:c r="BX223" s="174"/>
      <x:c r="BY223" s="174"/>
      <x:c r="BZ223" s="174"/>
      <x:c r="CA223" s="174"/>
      <x:c r="CB223" s="174"/>
      <x:c r="CC223" s="174"/>
      <x:c r="CD223" s="174"/>
      <x:c r="CE223" s="174"/>
      <x:c r="CF223" s="174"/>
      <x:c r="CG223" s="174"/>
      <x:c r="CH223" s="174"/>
      <x:c r="CI223" s="179"/>
      <x:c r="CJ223" s="174"/>
      <x:c r="CK223" s="174"/>
      <x:c r="CL223" s="174"/>
      <x:c r="CM223" s="174"/>
      <x:c r="CN223" s="174"/>
      <x:c r="CO223" s="177"/>
      <x:c r="CP223" s="174"/>
      <x:c r="CQ223" s="174"/>
      <x:c r="CR223" s="174"/>
      <x:c r="CS223" s="174"/>
      <x:c r="CT223" s="174"/>
      <x:c r="CU223" s="176"/>
      <x:c r="CV223" s="176"/>
      <x:c r="CW223" s="176"/>
      <x:c r="CX223" s="176"/>
      <x:c r="CY223" s="176"/>
      <x:c r="CZ223" s="176"/>
      <x:c r="DA223" s="176"/>
      <x:c r="DB223" s="175" t="str">
        <x:f>IF(L223="","",IF(COUNT(CU223:DA223)&lt;7,"",SUM(CU223:DA223)))</x:f>
      </x:c>
      <x:c r="DC223" s="180" t="str">
        <x:f>IF(DB223="","",ROUND(DB223/14*10,1))</x:f>
      </x:c>
      <x:c r="DD223" s="174"/>
      <x:c r="DE223" s="175" t="str">
        <x:f>IF(L223="","",IF(DC223="","Pending",IF(DD223="Yes","CONDITIONAL — safety override",IF(DC223&gt;=8,"HIGH",IF(DC223&gt;=5,"CONDITIONAL","LOW")))))</x:f>
      </x:c>
      <x:c r="DF223" s="174"/>
      <x:c r="DG223" s="174"/>
      <x:c r="DH223" s="174"/>
      <x:c r="DI223" s="174"/>
      <x:c r="DJ223" s="174"/>
      <x:c r="DK223" s="174"/>
      <x:c r="DL223" s="174"/>
      <x:c r="DM223" s="174"/>
      <x:c r="DN223" s="174"/>
      <x:c r="DO223" s="174"/>
      <x:c r="DP223" s="174"/>
      <x:c r="DQ223" s="174"/>
      <x:c r="DR223" s="174"/>
      <x:c r="DS223" s="174"/>
      <x:c r="DT223" s="174"/>
      <x:c r="DU223" s="174"/>
      <x:c r="DV223" s="174"/>
      <x:c r="DW223" s="174"/>
      <x:c r="DX223" s="174"/>
      <x:c r="DY223" s="174"/>
      <x:c r="DZ223" s="174"/>
      <x:c r="EA223" s="174"/>
      <x:c r="EB223" s="175" t="str">
        <x:f>IF(L223="","",IF(AND(F223="Claim-ready",CJ223="Yes",CL223="Yes",DZ223&lt;&gt;""),"Yes","No / Pending"))</x:f>
      </x:c>
      <x:c r="EC223" s="174"/>
      <x:c r="ED223" s="174"/>
      <x:c r="EE223" s="174"/>
      <x:c r="EF223" s="174"/>
      <x:c r="EG223" s="174"/>
      <x:c r="EH223" s="177"/>
      <x:c r="EI223" s="174"/>
      <x:c r="EJ223" s="174"/>
      <x:c r="EK223" s="174"/>
      <x:c r="EL223" s="177"/>
      <x:c r="EM223" s="174"/>
      <x:c r="EN223" s="181" t="str">
        <x:f>IF(L223="","",(IF(N223&lt;&gt;"",1,0)+IF(O223&lt;&gt;"",1,0)+IF(AJ223&lt;&gt;"",1,0)+IF(AU223&lt;&gt;"",1,0)+IF(BE223&lt;&gt;"",1,0)+IF(CF223&lt;&gt;"",1,0)+IF(CJ223="Yes",1,0)+IF(CL223="Yes",1,0)+IF(DE223&lt;&gt;"Pending",1,0)+IF(F223&lt;&gt;"",1,0)+IF(DZ223&lt;&gt;"",1,0)+IF(EI223&lt;&gt;"",1,0))/12)</x:f>
      </x:c>
    </x:row>
    <x:row r="224">
      <x:c r="A224" s="175" t="str">
        <x:f>IF(L224="","","EV-"&amp;TEXT(ROW()-3,"0000"))</x:f>
      </x:c>
      <x:c r="B224" s="174"/>
      <x:c r="C224" s="175" t="str">
        <x:f>IF(L224="","",IF(OR(CM224="Retracted",CN224="Retracted",F224="Not used"),"🔴 Do not use for conclusion",IF(OR(R224="Official / Institutional",I224="Official / contextual"),"🔵 Official / contextual",IF(OR(I224="Definition",I224="Framework",I224="Paradigm shift"),"🟣 Conceptual key source",IF(AND(CJ224="Yes",CL224="Yes",OR(CG224="High",CG224="Moderate"),CH224&lt;&gt;"High",CH224&lt;&gt;"Critical",F224="Claim-ready"),"🟢 Claim-ready","🟡 Caution / context")))))</x:f>
      </x:c>
      <x:c r="D224" s="174"/>
      <x:c r="E224" s="174"/>
      <x:c r="F224" s="174"/>
      <x:c r="G224" s="174"/>
      <x:c r="H224" s="174"/>
      <x:c r="I224" s="174"/>
      <x:c r="J224" s="174"/>
      <x:c r="K224" s="174"/>
      <x:c r="L224" s="174"/>
      <x:c r="M224" s="174"/>
      <x:c r="N224" s="174"/>
      <x:c r="O224" s="176"/>
      <x:c r="P224" s="174"/>
      <x:c r="Q224" s="174"/>
      <x:c r="R224" s="174"/>
      <x:c r="S224" s="174"/>
      <x:c r="T224" s="174"/>
      <x:c r="U224" s="174"/>
      <x:c r="V224" s="174"/>
      <x:c r="W224" s="175" t="str">
        <x:f>IF(V224="","",LOWER(SUBSTITUTE(SUBSTITUTE(SUBSTITUTE(SUBSTITUTE(TRIM(V224),"https://doi.org/",""),"http://doi.org/",""),"https://dx.doi.org/",""),"doi:","")))</x:f>
      </x:c>
      <x:c r="X224" s="174"/>
      <x:c r="Y224" s="174"/>
      <x:c r="Z224" s="174"/>
      <x:c r="AA224" s="174"/>
      <x:c r="AB224" s="174"/>
      <x:c r="AC224" s="174"/>
      <x:c r="AD224" s="177"/>
      <x:c r="AE224" s="177"/>
      <x:c r="AF224" s="174"/>
      <x:c r="AG224" s="174"/>
      <x:c r="AH224" s="174"/>
      <x:c r="AI224" s="174"/>
      <x:c r="AJ224" s="174"/>
      <x:c r="AK224" s="175" t="str">
        <x:f>IF(AJ224="","",IF(OR(LOWER(AJ224)="brazil",LOWER(AJ224)="brasil"),"Yes","No"))</x:f>
      </x:c>
      <x:c r="AL224" s="174"/>
      <x:c r="AM224" s="174"/>
      <x:c r="AN224" s="174"/>
      <x:c r="AO224" s="178"/>
      <x:c r="AP224" s="174"/>
      <x:c r="AQ224" s="174"/>
      <x:c r="AR224" s="174"/>
      <x:c r="AS224" s="174"/>
      <x:c r="AT224" s="174"/>
      <x:c r="AU224" s="174"/>
      <x:c r="AV224" s="174"/>
      <x:c r="AW224" s="174"/>
      <x:c r="AX224" s="174"/>
      <x:c r="AY224" s="174"/>
      <x:c r="AZ224" s="174"/>
      <x:c r="BA224" s="174"/>
      <x:c r="BB224" s="174"/>
      <x:c r="BC224" s="174"/>
      <x:c r="BD224" s="174"/>
      <x:c r="BE224" s="174"/>
      <x:c r="BF224" s="174"/>
      <x:c r="BG224" s="174"/>
      <x:c r="BH224" s="174"/>
      <x:c r="BI224" s="174"/>
      <x:c r="BJ224" s="174"/>
      <x:c r="BK224" s="174"/>
      <x:c r="BL224" s="174"/>
      <x:c r="BM224" s="174"/>
      <x:c r="BN224" s="174"/>
      <x:c r="BO224" s="174"/>
      <x:c r="BP224" s="174"/>
      <x:c r="BQ224" s="174"/>
      <x:c r="BR224" s="174"/>
      <x:c r="BS224" s="174"/>
      <x:c r="BT224" s="174"/>
      <x:c r="BU224" s="174"/>
      <x:c r="BV224" s="174"/>
      <x:c r="BW224" s="174"/>
      <x:c r="BX224" s="174"/>
      <x:c r="BY224" s="174"/>
      <x:c r="BZ224" s="174"/>
      <x:c r="CA224" s="174"/>
      <x:c r="CB224" s="174"/>
      <x:c r="CC224" s="174"/>
      <x:c r="CD224" s="174"/>
      <x:c r="CE224" s="174"/>
      <x:c r="CF224" s="174"/>
      <x:c r="CG224" s="174"/>
      <x:c r="CH224" s="174"/>
      <x:c r="CI224" s="179"/>
      <x:c r="CJ224" s="174"/>
      <x:c r="CK224" s="174"/>
      <x:c r="CL224" s="174"/>
      <x:c r="CM224" s="174"/>
      <x:c r="CN224" s="174"/>
      <x:c r="CO224" s="177"/>
      <x:c r="CP224" s="174"/>
      <x:c r="CQ224" s="174"/>
      <x:c r="CR224" s="174"/>
      <x:c r="CS224" s="174"/>
      <x:c r="CT224" s="174"/>
      <x:c r="CU224" s="176"/>
      <x:c r="CV224" s="176"/>
      <x:c r="CW224" s="176"/>
      <x:c r="CX224" s="176"/>
      <x:c r="CY224" s="176"/>
      <x:c r="CZ224" s="176"/>
      <x:c r="DA224" s="176"/>
      <x:c r="DB224" s="175" t="str">
        <x:f>IF(L224="","",IF(COUNT(CU224:DA224)&lt;7,"",SUM(CU224:DA224)))</x:f>
      </x:c>
      <x:c r="DC224" s="180" t="str">
        <x:f>IF(DB224="","",ROUND(DB224/14*10,1))</x:f>
      </x:c>
      <x:c r="DD224" s="174"/>
      <x:c r="DE224" s="175" t="str">
        <x:f>IF(L224="","",IF(DC224="","Pending",IF(DD224="Yes","CONDITIONAL — safety override",IF(DC224&gt;=8,"HIGH",IF(DC224&gt;=5,"CONDITIONAL","LOW")))))</x:f>
      </x:c>
      <x:c r="DF224" s="174"/>
      <x:c r="DG224" s="174"/>
      <x:c r="DH224" s="174"/>
      <x:c r="DI224" s="174"/>
      <x:c r="DJ224" s="174"/>
      <x:c r="DK224" s="174"/>
      <x:c r="DL224" s="174"/>
      <x:c r="DM224" s="174"/>
      <x:c r="DN224" s="174"/>
      <x:c r="DO224" s="174"/>
      <x:c r="DP224" s="174"/>
      <x:c r="DQ224" s="174"/>
      <x:c r="DR224" s="174"/>
      <x:c r="DS224" s="174"/>
      <x:c r="DT224" s="174"/>
      <x:c r="DU224" s="174"/>
      <x:c r="DV224" s="174"/>
      <x:c r="DW224" s="174"/>
      <x:c r="DX224" s="174"/>
      <x:c r="DY224" s="174"/>
      <x:c r="DZ224" s="174"/>
      <x:c r="EA224" s="174"/>
      <x:c r="EB224" s="175" t="str">
        <x:f>IF(L224="","",IF(AND(F224="Claim-ready",CJ224="Yes",CL224="Yes",DZ224&lt;&gt;""),"Yes","No / Pending"))</x:f>
      </x:c>
      <x:c r="EC224" s="174"/>
      <x:c r="ED224" s="174"/>
      <x:c r="EE224" s="174"/>
      <x:c r="EF224" s="174"/>
      <x:c r="EG224" s="174"/>
      <x:c r="EH224" s="177"/>
      <x:c r="EI224" s="174"/>
      <x:c r="EJ224" s="174"/>
      <x:c r="EK224" s="174"/>
      <x:c r="EL224" s="177"/>
      <x:c r="EM224" s="174"/>
      <x:c r="EN224" s="181" t="str">
        <x:f>IF(L224="","",(IF(N224&lt;&gt;"",1,0)+IF(O224&lt;&gt;"",1,0)+IF(AJ224&lt;&gt;"",1,0)+IF(AU224&lt;&gt;"",1,0)+IF(BE224&lt;&gt;"",1,0)+IF(CF224&lt;&gt;"",1,0)+IF(CJ224="Yes",1,0)+IF(CL224="Yes",1,0)+IF(DE224&lt;&gt;"Pending",1,0)+IF(F224&lt;&gt;"",1,0)+IF(DZ224&lt;&gt;"",1,0)+IF(EI224&lt;&gt;"",1,0))/12)</x:f>
      </x:c>
    </x:row>
    <x:row r="225">
      <x:c r="A225" s="175" t="str">
        <x:f>IF(L225="","","EV-"&amp;TEXT(ROW()-3,"0000"))</x:f>
      </x:c>
      <x:c r="B225" s="174"/>
      <x:c r="C225" s="175" t="str">
        <x:f>IF(L225="","",IF(OR(CM225="Retracted",CN225="Retracted",F225="Not used"),"🔴 Do not use for conclusion",IF(OR(R225="Official / Institutional",I225="Official / contextual"),"🔵 Official / contextual",IF(OR(I225="Definition",I225="Framework",I225="Paradigm shift"),"🟣 Conceptual key source",IF(AND(CJ225="Yes",CL225="Yes",OR(CG225="High",CG225="Moderate"),CH225&lt;&gt;"High",CH225&lt;&gt;"Critical",F225="Claim-ready"),"🟢 Claim-ready","🟡 Caution / context")))))</x:f>
      </x:c>
      <x:c r="D225" s="174"/>
      <x:c r="E225" s="174"/>
      <x:c r="F225" s="174"/>
      <x:c r="G225" s="174"/>
      <x:c r="H225" s="174"/>
      <x:c r="I225" s="174"/>
      <x:c r="J225" s="174"/>
      <x:c r="K225" s="174"/>
      <x:c r="L225" s="174"/>
      <x:c r="M225" s="174"/>
      <x:c r="N225" s="174"/>
      <x:c r="O225" s="176"/>
      <x:c r="P225" s="174"/>
      <x:c r="Q225" s="174"/>
      <x:c r="R225" s="174"/>
      <x:c r="S225" s="174"/>
      <x:c r="T225" s="174"/>
      <x:c r="U225" s="174"/>
      <x:c r="V225" s="174"/>
      <x:c r="W225" s="175" t="str">
        <x:f>IF(V225="","",LOWER(SUBSTITUTE(SUBSTITUTE(SUBSTITUTE(SUBSTITUTE(TRIM(V225),"https://doi.org/",""),"http://doi.org/",""),"https://dx.doi.org/",""),"doi:","")))</x:f>
      </x:c>
      <x:c r="X225" s="174"/>
      <x:c r="Y225" s="174"/>
      <x:c r="Z225" s="174"/>
      <x:c r="AA225" s="174"/>
      <x:c r="AB225" s="174"/>
      <x:c r="AC225" s="174"/>
      <x:c r="AD225" s="177"/>
      <x:c r="AE225" s="177"/>
      <x:c r="AF225" s="174"/>
      <x:c r="AG225" s="174"/>
      <x:c r="AH225" s="174"/>
      <x:c r="AI225" s="174"/>
      <x:c r="AJ225" s="174"/>
      <x:c r="AK225" s="175" t="str">
        <x:f>IF(AJ225="","",IF(OR(LOWER(AJ225)="brazil",LOWER(AJ225)="brasil"),"Yes","No"))</x:f>
      </x:c>
      <x:c r="AL225" s="174"/>
      <x:c r="AM225" s="174"/>
      <x:c r="AN225" s="174"/>
      <x:c r="AO225" s="178"/>
      <x:c r="AP225" s="174"/>
      <x:c r="AQ225" s="174"/>
      <x:c r="AR225" s="174"/>
      <x:c r="AS225" s="174"/>
      <x:c r="AT225" s="174"/>
      <x:c r="AU225" s="174"/>
      <x:c r="AV225" s="174"/>
      <x:c r="AW225" s="174"/>
      <x:c r="AX225" s="174"/>
      <x:c r="AY225" s="174"/>
      <x:c r="AZ225" s="174"/>
      <x:c r="BA225" s="174"/>
      <x:c r="BB225" s="174"/>
      <x:c r="BC225" s="174"/>
      <x:c r="BD225" s="174"/>
      <x:c r="BE225" s="174"/>
      <x:c r="BF225" s="174"/>
      <x:c r="BG225" s="174"/>
      <x:c r="BH225" s="174"/>
      <x:c r="BI225" s="174"/>
      <x:c r="BJ225" s="174"/>
      <x:c r="BK225" s="174"/>
      <x:c r="BL225" s="174"/>
      <x:c r="BM225" s="174"/>
      <x:c r="BN225" s="174"/>
      <x:c r="BO225" s="174"/>
      <x:c r="BP225" s="174"/>
      <x:c r="BQ225" s="174"/>
      <x:c r="BR225" s="174"/>
      <x:c r="BS225" s="174"/>
      <x:c r="BT225" s="174"/>
      <x:c r="BU225" s="174"/>
      <x:c r="BV225" s="174"/>
      <x:c r="BW225" s="174"/>
      <x:c r="BX225" s="174"/>
      <x:c r="BY225" s="174"/>
      <x:c r="BZ225" s="174"/>
      <x:c r="CA225" s="174"/>
      <x:c r="CB225" s="174"/>
      <x:c r="CC225" s="174"/>
      <x:c r="CD225" s="174"/>
      <x:c r="CE225" s="174"/>
      <x:c r="CF225" s="174"/>
      <x:c r="CG225" s="174"/>
      <x:c r="CH225" s="174"/>
      <x:c r="CI225" s="179"/>
      <x:c r="CJ225" s="174"/>
      <x:c r="CK225" s="174"/>
      <x:c r="CL225" s="174"/>
      <x:c r="CM225" s="174"/>
      <x:c r="CN225" s="174"/>
      <x:c r="CO225" s="177"/>
      <x:c r="CP225" s="174"/>
      <x:c r="CQ225" s="174"/>
      <x:c r="CR225" s="174"/>
      <x:c r="CS225" s="174"/>
      <x:c r="CT225" s="174"/>
      <x:c r="CU225" s="176"/>
      <x:c r="CV225" s="176"/>
      <x:c r="CW225" s="176"/>
      <x:c r="CX225" s="176"/>
      <x:c r="CY225" s="176"/>
      <x:c r="CZ225" s="176"/>
      <x:c r="DA225" s="176"/>
      <x:c r="DB225" s="175" t="str">
        <x:f>IF(L225="","",IF(COUNT(CU225:DA225)&lt;7,"",SUM(CU225:DA225)))</x:f>
      </x:c>
      <x:c r="DC225" s="180" t="str">
        <x:f>IF(DB225="","",ROUND(DB225/14*10,1))</x:f>
      </x:c>
      <x:c r="DD225" s="174"/>
      <x:c r="DE225" s="175" t="str">
        <x:f>IF(L225="","",IF(DC225="","Pending",IF(DD225="Yes","CONDITIONAL — safety override",IF(DC225&gt;=8,"HIGH",IF(DC225&gt;=5,"CONDITIONAL","LOW")))))</x:f>
      </x:c>
      <x:c r="DF225" s="174"/>
      <x:c r="DG225" s="174"/>
      <x:c r="DH225" s="174"/>
      <x:c r="DI225" s="174"/>
      <x:c r="DJ225" s="174"/>
      <x:c r="DK225" s="174"/>
      <x:c r="DL225" s="174"/>
      <x:c r="DM225" s="174"/>
      <x:c r="DN225" s="174"/>
      <x:c r="DO225" s="174"/>
      <x:c r="DP225" s="174"/>
      <x:c r="DQ225" s="174"/>
      <x:c r="DR225" s="174"/>
      <x:c r="DS225" s="174"/>
      <x:c r="DT225" s="174"/>
      <x:c r="DU225" s="174"/>
      <x:c r="DV225" s="174"/>
      <x:c r="DW225" s="174"/>
      <x:c r="DX225" s="174"/>
      <x:c r="DY225" s="174"/>
      <x:c r="DZ225" s="174"/>
      <x:c r="EA225" s="174"/>
      <x:c r="EB225" s="175" t="str">
        <x:f>IF(L225="","",IF(AND(F225="Claim-ready",CJ225="Yes",CL225="Yes",DZ225&lt;&gt;""),"Yes","No / Pending"))</x:f>
      </x:c>
      <x:c r="EC225" s="174"/>
      <x:c r="ED225" s="174"/>
      <x:c r="EE225" s="174"/>
      <x:c r="EF225" s="174"/>
      <x:c r="EG225" s="174"/>
      <x:c r="EH225" s="177"/>
      <x:c r="EI225" s="174"/>
      <x:c r="EJ225" s="174"/>
      <x:c r="EK225" s="174"/>
      <x:c r="EL225" s="177"/>
      <x:c r="EM225" s="174"/>
      <x:c r="EN225" s="181" t="str">
        <x:f>IF(L225="","",(IF(N225&lt;&gt;"",1,0)+IF(O225&lt;&gt;"",1,0)+IF(AJ225&lt;&gt;"",1,0)+IF(AU225&lt;&gt;"",1,0)+IF(BE225&lt;&gt;"",1,0)+IF(CF225&lt;&gt;"",1,0)+IF(CJ225="Yes",1,0)+IF(CL225="Yes",1,0)+IF(DE225&lt;&gt;"Pending",1,0)+IF(F225&lt;&gt;"",1,0)+IF(DZ225&lt;&gt;"",1,0)+IF(EI225&lt;&gt;"",1,0))/12)</x:f>
      </x:c>
    </x:row>
    <x:row r="226">
      <x:c r="A226" s="175" t="str">
        <x:f>IF(L226="","","EV-"&amp;TEXT(ROW()-3,"0000"))</x:f>
      </x:c>
      <x:c r="B226" s="174"/>
      <x:c r="C226" s="175" t="str">
        <x:f>IF(L226="","",IF(OR(CM226="Retracted",CN226="Retracted",F226="Not used"),"🔴 Do not use for conclusion",IF(OR(R226="Official / Institutional",I226="Official / contextual"),"🔵 Official / contextual",IF(OR(I226="Definition",I226="Framework",I226="Paradigm shift"),"🟣 Conceptual key source",IF(AND(CJ226="Yes",CL226="Yes",OR(CG226="High",CG226="Moderate"),CH226&lt;&gt;"High",CH226&lt;&gt;"Critical",F226="Claim-ready"),"🟢 Claim-ready","🟡 Caution / context")))))</x:f>
      </x:c>
      <x:c r="D226" s="174"/>
      <x:c r="E226" s="174"/>
      <x:c r="F226" s="174"/>
      <x:c r="G226" s="174"/>
      <x:c r="H226" s="174"/>
      <x:c r="I226" s="174"/>
      <x:c r="J226" s="174"/>
      <x:c r="K226" s="174"/>
      <x:c r="L226" s="174"/>
      <x:c r="M226" s="174"/>
      <x:c r="N226" s="174"/>
      <x:c r="O226" s="176"/>
      <x:c r="P226" s="174"/>
      <x:c r="Q226" s="174"/>
      <x:c r="R226" s="174"/>
      <x:c r="S226" s="174"/>
      <x:c r="T226" s="174"/>
      <x:c r="U226" s="174"/>
      <x:c r="V226" s="174"/>
      <x:c r="W226" s="175" t="str">
        <x:f>IF(V226="","",LOWER(SUBSTITUTE(SUBSTITUTE(SUBSTITUTE(SUBSTITUTE(TRIM(V226),"https://doi.org/",""),"http://doi.org/",""),"https://dx.doi.org/",""),"doi:","")))</x:f>
      </x:c>
      <x:c r="X226" s="174"/>
      <x:c r="Y226" s="174"/>
      <x:c r="Z226" s="174"/>
      <x:c r="AA226" s="174"/>
      <x:c r="AB226" s="174"/>
      <x:c r="AC226" s="174"/>
      <x:c r="AD226" s="177"/>
      <x:c r="AE226" s="177"/>
      <x:c r="AF226" s="174"/>
      <x:c r="AG226" s="174"/>
      <x:c r="AH226" s="174"/>
      <x:c r="AI226" s="174"/>
      <x:c r="AJ226" s="174"/>
      <x:c r="AK226" s="175" t="str">
        <x:f>IF(AJ226="","",IF(OR(LOWER(AJ226)="brazil",LOWER(AJ226)="brasil"),"Yes","No"))</x:f>
      </x:c>
      <x:c r="AL226" s="174"/>
      <x:c r="AM226" s="174"/>
      <x:c r="AN226" s="174"/>
      <x:c r="AO226" s="178"/>
      <x:c r="AP226" s="174"/>
      <x:c r="AQ226" s="174"/>
      <x:c r="AR226" s="174"/>
      <x:c r="AS226" s="174"/>
      <x:c r="AT226" s="174"/>
      <x:c r="AU226" s="174"/>
      <x:c r="AV226" s="174"/>
      <x:c r="AW226" s="174"/>
      <x:c r="AX226" s="174"/>
      <x:c r="AY226" s="174"/>
      <x:c r="AZ226" s="174"/>
      <x:c r="BA226" s="174"/>
      <x:c r="BB226" s="174"/>
      <x:c r="BC226" s="174"/>
      <x:c r="BD226" s="174"/>
      <x:c r="BE226" s="174"/>
      <x:c r="BF226" s="174"/>
      <x:c r="BG226" s="174"/>
      <x:c r="BH226" s="174"/>
      <x:c r="BI226" s="174"/>
      <x:c r="BJ226" s="174"/>
      <x:c r="BK226" s="174"/>
      <x:c r="BL226" s="174"/>
      <x:c r="BM226" s="174"/>
      <x:c r="BN226" s="174"/>
      <x:c r="BO226" s="174"/>
      <x:c r="BP226" s="174"/>
      <x:c r="BQ226" s="174"/>
      <x:c r="BR226" s="174"/>
      <x:c r="BS226" s="174"/>
      <x:c r="BT226" s="174"/>
      <x:c r="BU226" s="174"/>
      <x:c r="BV226" s="174"/>
      <x:c r="BW226" s="174"/>
      <x:c r="BX226" s="174"/>
      <x:c r="BY226" s="174"/>
      <x:c r="BZ226" s="174"/>
      <x:c r="CA226" s="174"/>
      <x:c r="CB226" s="174"/>
      <x:c r="CC226" s="174"/>
      <x:c r="CD226" s="174"/>
      <x:c r="CE226" s="174"/>
      <x:c r="CF226" s="174"/>
      <x:c r="CG226" s="174"/>
      <x:c r="CH226" s="174"/>
      <x:c r="CI226" s="179"/>
      <x:c r="CJ226" s="174"/>
      <x:c r="CK226" s="174"/>
      <x:c r="CL226" s="174"/>
      <x:c r="CM226" s="174"/>
      <x:c r="CN226" s="174"/>
      <x:c r="CO226" s="177"/>
      <x:c r="CP226" s="174"/>
      <x:c r="CQ226" s="174"/>
      <x:c r="CR226" s="174"/>
      <x:c r="CS226" s="174"/>
      <x:c r="CT226" s="174"/>
      <x:c r="CU226" s="176"/>
      <x:c r="CV226" s="176"/>
      <x:c r="CW226" s="176"/>
      <x:c r="CX226" s="176"/>
      <x:c r="CY226" s="176"/>
      <x:c r="CZ226" s="176"/>
      <x:c r="DA226" s="176"/>
      <x:c r="DB226" s="175" t="str">
        <x:f>IF(L226="","",IF(COUNT(CU226:DA226)&lt;7,"",SUM(CU226:DA226)))</x:f>
      </x:c>
      <x:c r="DC226" s="180" t="str">
        <x:f>IF(DB226="","",ROUND(DB226/14*10,1))</x:f>
      </x:c>
      <x:c r="DD226" s="174"/>
      <x:c r="DE226" s="175" t="str">
        <x:f>IF(L226="","",IF(DC226="","Pending",IF(DD226="Yes","CONDITIONAL — safety override",IF(DC226&gt;=8,"HIGH",IF(DC226&gt;=5,"CONDITIONAL","LOW")))))</x:f>
      </x:c>
      <x:c r="DF226" s="174"/>
      <x:c r="DG226" s="174"/>
      <x:c r="DH226" s="174"/>
      <x:c r="DI226" s="174"/>
      <x:c r="DJ226" s="174"/>
      <x:c r="DK226" s="174"/>
      <x:c r="DL226" s="174"/>
      <x:c r="DM226" s="174"/>
      <x:c r="DN226" s="174"/>
      <x:c r="DO226" s="174"/>
      <x:c r="DP226" s="174"/>
      <x:c r="DQ226" s="174"/>
      <x:c r="DR226" s="174"/>
      <x:c r="DS226" s="174"/>
      <x:c r="DT226" s="174"/>
      <x:c r="DU226" s="174"/>
      <x:c r="DV226" s="174"/>
      <x:c r="DW226" s="174"/>
      <x:c r="DX226" s="174"/>
      <x:c r="DY226" s="174"/>
      <x:c r="DZ226" s="174"/>
      <x:c r="EA226" s="174"/>
      <x:c r="EB226" s="175" t="str">
        <x:f>IF(L226="","",IF(AND(F226="Claim-ready",CJ226="Yes",CL226="Yes",DZ226&lt;&gt;""),"Yes","No / Pending"))</x:f>
      </x:c>
      <x:c r="EC226" s="174"/>
      <x:c r="ED226" s="174"/>
      <x:c r="EE226" s="174"/>
      <x:c r="EF226" s="174"/>
      <x:c r="EG226" s="174"/>
      <x:c r="EH226" s="177"/>
      <x:c r="EI226" s="174"/>
      <x:c r="EJ226" s="174"/>
      <x:c r="EK226" s="174"/>
      <x:c r="EL226" s="177"/>
      <x:c r="EM226" s="174"/>
      <x:c r="EN226" s="181" t="str">
        <x:f>IF(L226="","",(IF(N226&lt;&gt;"",1,0)+IF(O226&lt;&gt;"",1,0)+IF(AJ226&lt;&gt;"",1,0)+IF(AU226&lt;&gt;"",1,0)+IF(BE226&lt;&gt;"",1,0)+IF(CF226&lt;&gt;"",1,0)+IF(CJ226="Yes",1,0)+IF(CL226="Yes",1,0)+IF(DE226&lt;&gt;"Pending",1,0)+IF(F226&lt;&gt;"",1,0)+IF(DZ226&lt;&gt;"",1,0)+IF(EI226&lt;&gt;"",1,0))/12)</x:f>
      </x:c>
    </x:row>
    <x:row r="227">
      <x:c r="A227" s="175" t="str">
        <x:f>IF(L227="","","EV-"&amp;TEXT(ROW()-3,"0000"))</x:f>
      </x:c>
      <x:c r="B227" s="174"/>
      <x:c r="C227" s="175" t="str">
        <x:f>IF(L227="","",IF(OR(CM227="Retracted",CN227="Retracted",F227="Not used"),"🔴 Do not use for conclusion",IF(OR(R227="Official / Institutional",I227="Official / contextual"),"🔵 Official / contextual",IF(OR(I227="Definition",I227="Framework",I227="Paradigm shift"),"🟣 Conceptual key source",IF(AND(CJ227="Yes",CL227="Yes",OR(CG227="High",CG227="Moderate"),CH227&lt;&gt;"High",CH227&lt;&gt;"Critical",F227="Claim-ready"),"🟢 Claim-ready","🟡 Caution / context")))))</x:f>
      </x:c>
      <x:c r="D227" s="174"/>
      <x:c r="E227" s="174"/>
      <x:c r="F227" s="174"/>
      <x:c r="G227" s="174"/>
      <x:c r="H227" s="174"/>
      <x:c r="I227" s="174"/>
      <x:c r="J227" s="174"/>
      <x:c r="K227" s="174"/>
      <x:c r="L227" s="174"/>
      <x:c r="M227" s="174"/>
      <x:c r="N227" s="174"/>
      <x:c r="O227" s="176"/>
      <x:c r="P227" s="174"/>
      <x:c r="Q227" s="174"/>
      <x:c r="R227" s="174"/>
      <x:c r="S227" s="174"/>
      <x:c r="T227" s="174"/>
      <x:c r="U227" s="174"/>
      <x:c r="V227" s="174"/>
      <x:c r="W227" s="175" t="str">
        <x:f>IF(V227="","",LOWER(SUBSTITUTE(SUBSTITUTE(SUBSTITUTE(SUBSTITUTE(TRIM(V227),"https://doi.org/",""),"http://doi.org/",""),"https://dx.doi.org/",""),"doi:","")))</x:f>
      </x:c>
      <x:c r="X227" s="174"/>
      <x:c r="Y227" s="174"/>
      <x:c r="Z227" s="174"/>
      <x:c r="AA227" s="174"/>
      <x:c r="AB227" s="174"/>
      <x:c r="AC227" s="174"/>
      <x:c r="AD227" s="177"/>
      <x:c r="AE227" s="177"/>
      <x:c r="AF227" s="174"/>
      <x:c r="AG227" s="174"/>
      <x:c r="AH227" s="174"/>
      <x:c r="AI227" s="174"/>
      <x:c r="AJ227" s="174"/>
      <x:c r="AK227" s="175" t="str">
        <x:f>IF(AJ227="","",IF(OR(LOWER(AJ227)="brazil",LOWER(AJ227)="brasil"),"Yes","No"))</x:f>
      </x:c>
      <x:c r="AL227" s="174"/>
      <x:c r="AM227" s="174"/>
      <x:c r="AN227" s="174"/>
      <x:c r="AO227" s="178"/>
      <x:c r="AP227" s="174"/>
      <x:c r="AQ227" s="174"/>
      <x:c r="AR227" s="174"/>
      <x:c r="AS227" s="174"/>
      <x:c r="AT227" s="174"/>
      <x:c r="AU227" s="174"/>
      <x:c r="AV227" s="174"/>
      <x:c r="AW227" s="174"/>
      <x:c r="AX227" s="174"/>
      <x:c r="AY227" s="174"/>
      <x:c r="AZ227" s="174"/>
      <x:c r="BA227" s="174"/>
      <x:c r="BB227" s="174"/>
      <x:c r="BC227" s="174"/>
      <x:c r="BD227" s="174"/>
      <x:c r="BE227" s="174"/>
      <x:c r="BF227" s="174"/>
      <x:c r="BG227" s="174"/>
      <x:c r="BH227" s="174"/>
      <x:c r="BI227" s="174"/>
      <x:c r="BJ227" s="174"/>
      <x:c r="BK227" s="174"/>
      <x:c r="BL227" s="174"/>
      <x:c r="BM227" s="174"/>
      <x:c r="BN227" s="174"/>
      <x:c r="BO227" s="174"/>
      <x:c r="BP227" s="174"/>
      <x:c r="BQ227" s="174"/>
      <x:c r="BR227" s="174"/>
      <x:c r="BS227" s="174"/>
      <x:c r="BT227" s="174"/>
      <x:c r="BU227" s="174"/>
      <x:c r="BV227" s="174"/>
      <x:c r="BW227" s="174"/>
      <x:c r="BX227" s="174"/>
      <x:c r="BY227" s="174"/>
      <x:c r="BZ227" s="174"/>
      <x:c r="CA227" s="174"/>
      <x:c r="CB227" s="174"/>
      <x:c r="CC227" s="174"/>
      <x:c r="CD227" s="174"/>
      <x:c r="CE227" s="174"/>
      <x:c r="CF227" s="174"/>
      <x:c r="CG227" s="174"/>
      <x:c r="CH227" s="174"/>
      <x:c r="CI227" s="179"/>
      <x:c r="CJ227" s="174"/>
      <x:c r="CK227" s="174"/>
      <x:c r="CL227" s="174"/>
      <x:c r="CM227" s="174"/>
      <x:c r="CN227" s="174"/>
      <x:c r="CO227" s="177"/>
      <x:c r="CP227" s="174"/>
      <x:c r="CQ227" s="174"/>
      <x:c r="CR227" s="174"/>
      <x:c r="CS227" s="174"/>
      <x:c r="CT227" s="174"/>
      <x:c r="CU227" s="176"/>
      <x:c r="CV227" s="176"/>
      <x:c r="CW227" s="176"/>
      <x:c r="CX227" s="176"/>
      <x:c r="CY227" s="176"/>
      <x:c r="CZ227" s="176"/>
      <x:c r="DA227" s="176"/>
      <x:c r="DB227" s="175" t="str">
        <x:f>IF(L227="","",IF(COUNT(CU227:DA227)&lt;7,"",SUM(CU227:DA227)))</x:f>
      </x:c>
      <x:c r="DC227" s="180" t="str">
        <x:f>IF(DB227="","",ROUND(DB227/14*10,1))</x:f>
      </x:c>
      <x:c r="DD227" s="174"/>
      <x:c r="DE227" s="175" t="str">
        <x:f>IF(L227="","",IF(DC227="","Pending",IF(DD227="Yes","CONDITIONAL — safety override",IF(DC227&gt;=8,"HIGH",IF(DC227&gt;=5,"CONDITIONAL","LOW")))))</x:f>
      </x:c>
      <x:c r="DF227" s="174"/>
      <x:c r="DG227" s="174"/>
      <x:c r="DH227" s="174"/>
      <x:c r="DI227" s="174"/>
      <x:c r="DJ227" s="174"/>
      <x:c r="DK227" s="174"/>
      <x:c r="DL227" s="174"/>
      <x:c r="DM227" s="174"/>
      <x:c r="DN227" s="174"/>
      <x:c r="DO227" s="174"/>
      <x:c r="DP227" s="174"/>
      <x:c r="DQ227" s="174"/>
      <x:c r="DR227" s="174"/>
      <x:c r="DS227" s="174"/>
      <x:c r="DT227" s="174"/>
      <x:c r="DU227" s="174"/>
      <x:c r="DV227" s="174"/>
      <x:c r="DW227" s="174"/>
      <x:c r="DX227" s="174"/>
      <x:c r="DY227" s="174"/>
      <x:c r="DZ227" s="174"/>
      <x:c r="EA227" s="174"/>
      <x:c r="EB227" s="175" t="str">
        <x:f>IF(L227="","",IF(AND(F227="Claim-ready",CJ227="Yes",CL227="Yes",DZ227&lt;&gt;""),"Yes","No / Pending"))</x:f>
      </x:c>
      <x:c r="EC227" s="174"/>
      <x:c r="ED227" s="174"/>
      <x:c r="EE227" s="174"/>
      <x:c r="EF227" s="174"/>
      <x:c r="EG227" s="174"/>
      <x:c r="EH227" s="177"/>
      <x:c r="EI227" s="174"/>
      <x:c r="EJ227" s="174"/>
      <x:c r="EK227" s="174"/>
      <x:c r="EL227" s="177"/>
      <x:c r="EM227" s="174"/>
      <x:c r="EN227" s="181" t="str">
        <x:f>IF(L227="","",(IF(N227&lt;&gt;"",1,0)+IF(O227&lt;&gt;"",1,0)+IF(AJ227&lt;&gt;"",1,0)+IF(AU227&lt;&gt;"",1,0)+IF(BE227&lt;&gt;"",1,0)+IF(CF227&lt;&gt;"",1,0)+IF(CJ227="Yes",1,0)+IF(CL227="Yes",1,0)+IF(DE227&lt;&gt;"Pending",1,0)+IF(F227&lt;&gt;"",1,0)+IF(DZ227&lt;&gt;"",1,0)+IF(EI227&lt;&gt;"",1,0))/12)</x:f>
      </x:c>
    </x:row>
    <x:row r="228">
      <x:c r="A228" s="175" t="str">
        <x:f>IF(L228="","","EV-"&amp;TEXT(ROW()-3,"0000"))</x:f>
      </x:c>
      <x:c r="B228" s="174"/>
      <x:c r="C228" s="175" t="str">
        <x:f>IF(L228="","",IF(OR(CM228="Retracted",CN228="Retracted",F228="Not used"),"🔴 Do not use for conclusion",IF(OR(R228="Official / Institutional",I228="Official / contextual"),"🔵 Official / contextual",IF(OR(I228="Definition",I228="Framework",I228="Paradigm shift"),"🟣 Conceptual key source",IF(AND(CJ228="Yes",CL228="Yes",OR(CG228="High",CG228="Moderate"),CH228&lt;&gt;"High",CH228&lt;&gt;"Critical",F228="Claim-ready"),"🟢 Claim-ready","🟡 Caution / context")))))</x:f>
      </x:c>
      <x:c r="D228" s="174"/>
      <x:c r="E228" s="174"/>
      <x:c r="F228" s="174"/>
      <x:c r="G228" s="174"/>
      <x:c r="H228" s="174"/>
      <x:c r="I228" s="174"/>
      <x:c r="J228" s="174"/>
      <x:c r="K228" s="174"/>
      <x:c r="L228" s="174"/>
      <x:c r="M228" s="174"/>
      <x:c r="N228" s="174"/>
      <x:c r="O228" s="176"/>
      <x:c r="P228" s="174"/>
      <x:c r="Q228" s="174"/>
      <x:c r="R228" s="174"/>
      <x:c r="S228" s="174"/>
      <x:c r="T228" s="174"/>
      <x:c r="U228" s="174"/>
      <x:c r="V228" s="174"/>
      <x:c r="W228" s="175" t="str">
        <x:f>IF(V228="","",LOWER(SUBSTITUTE(SUBSTITUTE(SUBSTITUTE(SUBSTITUTE(TRIM(V228),"https://doi.org/",""),"http://doi.org/",""),"https://dx.doi.org/",""),"doi:","")))</x:f>
      </x:c>
      <x:c r="X228" s="174"/>
      <x:c r="Y228" s="174"/>
      <x:c r="Z228" s="174"/>
      <x:c r="AA228" s="174"/>
      <x:c r="AB228" s="174"/>
      <x:c r="AC228" s="174"/>
      <x:c r="AD228" s="177"/>
      <x:c r="AE228" s="177"/>
      <x:c r="AF228" s="174"/>
      <x:c r="AG228" s="174"/>
      <x:c r="AH228" s="174"/>
      <x:c r="AI228" s="174"/>
      <x:c r="AJ228" s="174"/>
      <x:c r="AK228" s="175" t="str">
        <x:f>IF(AJ228="","",IF(OR(LOWER(AJ228)="brazil",LOWER(AJ228)="brasil"),"Yes","No"))</x:f>
      </x:c>
      <x:c r="AL228" s="174"/>
      <x:c r="AM228" s="174"/>
      <x:c r="AN228" s="174"/>
      <x:c r="AO228" s="178"/>
      <x:c r="AP228" s="174"/>
      <x:c r="AQ228" s="174"/>
      <x:c r="AR228" s="174"/>
      <x:c r="AS228" s="174"/>
      <x:c r="AT228" s="174"/>
      <x:c r="AU228" s="174"/>
      <x:c r="AV228" s="174"/>
      <x:c r="AW228" s="174"/>
      <x:c r="AX228" s="174"/>
      <x:c r="AY228" s="174"/>
      <x:c r="AZ228" s="174"/>
      <x:c r="BA228" s="174"/>
      <x:c r="BB228" s="174"/>
      <x:c r="BC228" s="174"/>
      <x:c r="BD228" s="174"/>
      <x:c r="BE228" s="174"/>
      <x:c r="BF228" s="174"/>
      <x:c r="BG228" s="174"/>
      <x:c r="BH228" s="174"/>
      <x:c r="BI228" s="174"/>
      <x:c r="BJ228" s="174"/>
      <x:c r="BK228" s="174"/>
      <x:c r="BL228" s="174"/>
      <x:c r="BM228" s="174"/>
      <x:c r="BN228" s="174"/>
      <x:c r="BO228" s="174"/>
      <x:c r="BP228" s="174"/>
      <x:c r="BQ228" s="174"/>
      <x:c r="BR228" s="174"/>
      <x:c r="BS228" s="174"/>
      <x:c r="BT228" s="174"/>
      <x:c r="BU228" s="174"/>
      <x:c r="BV228" s="174"/>
      <x:c r="BW228" s="174"/>
      <x:c r="BX228" s="174"/>
      <x:c r="BY228" s="174"/>
      <x:c r="BZ228" s="174"/>
      <x:c r="CA228" s="174"/>
      <x:c r="CB228" s="174"/>
      <x:c r="CC228" s="174"/>
      <x:c r="CD228" s="174"/>
      <x:c r="CE228" s="174"/>
      <x:c r="CF228" s="174"/>
      <x:c r="CG228" s="174"/>
      <x:c r="CH228" s="174"/>
      <x:c r="CI228" s="179"/>
      <x:c r="CJ228" s="174"/>
      <x:c r="CK228" s="174"/>
      <x:c r="CL228" s="174"/>
      <x:c r="CM228" s="174"/>
      <x:c r="CN228" s="174"/>
      <x:c r="CO228" s="177"/>
      <x:c r="CP228" s="174"/>
      <x:c r="CQ228" s="174"/>
      <x:c r="CR228" s="174"/>
      <x:c r="CS228" s="174"/>
      <x:c r="CT228" s="174"/>
      <x:c r="CU228" s="176"/>
      <x:c r="CV228" s="176"/>
      <x:c r="CW228" s="176"/>
      <x:c r="CX228" s="176"/>
      <x:c r="CY228" s="176"/>
      <x:c r="CZ228" s="176"/>
      <x:c r="DA228" s="176"/>
      <x:c r="DB228" s="175" t="str">
        <x:f>IF(L228="","",IF(COUNT(CU228:DA228)&lt;7,"",SUM(CU228:DA228)))</x:f>
      </x:c>
      <x:c r="DC228" s="180" t="str">
        <x:f>IF(DB228="","",ROUND(DB228/14*10,1))</x:f>
      </x:c>
      <x:c r="DD228" s="174"/>
      <x:c r="DE228" s="175" t="str">
        <x:f>IF(L228="","",IF(DC228="","Pending",IF(DD228="Yes","CONDITIONAL — safety override",IF(DC228&gt;=8,"HIGH",IF(DC228&gt;=5,"CONDITIONAL","LOW")))))</x:f>
      </x:c>
      <x:c r="DF228" s="174"/>
      <x:c r="DG228" s="174"/>
      <x:c r="DH228" s="174"/>
      <x:c r="DI228" s="174"/>
      <x:c r="DJ228" s="174"/>
      <x:c r="DK228" s="174"/>
      <x:c r="DL228" s="174"/>
      <x:c r="DM228" s="174"/>
      <x:c r="DN228" s="174"/>
      <x:c r="DO228" s="174"/>
      <x:c r="DP228" s="174"/>
      <x:c r="DQ228" s="174"/>
      <x:c r="DR228" s="174"/>
      <x:c r="DS228" s="174"/>
      <x:c r="DT228" s="174"/>
      <x:c r="DU228" s="174"/>
      <x:c r="DV228" s="174"/>
      <x:c r="DW228" s="174"/>
      <x:c r="DX228" s="174"/>
      <x:c r="DY228" s="174"/>
      <x:c r="DZ228" s="174"/>
      <x:c r="EA228" s="174"/>
      <x:c r="EB228" s="175" t="str">
        <x:f>IF(L228="","",IF(AND(F228="Claim-ready",CJ228="Yes",CL228="Yes",DZ228&lt;&gt;""),"Yes","No / Pending"))</x:f>
      </x:c>
      <x:c r="EC228" s="174"/>
      <x:c r="ED228" s="174"/>
      <x:c r="EE228" s="174"/>
      <x:c r="EF228" s="174"/>
      <x:c r="EG228" s="174"/>
      <x:c r="EH228" s="177"/>
      <x:c r="EI228" s="174"/>
      <x:c r="EJ228" s="174"/>
      <x:c r="EK228" s="174"/>
      <x:c r="EL228" s="177"/>
      <x:c r="EM228" s="174"/>
      <x:c r="EN228" s="181" t="str">
        <x:f>IF(L228="","",(IF(N228&lt;&gt;"",1,0)+IF(O228&lt;&gt;"",1,0)+IF(AJ228&lt;&gt;"",1,0)+IF(AU228&lt;&gt;"",1,0)+IF(BE228&lt;&gt;"",1,0)+IF(CF228&lt;&gt;"",1,0)+IF(CJ228="Yes",1,0)+IF(CL228="Yes",1,0)+IF(DE228&lt;&gt;"Pending",1,0)+IF(F228&lt;&gt;"",1,0)+IF(DZ228&lt;&gt;"",1,0)+IF(EI228&lt;&gt;"",1,0))/12)</x:f>
      </x:c>
    </x:row>
    <x:row r="229">
      <x:c r="A229" s="175" t="str">
        <x:f>IF(L229="","","EV-"&amp;TEXT(ROW()-3,"0000"))</x:f>
      </x:c>
      <x:c r="B229" s="174"/>
      <x:c r="C229" s="175" t="str">
        <x:f>IF(L229="","",IF(OR(CM229="Retracted",CN229="Retracted",F229="Not used"),"🔴 Do not use for conclusion",IF(OR(R229="Official / Institutional",I229="Official / contextual"),"🔵 Official / contextual",IF(OR(I229="Definition",I229="Framework",I229="Paradigm shift"),"🟣 Conceptual key source",IF(AND(CJ229="Yes",CL229="Yes",OR(CG229="High",CG229="Moderate"),CH229&lt;&gt;"High",CH229&lt;&gt;"Critical",F229="Claim-ready"),"🟢 Claim-ready","🟡 Caution / context")))))</x:f>
      </x:c>
      <x:c r="D229" s="174"/>
      <x:c r="E229" s="174"/>
      <x:c r="F229" s="174"/>
      <x:c r="G229" s="174"/>
      <x:c r="H229" s="174"/>
      <x:c r="I229" s="174"/>
      <x:c r="J229" s="174"/>
      <x:c r="K229" s="174"/>
      <x:c r="L229" s="174"/>
      <x:c r="M229" s="174"/>
      <x:c r="N229" s="174"/>
      <x:c r="O229" s="176"/>
      <x:c r="P229" s="174"/>
      <x:c r="Q229" s="174"/>
      <x:c r="R229" s="174"/>
      <x:c r="S229" s="174"/>
      <x:c r="T229" s="174"/>
      <x:c r="U229" s="174"/>
      <x:c r="V229" s="174"/>
      <x:c r="W229" s="175" t="str">
        <x:f>IF(V229="","",LOWER(SUBSTITUTE(SUBSTITUTE(SUBSTITUTE(SUBSTITUTE(TRIM(V229),"https://doi.org/",""),"http://doi.org/",""),"https://dx.doi.org/",""),"doi:","")))</x:f>
      </x:c>
      <x:c r="X229" s="174"/>
      <x:c r="Y229" s="174"/>
      <x:c r="Z229" s="174"/>
      <x:c r="AA229" s="174"/>
      <x:c r="AB229" s="174"/>
      <x:c r="AC229" s="174"/>
      <x:c r="AD229" s="177"/>
      <x:c r="AE229" s="177"/>
      <x:c r="AF229" s="174"/>
      <x:c r="AG229" s="174"/>
      <x:c r="AH229" s="174"/>
      <x:c r="AI229" s="174"/>
      <x:c r="AJ229" s="174"/>
      <x:c r="AK229" s="175" t="str">
        <x:f>IF(AJ229="","",IF(OR(LOWER(AJ229)="brazil",LOWER(AJ229)="brasil"),"Yes","No"))</x:f>
      </x:c>
      <x:c r="AL229" s="174"/>
      <x:c r="AM229" s="174"/>
      <x:c r="AN229" s="174"/>
      <x:c r="AO229" s="178"/>
      <x:c r="AP229" s="174"/>
      <x:c r="AQ229" s="174"/>
      <x:c r="AR229" s="174"/>
      <x:c r="AS229" s="174"/>
      <x:c r="AT229" s="174"/>
      <x:c r="AU229" s="174"/>
      <x:c r="AV229" s="174"/>
      <x:c r="AW229" s="174"/>
      <x:c r="AX229" s="174"/>
      <x:c r="AY229" s="174"/>
      <x:c r="AZ229" s="174"/>
      <x:c r="BA229" s="174"/>
      <x:c r="BB229" s="174"/>
      <x:c r="BC229" s="174"/>
      <x:c r="BD229" s="174"/>
      <x:c r="BE229" s="174"/>
      <x:c r="BF229" s="174"/>
      <x:c r="BG229" s="174"/>
      <x:c r="BH229" s="174"/>
      <x:c r="BI229" s="174"/>
      <x:c r="BJ229" s="174"/>
      <x:c r="BK229" s="174"/>
      <x:c r="BL229" s="174"/>
      <x:c r="BM229" s="174"/>
      <x:c r="BN229" s="174"/>
      <x:c r="BO229" s="174"/>
      <x:c r="BP229" s="174"/>
      <x:c r="BQ229" s="174"/>
      <x:c r="BR229" s="174"/>
      <x:c r="BS229" s="174"/>
      <x:c r="BT229" s="174"/>
      <x:c r="BU229" s="174"/>
      <x:c r="BV229" s="174"/>
      <x:c r="BW229" s="174"/>
      <x:c r="BX229" s="174"/>
      <x:c r="BY229" s="174"/>
      <x:c r="BZ229" s="174"/>
      <x:c r="CA229" s="174"/>
      <x:c r="CB229" s="174"/>
      <x:c r="CC229" s="174"/>
      <x:c r="CD229" s="174"/>
      <x:c r="CE229" s="174"/>
      <x:c r="CF229" s="174"/>
      <x:c r="CG229" s="174"/>
      <x:c r="CH229" s="174"/>
      <x:c r="CI229" s="179"/>
      <x:c r="CJ229" s="174"/>
      <x:c r="CK229" s="174"/>
      <x:c r="CL229" s="174"/>
      <x:c r="CM229" s="174"/>
      <x:c r="CN229" s="174"/>
      <x:c r="CO229" s="177"/>
      <x:c r="CP229" s="174"/>
      <x:c r="CQ229" s="174"/>
      <x:c r="CR229" s="174"/>
      <x:c r="CS229" s="174"/>
      <x:c r="CT229" s="174"/>
      <x:c r="CU229" s="176"/>
      <x:c r="CV229" s="176"/>
      <x:c r="CW229" s="176"/>
      <x:c r="CX229" s="176"/>
      <x:c r="CY229" s="176"/>
      <x:c r="CZ229" s="176"/>
      <x:c r="DA229" s="176"/>
      <x:c r="DB229" s="175" t="str">
        <x:f>IF(L229="","",IF(COUNT(CU229:DA229)&lt;7,"",SUM(CU229:DA229)))</x:f>
      </x:c>
      <x:c r="DC229" s="180" t="str">
        <x:f>IF(DB229="","",ROUND(DB229/14*10,1))</x:f>
      </x:c>
      <x:c r="DD229" s="174"/>
      <x:c r="DE229" s="175" t="str">
        <x:f>IF(L229="","",IF(DC229="","Pending",IF(DD229="Yes","CONDITIONAL — safety override",IF(DC229&gt;=8,"HIGH",IF(DC229&gt;=5,"CONDITIONAL","LOW")))))</x:f>
      </x:c>
      <x:c r="DF229" s="174"/>
      <x:c r="DG229" s="174"/>
      <x:c r="DH229" s="174"/>
      <x:c r="DI229" s="174"/>
      <x:c r="DJ229" s="174"/>
      <x:c r="DK229" s="174"/>
      <x:c r="DL229" s="174"/>
      <x:c r="DM229" s="174"/>
      <x:c r="DN229" s="174"/>
      <x:c r="DO229" s="174"/>
      <x:c r="DP229" s="174"/>
      <x:c r="DQ229" s="174"/>
      <x:c r="DR229" s="174"/>
      <x:c r="DS229" s="174"/>
      <x:c r="DT229" s="174"/>
      <x:c r="DU229" s="174"/>
      <x:c r="DV229" s="174"/>
      <x:c r="DW229" s="174"/>
      <x:c r="DX229" s="174"/>
      <x:c r="DY229" s="174"/>
      <x:c r="DZ229" s="174"/>
      <x:c r="EA229" s="174"/>
      <x:c r="EB229" s="175" t="str">
        <x:f>IF(L229="","",IF(AND(F229="Claim-ready",CJ229="Yes",CL229="Yes",DZ229&lt;&gt;""),"Yes","No / Pending"))</x:f>
      </x:c>
      <x:c r="EC229" s="174"/>
      <x:c r="ED229" s="174"/>
      <x:c r="EE229" s="174"/>
      <x:c r="EF229" s="174"/>
      <x:c r="EG229" s="174"/>
      <x:c r="EH229" s="177"/>
      <x:c r="EI229" s="174"/>
      <x:c r="EJ229" s="174"/>
      <x:c r="EK229" s="174"/>
      <x:c r="EL229" s="177"/>
      <x:c r="EM229" s="174"/>
      <x:c r="EN229" s="181" t="str">
        <x:f>IF(L229="","",(IF(N229&lt;&gt;"",1,0)+IF(O229&lt;&gt;"",1,0)+IF(AJ229&lt;&gt;"",1,0)+IF(AU229&lt;&gt;"",1,0)+IF(BE229&lt;&gt;"",1,0)+IF(CF229&lt;&gt;"",1,0)+IF(CJ229="Yes",1,0)+IF(CL229="Yes",1,0)+IF(DE229&lt;&gt;"Pending",1,0)+IF(F229&lt;&gt;"",1,0)+IF(DZ229&lt;&gt;"",1,0)+IF(EI229&lt;&gt;"",1,0))/12)</x:f>
      </x:c>
    </x:row>
    <x:row r="230">
      <x:c r="A230" s="175" t="str">
        <x:f>IF(L230="","","EV-"&amp;TEXT(ROW()-3,"0000"))</x:f>
      </x:c>
      <x:c r="B230" s="174"/>
      <x:c r="C230" s="175" t="str">
        <x:f>IF(L230="","",IF(OR(CM230="Retracted",CN230="Retracted",F230="Not used"),"🔴 Do not use for conclusion",IF(OR(R230="Official / Institutional",I230="Official / contextual"),"🔵 Official / contextual",IF(OR(I230="Definition",I230="Framework",I230="Paradigm shift"),"🟣 Conceptual key source",IF(AND(CJ230="Yes",CL230="Yes",OR(CG230="High",CG230="Moderate"),CH230&lt;&gt;"High",CH230&lt;&gt;"Critical",F230="Claim-ready"),"🟢 Claim-ready","🟡 Caution / context")))))</x:f>
      </x:c>
      <x:c r="D230" s="174"/>
      <x:c r="E230" s="174"/>
      <x:c r="F230" s="174"/>
      <x:c r="G230" s="174"/>
      <x:c r="H230" s="174"/>
      <x:c r="I230" s="174"/>
      <x:c r="J230" s="174"/>
      <x:c r="K230" s="174"/>
      <x:c r="L230" s="174"/>
      <x:c r="M230" s="174"/>
      <x:c r="N230" s="174"/>
      <x:c r="O230" s="176"/>
      <x:c r="P230" s="174"/>
      <x:c r="Q230" s="174"/>
      <x:c r="R230" s="174"/>
      <x:c r="S230" s="174"/>
      <x:c r="T230" s="174"/>
      <x:c r="U230" s="174"/>
      <x:c r="V230" s="174"/>
      <x:c r="W230" s="175" t="str">
        <x:f>IF(V230="","",LOWER(SUBSTITUTE(SUBSTITUTE(SUBSTITUTE(SUBSTITUTE(TRIM(V230),"https://doi.org/",""),"http://doi.org/",""),"https://dx.doi.org/",""),"doi:","")))</x:f>
      </x:c>
      <x:c r="X230" s="174"/>
      <x:c r="Y230" s="174"/>
      <x:c r="Z230" s="174"/>
      <x:c r="AA230" s="174"/>
      <x:c r="AB230" s="174"/>
      <x:c r="AC230" s="174"/>
      <x:c r="AD230" s="177"/>
      <x:c r="AE230" s="177"/>
      <x:c r="AF230" s="174"/>
      <x:c r="AG230" s="174"/>
      <x:c r="AH230" s="174"/>
      <x:c r="AI230" s="174"/>
      <x:c r="AJ230" s="174"/>
      <x:c r="AK230" s="175" t="str">
        <x:f>IF(AJ230="","",IF(OR(LOWER(AJ230)="brazil",LOWER(AJ230)="brasil"),"Yes","No"))</x:f>
      </x:c>
      <x:c r="AL230" s="174"/>
      <x:c r="AM230" s="174"/>
      <x:c r="AN230" s="174"/>
      <x:c r="AO230" s="178"/>
      <x:c r="AP230" s="174"/>
      <x:c r="AQ230" s="174"/>
      <x:c r="AR230" s="174"/>
      <x:c r="AS230" s="174"/>
      <x:c r="AT230" s="174"/>
      <x:c r="AU230" s="174"/>
      <x:c r="AV230" s="174"/>
      <x:c r="AW230" s="174"/>
      <x:c r="AX230" s="174"/>
      <x:c r="AY230" s="174"/>
      <x:c r="AZ230" s="174"/>
      <x:c r="BA230" s="174"/>
      <x:c r="BB230" s="174"/>
      <x:c r="BC230" s="174"/>
      <x:c r="BD230" s="174"/>
      <x:c r="BE230" s="174"/>
      <x:c r="BF230" s="174"/>
      <x:c r="BG230" s="174"/>
      <x:c r="BH230" s="174"/>
      <x:c r="BI230" s="174"/>
      <x:c r="BJ230" s="174"/>
      <x:c r="BK230" s="174"/>
      <x:c r="BL230" s="174"/>
      <x:c r="BM230" s="174"/>
      <x:c r="BN230" s="174"/>
      <x:c r="BO230" s="174"/>
      <x:c r="BP230" s="174"/>
      <x:c r="BQ230" s="174"/>
      <x:c r="BR230" s="174"/>
      <x:c r="BS230" s="174"/>
      <x:c r="BT230" s="174"/>
      <x:c r="BU230" s="174"/>
      <x:c r="BV230" s="174"/>
      <x:c r="BW230" s="174"/>
      <x:c r="BX230" s="174"/>
      <x:c r="BY230" s="174"/>
      <x:c r="BZ230" s="174"/>
      <x:c r="CA230" s="174"/>
      <x:c r="CB230" s="174"/>
      <x:c r="CC230" s="174"/>
      <x:c r="CD230" s="174"/>
      <x:c r="CE230" s="174"/>
      <x:c r="CF230" s="174"/>
      <x:c r="CG230" s="174"/>
      <x:c r="CH230" s="174"/>
      <x:c r="CI230" s="179"/>
      <x:c r="CJ230" s="174"/>
      <x:c r="CK230" s="174"/>
      <x:c r="CL230" s="174"/>
      <x:c r="CM230" s="174"/>
      <x:c r="CN230" s="174"/>
      <x:c r="CO230" s="177"/>
      <x:c r="CP230" s="174"/>
      <x:c r="CQ230" s="174"/>
      <x:c r="CR230" s="174"/>
      <x:c r="CS230" s="174"/>
      <x:c r="CT230" s="174"/>
      <x:c r="CU230" s="176"/>
      <x:c r="CV230" s="176"/>
      <x:c r="CW230" s="176"/>
      <x:c r="CX230" s="176"/>
      <x:c r="CY230" s="176"/>
      <x:c r="CZ230" s="176"/>
      <x:c r="DA230" s="176"/>
      <x:c r="DB230" s="175" t="str">
        <x:f>IF(L230="","",IF(COUNT(CU230:DA230)&lt;7,"",SUM(CU230:DA230)))</x:f>
      </x:c>
      <x:c r="DC230" s="180" t="str">
        <x:f>IF(DB230="","",ROUND(DB230/14*10,1))</x:f>
      </x:c>
      <x:c r="DD230" s="174"/>
      <x:c r="DE230" s="175" t="str">
        <x:f>IF(L230="","",IF(DC230="","Pending",IF(DD230="Yes","CONDITIONAL — safety override",IF(DC230&gt;=8,"HIGH",IF(DC230&gt;=5,"CONDITIONAL","LOW")))))</x:f>
      </x:c>
      <x:c r="DF230" s="174"/>
      <x:c r="DG230" s="174"/>
      <x:c r="DH230" s="174"/>
      <x:c r="DI230" s="174"/>
      <x:c r="DJ230" s="174"/>
      <x:c r="DK230" s="174"/>
      <x:c r="DL230" s="174"/>
      <x:c r="DM230" s="174"/>
      <x:c r="DN230" s="174"/>
      <x:c r="DO230" s="174"/>
      <x:c r="DP230" s="174"/>
      <x:c r="DQ230" s="174"/>
      <x:c r="DR230" s="174"/>
      <x:c r="DS230" s="174"/>
      <x:c r="DT230" s="174"/>
      <x:c r="DU230" s="174"/>
      <x:c r="DV230" s="174"/>
      <x:c r="DW230" s="174"/>
      <x:c r="DX230" s="174"/>
      <x:c r="DY230" s="174"/>
      <x:c r="DZ230" s="174"/>
      <x:c r="EA230" s="174"/>
      <x:c r="EB230" s="175" t="str">
        <x:f>IF(L230="","",IF(AND(F230="Claim-ready",CJ230="Yes",CL230="Yes",DZ230&lt;&gt;""),"Yes","No / Pending"))</x:f>
      </x:c>
      <x:c r="EC230" s="174"/>
      <x:c r="ED230" s="174"/>
      <x:c r="EE230" s="174"/>
      <x:c r="EF230" s="174"/>
      <x:c r="EG230" s="174"/>
      <x:c r="EH230" s="177"/>
      <x:c r="EI230" s="174"/>
      <x:c r="EJ230" s="174"/>
      <x:c r="EK230" s="174"/>
      <x:c r="EL230" s="177"/>
      <x:c r="EM230" s="174"/>
      <x:c r="EN230" s="181" t="str">
        <x:f>IF(L230="","",(IF(N230&lt;&gt;"",1,0)+IF(O230&lt;&gt;"",1,0)+IF(AJ230&lt;&gt;"",1,0)+IF(AU230&lt;&gt;"",1,0)+IF(BE230&lt;&gt;"",1,0)+IF(CF230&lt;&gt;"",1,0)+IF(CJ230="Yes",1,0)+IF(CL230="Yes",1,0)+IF(DE230&lt;&gt;"Pending",1,0)+IF(F230&lt;&gt;"",1,0)+IF(DZ230&lt;&gt;"",1,0)+IF(EI230&lt;&gt;"",1,0))/12)</x:f>
      </x:c>
    </x:row>
    <x:row r="231">
      <x:c r="A231" s="175" t="str">
        <x:f>IF(L231="","","EV-"&amp;TEXT(ROW()-3,"0000"))</x:f>
      </x:c>
      <x:c r="B231" s="174"/>
      <x:c r="C231" s="175" t="str">
        <x:f>IF(L231="","",IF(OR(CM231="Retracted",CN231="Retracted",F231="Not used"),"🔴 Do not use for conclusion",IF(OR(R231="Official / Institutional",I231="Official / contextual"),"🔵 Official / contextual",IF(OR(I231="Definition",I231="Framework",I231="Paradigm shift"),"🟣 Conceptual key source",IF(AND(CJ231="Yes",CL231="Yes",OR(CG231="High",CG231="Moderate"),CH231&lt;&gt;"High",CH231&lt;&gt;"Critical",F231="Claim-ready"),"🟢 Claim-ready","🟡 Caution / context")))))</x:f>
      </x:c>
      <x:c r="D231" s="174"/>
      <x:c r="E231" s="174"/>
      <x:c r="F231" s="174"/>
      <x:c r="G231" s="174"/>
      <x:c r="H231" s="174"/>
      <x:c r="I231" s="174"/>
      <x:c r="J231" s="174"/>
      <x:c r="K231" s="174"/>
      <x:c r="L231" s="174"/>
      <x:c r="M231" s="174"/>
      <x:c r="N231" s="174"/>
      <x:c r="O231" s="176"/>
      <x:c r="P231" s="174"/>
      <x:c r="Q231" s="174"/>
      <x:c r="R231" s="174"/>
      <x:c r="S231" s="174"/>
      <x:c r="T231" s="174"/>
      <x:c r="U231" s="174"/>
      <x:c r="V231" s="174"/>
      <x:c r="W231" s="175" t="str">
        <x:f>IF(V231="","",LOWER(SUBSTITUTE(SUBSTITUTE(SUBSTITUTE(SUBSTITUTE(TRIM(V231),"https://doi.org/",""),"http://doi.org/",""),"https://dx.doi.org/",""),"doi:","")))</x:f>
      </x:c>
      <x:c r="X231" s="174"/>
      <x:c r="Y231" s="174"/>
      <x:c r="Z231" s="174"/>
      <x:c r="AA231" s="174"/>
      <x:c r="AB231" s="174"/>
      <x:c r="AC231" s="174"/>
      <x:c r="AD231" s="177"/>
      <x:c r="AE231" s="177"/>
      <x:c r="AF231" s="174"/>
      <x:c r="AG231" s="174"/>
      <x:c r="AH231" s="174"/>
      <x:c r="AI231" s="174"/>
      <x:c r="AJ231" s="174"/>
      <x:c r="AK231" s="175" t="str">
        <x:f>IF(AJ231="","",IF(OR(LOWER(AJ231)="brazil",LOWER(AJ231)="brasil"),"Yes","No"))</x:f>
      </x:c>
      <x:c r="AL231" s="174"/>
      <x:c r="AM231" s="174"/>
      <x:c r="AN231" s="174"/>
      <x:c r="AO231" s="178"/>
      <x:c r="AP231" s="174"/>
      <x:c r="AQ231" s="174"/>
      <x:c r="AR231" s="174"/>
      <x:c r="AS231" s="174"/>
      <x:c r="AT231" s="174"/>
      <x:c r="AU231" s="174"/>
      <x:c r="AV231" s="174"/>
      <x:c r="AW231" s="174"/>
      <x:c r="AX231" s="174"/>
      <x:c r="AY231" s="174"/>
      <x:c r="AZ231" s="174"/>
      <x:c r="BA231" s="174"/>
      <x:c r="BB231" s="174"/>
      <x:c r="BC231" s="174"/>
      <x:c r="BD231" s="174"/>
      <x:c r="BE231" s="174"/>
      <x:c r="BF231" s="174"/>
      <x:c r="BG231" s="174"/>
      <x:c r="BH231" s="174"/>
      <x:c r="BI231" s="174"/>
      <x:c r="BJ231" s="174"/>
      <x:c r="BK231" s="174"/>
      <x:c r="BL231" s="174"/>
      <x:c r="BM231" s="174"/>
      <x:c r="BN231" s="174"/>
      <x:c r="BO231" s="174"/>
      <x:c r="BP231" s="174"/>
      <x:c r="BQ231" s="174"/>
      <x:c r="BR231" s="174"/>
      <x:c r="BS231" s="174"/>
      <x:c r="BT231" s="174"/>
      <x:c r="BU231" s="174"/>
      <x:c r="BV231" s="174"/>
      <x:c r="BW231" s="174"/>
      <x:c r="BX231" s="174"/>
      <x:c r="BY231" s="174"/>
      <x:c r="BZ231" s="174"/>
      <x:c r="CA231" s="174"/>
      <x:c r="CB231" s="174"/>
      <x:c r="CC231" s="174"/>
      <x:c r="CD231" s="174"/>
      <x:c r="CE231" s="174"/>
      <x:c r="CF231" s="174"/>
      <x:c r="CG231" s="174"/>
      <x:c r="CH231" s="174"/>
      <x:c r="CI231" s="179"/>
      <x:c r="CJ231" s="174"/>
      <x:c r="CK231" s="174"/>
      <x:c r="CL231" s="174"/>
      <x:c r="CM231" s="174"/>
      <x:c r="CN231" s="174"/>
      <x:c r="CO231" s="177"/>
      <x:c r="CP231" s="174"/>
      <x:c r="CQ231" s="174"/>
      <x:c r="CR231" s="174"/>
      <x:c r="CS231" s="174"/>
      <x:c r="CT231" s="174"/>
      <x:c r="CU231" s="176"/>
      <x:c r="CV231" s="176"/>
      <x:c r="CW231" s="176"/>
      <x:c r="CX231" s="176"/>
      <x:c r="CY231" s="176"/>
      <x:c r="CZ231" s="176"/>
      <x:c r="DA231" s="176"/>
      <x:c r="DB231" s="175" t="str">
        <x:f>IF(L231="","",IF(COUNT(CU231:DA231)&lt;7,"",SUM(CU231:DA231)))</x:f>
      </x:c>
      <x:c r="DC231" s="180" t="str">
        <x:f>IF(DB231="","",ROUND(DB231/14*10,1))</x:f>
      </x:c>
      <x:c r="DD231" s="174"/>
      <x:c r="DE231" s="175" t="str">
        <x:f>IF(L231="","",IF(DC231="","Pending",IF(DD231="Yes","CONDITIONAL — safety override",IF(DC231&gt;=8,"HIGH",IF(DC231&gt;=5,"CONDITIONAL","LOW")))))</x:f>
      </x:c>
      <x:c r="DF231" s="174"/>
      <x:c r="DG231" s="174"/>
      <x:c r="DH231" s="174"/>
      <x:c r="DI231" s="174"/>
      <x:c r="DJ231" s="174"/>
      <x:c r="DK231" s="174"/>
      <x:c r="DL231" s="174"/>
      <x:c r="DM231" s="174"/>
      <x:c r="DN231" s="174"/>
      <x:c r="DO231" s="174"/>
      <x:c r="DP231" s="174"/>
      <x:c r="DQ231" s="174"/>
      <x:c r="DR231" s="174"/>
      <x:c r="DS231" s="174"/>
      <x:c r="DT231" s="174"/>
      <x:c r="DU231" s="174"/>
      <x:c r="DV231" s="174"/>
      <x:c r="DW231" s="174"/>
      <x:c r="DX231" s="174"/>
      <x:c r="DY231" s="174"/>
      <x:c r="DZ231" s="174"/>
      <x:c r="EA231" s="174"/>
      <x:c r="EB231" s="175" t="str">
        <x:f>IF(L231="","",IF(AND(F231="Claim-ready",CJ231="Yes",CL231="Yes",DZ231&lt;&gt;""),"Yes","No / Pending"))</x:f>
      </x:c>
      <x:c r="EC231" s="174"/>
      <x:c r="ED231" s="174"/>
      <x:c r="EE231" s="174"/>
      <x:c r="EF231" s="174"/>
      <x:c r="EG231" s="174"/>
      <x:c r="EH231" s="177"/>
      <x:c r="EI231" s="174"/>
      <x:c r="EJ231" s="174"/>
      <x:c r="EK231" s="174"/>
      <x:c r="EL231" s="177"/>
      <x:c r="EM231" s="174"/>
      <x:c r="EN231" s="181" t="str">
        <x:f>IF(L231="","",(IF(N231&lt;&gt;"",1,0)+IF(O231&lt;&gt;"",1,0)+IF(AJ231&lt;&gt;"",1,0)+IF(AU231&lt;&gt;"",1,0)+IF(BE231&lt;&gt;"",1,0)+IF(CF231&lt;&gt;"",1,0)+IF(CJ231="Yes",1,0)+IF(CL231="Yes",1,0)+IF(DE231&lt;&gt;"Pending",1,0)+IF(F231&lt;&gt;"",1,0)+IF(DZ231&lt;&gt;"",1,0)+IF(EI231&lt;&gt;"",1,0))/12)</x:f>
      </x:c>
    </x:row>
    <x:row r="232">
      <x:c r="A232" s="175" t="str">
        <x:f>IF(L232="","","EV-"&amp;TEXT(ROW()-3,"0000"))</x:f>
      </x:c>
      <x:c r="B232" s="174"/>
      <x:c r="C232" s="175" t="str">
        <x:f>IF(L232="","",IF(OR(CM232="Retracted",CN232="Retracted",F232="Not used"),"🔴 Do not use for conclusion",IF(OR(R232="Official / Institutional",I232="Official / contextual"),"🔵 Official / contextual",IF(OR(I232="Definition",I232="Framework",I232="Paradigm shift"),"🟣 Conceptual key source",IF(AND(CJ232="Yes",CL232="Yes",OR(CG232="High",CG232="Moderate"),CH232&lt;&gt;"High",CH232&lt;&gt;"Critical",F232="Claim-ready"),"🟢 Claim-ready","🟡 Caution / context")))))</x:f>
      </x:c>
      <x:c r="D232" s="174"/>
      <x:c r="E232" s="174"/>
      <x:c r="F232" s="174"/>
      <x:c r="G232" s="174"/>
      <x:c r="H232" s="174"/>
      <x:c r="I232" s="174"/>
      <x:c r="J232" s="174"/>
      <x:c r="K232" s="174"/>
      <x:c r="L232" s="174"/>
      <x:c r="M232" s="174"/>
      <x:c r="N232" s="174"/>
      <x:c r="O232" s="176"/>
      <x:c r="P232" s="174"/>
      <x:c r="Q232" s="174"/>
      <x:c r="R232" s="174"/>
      <x:c r="S232" s="174"/>
      <x:c r="T232" s="174"/>
      <x:c r="U232" s="174"/>
      <x:c r="V232" s="174"/>
      <x:c r="W232" s="175" t="str">
        <x:f>IF(V232="","",LOWER(SUBSTITUTE(SUBSTITUTE(SUBSTITUTE(SUBSTITUTE(TRIM(V232),"https://doi.org/",""),"http://doi.org/",""),"https://dx.doi.org/",""),"doi:","")))</x:f>
      </x:c>
      <x:c r="X232" s="174"/>
      <x:c r="Y232" s="174"/>
      <x:c r="Z232" s="174"/>
      <x:c r="AA232" s="174"/>
      <x:c r="AB232" s="174"/>
      <x:c r="AC232" s="174"/>
      <x:c r="AD232" s="177"/>
      <x:c r="AE232" s="177"/>
      <x:c r="AF232" s="174"/>
      <x:c r="AG232" s="174"/>
      <x:c r="AH232" s="174"/>
      <x:c r="AI232" s="174"/>
      <x:c r="AJ232" s="174"/>
      <x:c r="AK232" s="175" t="str">
        <x:f>IF(AJ232="","",IF(OR(LOWER(AJ232)="brazil",LOWER(AJ232)="brasil"),"Yes","No"))</x:f>
      </x:c>
      <x:c r="AL232" s="174"/>
      <x:c r="AM232" s="174"/>
      <x:c r="AN232" s="174"/>
      <x:c r="AO232" s="178"/>
      <x:c r="AP232" s="174"/>
      <x:c r="AQ232" s="174"/>
      <x:c r="AR232" s="174"/>
      <x:c r="AS232" s="174"/>
      <x:c r="AT232" s="174"/>
      <x:c r="AU232" s="174"/>
      <x:c r="AV232" s="174"/>
      <x:c r="AW232" s="174"/>
      <x:c r="AX232" s="174"/>
      <x:c r="AY232" s="174"/>
      <x:c r="AZ232" s="174"/>
      <x:c r="BA232" s="174"/>
      <x:c r="BB232" s="174"/>
      <x:c r="BC232" s="174"/>
      <x:c r="BD232" s="174"/>
      <x:c r="BE232" s="174"/>
      <x:c r="BF232" s="174"/>
      <x:c r="BG232" s="174"/>
      <x:c r="BH232" s="174"/>
      <x:c r="BI232" s="174"/>
      <x:c r="BJ232" s="174"/>
      <x:c r="BK232" s="174"/>
      <x:c r="BL232" s="174"/>
      <x:c r="BM232" s="174"/>
      <x:c r="BN232" s="174"/>
      <x:c r="BO232" s="174"/>
      <x:c r="BP232" s="174"/>
      <x:c r="BQ232" s="174"/>
      <x:c r="BR232" s="174"/>
      <x:c r="BS232" s="174"/>
      <x:c r="BT232" s="174"/>
      <x:c r="BU232" s="174"/>
      <x:c r="BV232" s="174"/>
      <x:c r="BW232" s="174"/>
      <x:c r="BX232" s="174"/>
      <x:c r="BY232" s="174"/>
      <x:c r="BZ232" s="174"/>
      <x:c r="CA232" s="174"/>
      <x:c r="CB232" s="174"/>
      <x:c r="CC232" s="174"/>
      <x:c r="CD232" s="174"/>
      <x:c r="CE232" s="174"/>
      <x:c r="CF232" s="174"/>
      <x:c r="CG232" s="174"/>
      <x:c r="CH232" s="174"/>
      <x:c r="CI232" s="179"/>
      <x:c r="CJ232" s="174"/>
      <x:c r="CK232" s="174"/>
      <x:c r="CL232" s="174"/>
      <x:c r="CM232" s="174"/>
      <x:c r="CN232" s="174"/>
      <x:c r="CO232" s="177"/>
      <x:c r="CP232" s="174"/>
      <x:c r="CQ232" s="174"/>
      <x:c r="CR232" s="174"/>
      <x:c r="CS232" s="174"/>
      <x:c r="CT232" s="174"/>
      <x:c r="CU232" s="176"/>
      <x:c r="CV232" s="176"/>
      <x:c r="CW232" s="176"/>
      <x:c r="CX232" s="176"/>
      <x:c r="CY232" s="176"/>
      <x:c r="CZ232" s="176"/>
      <x:c r="DA232" s="176"/>
      <x:c r="DB232" s="175" t="str">
        <x:f>IF(L232="","",IF(COUNT(CU232:DA232)&lt;7,"",SUM(CU232:DA232)))</x:f>
      </x:c>
      <x:c r="DC232" s="180" t="str">
        <x:f>IF(DB232="","",ROUND(DB232/14*10,1))</x:f>
      </x:c>
      <x:c r="DD232" s="174"/>
      <x:c r="DE232" s="175" t="str">
        <x:f>IF(L232="","",IF(DC232="","Pending",IF(DD232="Yes","CONDITIONAL — safety override",IF(DC232&gt;=8,"HIGH",IF(DC232&gt;=5,"CONDITIONAL","LOW")))))</x:f>
      </x:c>
      <x:c r="DF232" s="174"/>
      <x:c r="DG232" s="174"/>
      <x:c r="DH232" s="174"/>
      <x:c r="DI232" s="174"/>
      <x:c r="DJ232" s="174"/>
      <x:c r="DK232" s="174"/>
      <x:c r="DL232" s="174"/>
      <x:c r="DM232" s="174"/>
      <x:c r="DN232" s="174"/>
      <x:c r="DO232" s="174"/>
      <x:c r="DP232" s="174"/>
      <x:c r="DQ232" s="174"/>
      <x:c r="DR232" s="174"/>
      <x:c r="DS232" s="174"/>
      <x:c r="DT232" s="174"/>
      <x:c r="DU232" s="174"/>
      <x:c r="DV232" s="174"/>
      <x:c r="DW232" s="174"/>
      <x:c r="DX232" s="174"/>
      <x:c r="DY232" s="174"/>
      <x:c r="DZ232" s="174"/>
      <x:c r="EA232" s="174"/>
      <x:c r="EB232" s="175" t="str">
        <x:f>IF(L232="","",IF(AND(F232="Claim-ready",CJ232="Yes",CL232="Yes",DZ232&lt;&gt;""),"Yes","No / Pending"))</x:f>
      </x:c>
      <x:c r="EC232" s="174"/>
      <x:c r="ED232" s="174"/>
      <x:c r="EE232" s="174"/>
      <x:c r="EF232" s="174"/>
      <x:c r="EG232" s="174"/>
      <x:c r="EH232" s="177"/>
      <x:c r="EI232" s="174"/>
      <x:c r="EJ232" s="174"/>
      <x:c r="EK232" s="174"/>
      <x:c r="EL232" s="177"/>
      <x:c r="EM232" s="174"/>
      <x:c r="EN232" s="181" t="str">
        <x:f>IF(L232="","",(IF(N232&lt;&gt;"",1,0)+IF(O232&lt;&gt;"",1,0)+IF(AJ232&lt;&gt;"",1,0)+IF(AU232&lt;&gt;"",1,0)+IF(BE232&lt;&gt;"",1,0)+IF(CF232&lt;&gt;"",1,0)+IF(CJ232="Yes",1,0)+IF(CL232="Yes",1,0)+IF(DE232&lt;&gt;"Pending",1,0)+IF(F232&lt;&gt;"",1,0)+IF(DZ232&lt;&gt;"",1,0)+IF(EI232&lt;&gt;"",1,0))/12)</x:f>
      </x:c>
    </x:row>
    <x:row r="233">
      <x:c r="A233" s="175" t="str">
        <x:f>IF(L233="","","EV-"&amp;TEXT(ROW()-3,"0000"))</x:f>
      </x:c>
      <x:c r="B233" s="174"/>
      <x:c r="C233" s="175" t="str">
        <x:f>IF(L233="","",IF(OR(CM233="Retracted",CN233="Retracted",F233="Not used"),"🔴 Do not use for conclusion",IF(OR(R233="Official / Institutional",I233="Official / contextual"),"🔵 Official / contextual",IF(OR(I233="Definition",I233="Framework",I233="Paradigm shift"),"🟣 Conceptual key source",IF(AND(CJ233="Yes",CL233="Yes",OR(CG233="High",CG233="Moderate"),CH233&lt;&gt;"High",CH233&lt;&gt;"Critical",F233="Claim-ready"),"🟢 Claim-ready","🟡 Caution / context")))))</x:f>
      </x:c>
      <x:c r="D233" s="174"/>
      <x:c r="E233" s="174"/>
      <x:c r="F233" s="174"/>
      <x:c r="G233" s="174"/>
      <x:c r="H233" s="174"/>
      <x:c r="I233" s="174"/>
      <x:c r="J233" s="174"/>
      <x:c r="K233" s="174"/>
      <x:c r="L233" s="174"/>
      <x:c r="M233" s="174"/>
      <x:c r="N233" s="174"/>
      <x:c r="O233" s="176"/>
      <x:c r="P233" s="174"/>
      <x:c r="Q233" s="174"/>
      <x:c r="R233" s="174"/>
      <x:c r="S233" s="174"/>
      <x:c r="T233" s="174"/>
      <x:c r="U233" s="174"/>
      <x:c r="V233" s="174"/>
      <x:c r="W233" s="175" t="str">
        <x:f>IF(V233="","",LOWER(SUBSTITUTE(SUBSTITUTE(SUBSTITUTE(SUBSTITUTE(TRIM(V233),"https://doi.org/",""),"http://doi.org/",""),"https://dx.doi.org/",""),"doi:","")))</x:f>
      </x:c>
      <x:c r="X233" s="174"/>
      <x:c r="Y233" s="174"/>
      <x:c r="Z233" s="174"/>
      <x:c r="AA233" s="174"/>
      <x:c r="AB233" s="174"/>
      <x:c r="AC233" s="174"/>
      <x:c r="AD233" s="177"/>
      <x:c r="AE233" s="177"/>
      <x:c r="AF233" s="174"/>
      <x:c r="AG233" s="174"/>
      <x:c r="AH233" s="174"/>
      <x:c r="AI233" s="174"/>
      <x:c r="AJ233" s="174"/>
      <x:c r="AK233" s="175" t="str">
        <x:f>IF(AJ233="","",IF(OR(LOWER(AJ233)="brazil",LOWER(AJ233)="brasil"),"Yes","No"))</x:f>
      </x:c>
      <x:c r="AL233" s="174"/>
      <x:c r="AM233" s="174"/>
      <x:c r="AN233" s="174"/>
      <x:c r="AO233" s="178"/>
      <x:c r="AP233" s="174"/>
      <x:c r="AQ233" s="174"/>
      <x:c r="AR233" s="174"/>
      <x:c r="AS233" s="174"/>
      <x:c r="AT233" s="174"/>
      <x:c r="AU233" s="174"/>
      <x:c r="AV233" s="174"/>
      <x:c r="AW233" s="174"/>
      <x:c r="AX233" s="174"/>
      <x:c r="AY233" s="174"/>
      <x:c r="AZ233" s="174"/>
      <x:c r="BA233" s="174"/>
      <x:c r="BB233" s="174"/>
      <x:c r="BC233" s="174"/>
      <x:c r="BD233" s="174"/>
      <x:c r="BE233" s="174"/>
      <x:c r="BF233" s="174"/>
      <x:c r="BG233" s="174"/>
      <x:c r="BH233" s="174"/>
      <x:c r="BI233" s="174"/>
      <x:c r="BJ233" s="174"/>
      <x:c r="BK233" s="174"/>
      <x:c r="BL233" s="174"/>
      <x:c r="BM233" s="174"/>
      <x:c r="BN233" s="174"/>
      <x:c r="BO233" s="174"/>
      <x:c r="BP233" s="174"/>
      <x:c r="BQ233" s="174"/>
      <x:c r="BR233" s="174"/>
      <x:c r="BS233" s="174"/>
      <x:c r="BT233" s="174"/>
      <x:c r="BU233" s="174"/>
      <x:c r="BV233" s="174"/>
      <x:c r="BW233" s="174"/>
      <x:c r="BX233" s="174"/>
      <x:c r="BY233" s="174"/>
      <x:c r="BZ233" s="174"/>
      <x:c r="CA233" s="174"/>
      <x:c r="CB233" s="174"/>
      <x:c r="CC233" s="174"/>
      <x:c r="CD233" s="174"/>
      <x:c r="CE233" s="174"/>
      <x:c r="CF233" s="174"/>
      <x:c r="CG233" s="174"/>
      <x:c r="CH233" s="174"/>
      <x:c r="CI233" s="179"/>
      <x:c r="CJ233" s="174"/>
      <x:c r="CK233" s="174"/>
      <x:c r="CL233" s="174"/>
      <x:c r="CM233" s="174"/>
      <x:c r="CN233" s="174"/>
      <x:c r="CO233" s="177"/>
      <x:c r="CP233" s="174"/>
      <x:c r="CQ233" s="174"/>
      <x:c r="CR233" s="174"/>
      <x:c r="CS233" s="174"/>
      <x:c r="CT233" s="174"/>
      <x:c r="CU233" s="176"/>
      <x:c r="CV233" s="176"/>
      <x:c r="CW233" s="176"/>
      <x:c r="CX233" s="176"/>
      <x:c r="CY233" s="176"/>
      <x:c r="CZ233" s="176"/>
      <x:c r="DA233" s="176"/>
      <x:c r="DB233" s="175" t="str">
        <x:f>IF(L233="","",IF(COUNT(CU233:DA233)&lt;7,"",SUM(CU233:DA233)))</x:f>
      </x:c>
      <x:c r="DC233" s="180" t="str">
        <x:f>IF(DB233="","",ROUND(DB233/14*10,1))</x:f>
      </x:c>
      <x:c r="DD233" s="174"/>
      <x:c r="DE233" s="175" t="str">
        <x:f>IF(L233="","",IF(DC233="","Pending",IF(DD233="Yes","CONDITIONAL — safety override",IF(DC233&gt;=8,"HIGH",IF(DC233&gt;=5,"CONDITIONAL","LOW")))))</x:f>
      </x:c>
      <x:c r="DF233" s="174"/>
      <x:c r="DG233" s="174"/>
      <x:c r="DH233" s="174"/>
      <x:c r="DI233" s="174"/>
      <x:c r="DJ233" s="174"/>
      <x:c r="DK233" s="174"/>
      <x:c r="DL233" s="174"/>
      <x:c r="DM233" s="174"/>
      <x:c r="DN233" s="174"/>
      <x:c r="DO233" s="174"/>
      <x:c r="DP233" s="174"/>
      <x:c r="DQ233" s="174"/>
      <x:c r="DR233" s="174"/>
      <x:c r="DS233" s="174"/>
      <x:c r="DT233" s="174"/>
      <x:c r="DU233" s="174"/>
      <x:c r="DV233" s="174"/>
      <x:c r="DW233" s="174"/>
      <x:c r="DX233" s="174"/>
      <x:c r="DY233" s="174"/>
      <x:c r="DZ233" s="174"/>
      <x:c r="EA233" s="174"/>
      <x:c r="EB233" s="175" t="str">
        <x:f>IF(L233="","",IF(AND(F233="Claim-ready",CJ233="Yes",CL233="Yes",DZ233&lt;&gt;""),"Yes","No / Pending"))</x:f>
      </x:c>
      <x:c r="EC233" s="174"/>
      <x:c r="ED233" s="174"/>
      <x:c r="EE233" s="174"/>
      <x:c r="EF233" s="174"/>
      <x:c r="EG233" s="174"/>
      <x:c r="EH233" s="177"/>
      <x:c r="EI233" s="174"/>
      <x:c r="EJ233" s="174"/>
      <x:c r="EK233" s="174"/>
      <x:c r="EL233" s="177"/>
      <x:c r="EM233" s="174"/>
      <x:c r="EN233" s="181" t="str">
        <x:f>IF(L233="","",(IF(N233&lt;&gt;"",1,0)+IF(O233&lt;&gt;"",1,0)+IF(AJ233&lt;&gt;"",1,0)+IF(AU233&lt;&gt;"",1,0)+IF(BE233&lt;&gt;"",1,0)+IF(CF233&lt;&gt;"",1,0)+IF(CJ233="Yes",1,0)+IF(CL233="Yes",1,0)+IF(DE233&lt;&gt;"Pending",1,0)+IF(F233&lt;&gt;"",1,0)+IF(DZ233&lt;&gt;"",1,0)+IF(EI233&lt;&gt;"",1,0))/12)</x:f>
      </x:c>
    </x:row>
    <x:row r="234">
      <x:c r="A234" s="175" t="str">
        <x:f>IF(L234="","","EV-"&amp;TEXT(ROW()-3,"0000"))</x:f>
      </x:c>
      <x:c r="B234" s="174"/>
      <x:c r="C234" s="175" t="str">
        <x:f>IF(L234="","",IF(OR(CM234="Retracted",CN234="Retracted",F234="Not used"),"🔴 Do not use for conclusion",IF(OR(R234="Official / Institutional",I234="Official / contextual"),"🔵 Official / contextual",IF(OR(I234="Definition",I234="Framework",I234="Paradigm shift"),"🟣 Conceptual key source",IF(AND(CJ234="Yes",CL234="Yes",OR(CG234="High",CG234="Moderate"),CH234&lt;&gt;"High",CH234&lt;&gt;"Critical",F234="Claim-ready"),"🟢 Claim-ready","🟡 Caution / context")))))</x:f>
      </x:c>
      <x:c r="D234" s="174"/>
      <x:c r="E234" s="174"/>
      <x:c r="F234" s="174"/>
      <x:c r="G234" s="174"/>
      <x:c r="H234" s="174"/>
      <x:c r="I234" s="174"/>
      <x:c r="J234" s="174"/>
      <x:c r="K234" s="174"/>
      <x:c r="L234" s="174"/>
      <x:c r="M234" s="174"/>
      <x:c r="N234" s="174"/>
      <x:c r="O234" s="176"/>
      <x:c r="P234" s="174"/>
      <x:c r="Q234" s="174"/>
      <x:c r="R234" s="174"/>
      <x:c r="S234" s="174"/>
      <x:c r="T234" s="174"/>
      <x:c r="U234" s="174"/>
      <x:c r="V234" s="174"/>
      <x:c r="W234" s="175" t="str">
        <x:f>IF(V234="","",LOWER(SUBSTITUTE(SUBSTITUTE(SUBSTITUTE(SUBSTITUTE(TRIM(V234),"https://doi.org/",""),"http://doi.org/",""),"https://dx.doi.org/",""),"doi:","")))</x:f>
      </x:c>
      <x:c r="X234" s="174"/>
      <x:c r="Y234" s="174"/>
      <x:c r="Z234" s="174"/>
      <x:c r="AA234" s="174"/>
      <x:c r="AB234" s="174"/>
      <x:c r="AC234" s="174"/>
      <x:c r="AD234" s="177"/>
      <x:c r="AE234" s="177"/>
      <x:c r="AF234" s="174"/>
      <x:c r="AG234" s="174"/>
      <x:c r="AH234" s="174"/>
      <x:c r="AI234" s="174"/>
      <x:c r="AJ234" s="174"/>
      <x:c r="AK234" s="175" t="str">
        <x:f>IF(AJ234="","",IF(OR(LOWER(AJ234)="brazil",LOWER(AJ234)="brasil"),"Yes","No"))</x:f>
      </x:c>
      <x:c r="AL234" s="174"/>
      <x:c r="AM234" s="174"/>
      <x:c r="AN234" s="174"/>
      <x:c r="AO234" s="178"/>
      <x:c r="AP234" s="174"/>
      <x:c r="AQ234" s="174"/>
      <x:c r="AR234" s="174"/>
      <x:c r="AS234" s="174"/>
      <x:c r="AT234" s="174"/>
      <x:c r="AU234" s="174"/>
      <x:c r="AV234" s="174"/>
      <x:c r="AW234" s="174"/>
      <x:c r="AX234" s="174"/>
      <x:c r="AY234" s="174"/>
      <x:c r="AZ234" s="174"/>
      <x:c r="BA234" s="174"/>
      <x:c r="BB234" s="174"/>
      <x:c r="BC234" s="174"/>
      <x:c r="BD234" s="174"/>
      <x:c r="BE234" s="174"/>
      <x:c r="BF234" s="174"/>
      <x:c r="BG234" s="174"/>
      <x:c r="BH234" s="174"/>
      <x:c r="BI234" s="174"/>
      <x:c r="BJ234" s="174"/>
      <x:c r="BK234" s="174"/>
      <x:c r="BL234" s="174"/>
      <x:c r="BM234" s="174"/>
      <x:c r="BN234" s="174"/>
      <x:c r="BO234" s="174"/>
      <x:c r="BP234" s="174"/>
      <x:c r="BQ234" s="174"/>
      <x:c r="BR234" s="174"/>
      <x:c r="BS234" s="174"/>
      <x:c r="BT234" s="174"/>
      <x:c r="BU234" s="174"/>
      <x:c r="BV234" s="174"/>
      <x:c r="BW234" s="174"/>
      <x:c r="BX234" s="174"/>
      <x:c r="BY234" s="174"/>
      <x:c r="BZ234" s="174"/>
      <x:c r="CA234" s="174"/>
      <x:c r="CB234" s="174"/>
      <x:c r="CC234" s="174"/>
      <x:c r="CD234" s="174"/>
      <x:c r="CE234" s="174"/>
      <x:c r="CF234" s="174"/>
      <x:c r="CG234" s="174"/>
      <x:c r="CH234" s="174"/>
      <x:c r="CI234" s="179"/>
      <x:c r="CJ234" s="174"/>
      <x:c r="CK234" s="174"/>
      <x:c r="CL234" s="174"/>
      <x:c r="CM234" s="174"/>
      <x:c r="CN234" s="174"/>
      <x:c r="CO234" s="177"/>
      <x:c r="CP234" s="174"/>
      <x:c r="CQ234" s="174"/>
      <x:c r="CR234" s="174"/>
      <x:c r="CS234" s="174"/>
      <x:c r="CT234" s="174"/>
      <x:c r="CU234" s="176"/>
      <x:c r="CV234" s="176"/>
      <x:c r="CW234" s="176"/>
      <x:c r="CX234" s="176"/>
      <x:c r="CY234" s="176"/>
      <x:c r="CZ234" s="176"/>
      <x:c r="DA234" s="176"/>
      <x:c r="DB234" s="175" t="str">
        <x:f>IF(L234="","",IF(COUNT(CU234:DA234)&lt;7,"",SUM(CU234:DA234)))</x:f>
      </x:c>
      <x:c r="DC234" s="180" t="str">
        <x:f>IF(DB234="","",ROUND(DB234/14*10,1))</x:f>
      </x:c>
      <x:c r="DD234" s="174"/>
      <x:c r="DE234" s="175" t="str">
        <x:f>IF(L234="","",IF(DC234="","Pending",IF(DD234="Yes","CONDITIONAL — safety override",IF(DC234&gt;=8,"HIGH",IF(DC234&gt;=5,"CONDITIONAL","LOW")))))</x:f>
      </x:c>
      <x:c r="DF234" s="174"/>
      <x:c r="DG234" s="174"/>
      <x:c r="DH234" s="174"/>
      <x:c r="DI234" s="174"/>
      <x:c r="DJ234" s="174"/>
      <x:c r="DK234" s="174"/>
      <x:c r="DL234" s="174"/>
      <x:c r="DM234" s="174"/>
      <x:c r="DN234" s="174"/>
      <x:c r="DO234" s="174"/>
      <x:c r="DP234" s="174"/>
      <x:c r="DQ234" s="174"/>
      <x:c r="DR234" s="174"/>
      <x:c r="DS234" s="174"/>
      <x:c r="DT234" s="174"/>
      <x:c r="DU234" s="174"/>
      <x:c r="DV234" s="174"/>
      <x:c r="DW234" s="174"/>
      <x:c r="DX234" s="174"/>
      <x:c r="DY234" s="174"/>
      <x:c r="DZ234" s="174"/>
      <x:c r="EA234" s="174"/>
      <x:c r="EB234" s="175" t="str">
        <x:f>IF(L234="","",IF(AND(F234="Claim-ready",CJ234="Yes",CL234="Yes",DZ234&lt;&gt;""),"Yes","No / Pending"))</x:f>
      </x:c>
      <x:c r="EC234" s="174"/>
      <x:c r="ED234" s="174"/>
      <x:c r="EE234" s="174"/>
      <x:c r="EF234" s="174"/>
      <x:c r="EG234" s="174"/>
      <x:c r="EH234" s="177"/>
      <x:c r="EI234" s="174"/>
      <x:c r="EJ234" s="174"/>
      <x:c r="EK234" s="174"/>
      <x:c r="EL234" s="177"/>
      <x:c r="EM234" s="174"/>
      <x:c r="EN234" s="181" t="str">
        <x:f>IF(L234="","",(IF(N234&lt;&gt;"",1,0)+IF(O234&lt;&gt;"",1,0)+IF(AJ234&lt;&gt;"",1,0)+IF(AU234&lt;&gt;"",1,0)+IF(BE234&lt;&gt;"",1,0)+IF(CF234&lt;&gt;"",1,0)+IF(CJ234="Yes",1,0)+IF(CL234="Yes",1,0)+IF(DE234&lt;&gt;"Pending",1,0)+IF(F234&lt;&gt;"",1,0)+IF(DZ234&lt;&gt;"",1,0)+IF(EI234&lt;&gt;"",1,0))/12)</x:f>
      </x:c>
    </x:row>
    <x:row r="235">
      <x:c r="A235" s="175" t="str">
        <x:f>IF(L235="","","EV-"&amp;TEXT(ROW()-3,"0000"))</x:f>
      </x:c>
      <x:c r="B235" s="174"/>
      <x:c r="C235" s="175" t="str">
        <x:f>IF(L235="","",IF(OR(CM235="Retracted",CN235="Retracted",F235="Not used"),"🔴 Do not use for conclusion",IF(OR(R235="Official / Institutional",I235="Official / contextual"),"🔵 Official / contextual",IF(OR(I235="Definition",I235="Framework",I235="Paradigm shift"),"🟣 Conceptual key source",IF(AND(CJ235="Yes",CL235="Yes",OR(CG235="High",CG235="Moderate"),CH235&lt;&gt;"High",CH235&lt;&gt;"Critical",F235="Claim-ready"),"🟢 Claim-ready","🟡 Caution / context")))))</x:f>
      </x:c>
      <x:c r="D235" s="174"/>
      <x:c r="E235" s="174"/>
      <x:c r="F235" s="174"/>
      <x:c r="G235" s="174"/>
      <x:c r="H235" s="174"/>
      <x:c r="I235" s="174"/>
      <x:c r="J235" s="174"/>
      <x:c r="K235" s="174"/>
      <x:c r="L235" s="174"/>
      <x:c r="M235" s="174"/>
      <x:c r="N235" s="174"/>
      <x:c r="O235" s="176"/>
      <x:c r="P235" s="174"/>
      <x:c r="Q235" s="174"/>
      <x:c r="R235" s="174"/>
      <x:c r="S235" s="174"/>
      <x:c r="T235" s="174"/>
      <x:c r="U235" s="174"/>
      <x:c r="V235" s="174"/>
      <x:c r="W235" s="175" t="str">
        <x:f>IF(V235="","",LOWER(SUBSTITUTE(SUBSTITUTE(SUBSTITUTE(SUBSTITUTE(TRIM(V235),"https://doi.org/",""),"http://doi.org/",""),"https://dx.doi.org/",""),"doi:","")))</x:f>
      </x:c>
      <x:c r="X235" s="174"/>
      <x:c r="Y235" s="174"/>
      <x:c r="Z235" s="174"/>
      <x:c r="AA235" s="174"/>
      <x:c r="AB235" s="174"/>
      <x:c r="AC235" s="174"/>
      <x:c r="AD235" s="177"/>
      <x:c r="AE235" s="177"/>
      <x:c r="AF235" s="174"/>
      <x:c r="AG235" s="174"/>
      <x:c r="AH235" s="174"/>
      <x:c r="AI235" s="174"/>
      <x:c r="AJ235" s="174"/>
      <x:c r="AK235" s="175" t="str">
        <x:f>IF(AJ235="","",IF(OR(LOWER(AJ235)="brazil",LOWER(AJ235)="brasil"),"Yes","No"))</x:f>
      </x:c>
      <x:c r="AL235" s="174"/>
      <x:c r="AM235" s="174"/>
      <x:c r="AN235" s="174"/>
      <x:c r="AO235" s="178"/>
      <x:c r="AP235" s="174"/>
      <x:c r="AQ235" s="174"/>
      <x:c r="AR235" s="174"/>
      <x:c r="AS235" s="174"/>
      <x:c r="AT235" s="174"/>
      <x:c r="AU235" s="174"/>
      <x:c r="AV235" s="174"/>
      <x:c r="AW235" s="174"/>
      <x:c r="AX235" s="174"/>
      <x:c r="AY235" s="174"/>
      <x:c r="AZ235" s="174"/>
      <x:c r="BA235" s="174"/>
      <x:c r="BB235" s="174"/>
      <x:c r="BC235" s="174"/>
      <x:c r="BD235" s="174"/>
      <x:c r="BE235" s="174"/>
      <x:c r="BF235" s="174"/>
      <x:c r="BG235" s="174"/>
      <x:c r="BH235" s="174"/>
      <x:c r="BI235" s="174"/>
      <x:c r="BJ235" s="174"/>
      <x:c r="BK235" s="174"/>
      <x:c r="BL235" s="174"/>
      <x:c r="BM235" s="174"/>
      <x:c r="BN235" s="174"/>
      <x:c r="BO235" s="174"/>
      <x:c r="BP235" s="174"/>
      <x:c r="BQ235" s="174"/>
      <x:c r="BR235" s="174"/>
      <x:c r="BS235" s="174"/>
      <x:c r="BT235" s="174"/>
      <x:c r="BU235" s="174"/>
      <x:c r="BV235" s="174"/>
      <x:c r="BW235" s="174"/>
      <x:c r="BX235" s="174"/>
      <x:c r="BY235" s="174"/>
      <x:c r="BZ235" s="174"/>
      <x:c r="CA235" s="174"/>
      <x:c r="CB235" s="174"/>
      <x:c r="CC235" s="174"/>
      <x:c r="CD235" s="174"/>
      <x:c r="CE235" s="174"/>
      <x:c r="CF235" s="174"/>
      <x:c r="CG235" s="174"/>
      <x:c r="CH235" s="174"/>
      <x:c r="CI235" s="179"/>
      <x:c r="CJ235" s="174"/>
      <x:c r="CK235" s="174"/>
      <x:c r="CL235" s="174"/>
      <x:c r="CM235" s="174"/>
      <x:c r="CN235" s="174"/>
      <x:c r="CO235" s="177"/>
      <x:c r="CP235" s="174"/>
      <x:c r="CQ235" s="174"/>
      <x:c r="CR235" s="174"/>
      <x:c r="CS235" s="174"/>
      <x:c r="CT235" s="174"/>
      <x:c r="CU235" s="176"/>
      <x:c r="CV235" s="176"/>
      <x:c r="CW235" s="176"/>
      <x:c r="CX235" s="176"/>
      <x:c r="CY235" s="176"/>
      <x:c r="CZ235" s="176"/>
      <x:c r="DA235" s="176"/>
      <x:c r="DB235" s="175" t="str">
        <x:f>IF(L235="","",IF(COUNT(CU235:DA235)&lt;7,"",SUM(CU235:DA235)))</x:f>
      </x:c>
      <x:c r="DC235" s="180" t="str">
        <x:f>IF(DB235="","",ROUND(DB235/14*10,1))</x:f>
      </x:c>
      <x:c r="DD235" s="174"/>
      <x:c r="DE235" s="175" t="str">
        <x:f>IF(L235="","",IF(DC235="","Pending",IF(DD235="Yes","CONDITIONAL — safety override",IF(DC235&gt;=8,"HIGH",IF(DC235&gt;=5,"CONDITIONAL","LOW")))))</x:f>
      </x:c>
      <x:c r="DF235" s="174"/>
      <x:c r="DG235" s="174"/>
      <x:c r="DH235" s="174"/>
      <x:c r="DI235" s="174"/>
      <x:c r="DJ235" s="174"/>
      <x:c r="DK235" s="174"/>
      <x:c r="DL235" s="174"/>
      <x:c r="DM235" s="174"/>
      <x:c r="DN235" s="174"/>
      <x:c r="DO235" s="174"/>
      <x:c r="DP235" s="174"/>
      <x:c r="DQ235" s="174"/>
      <x:c r="DR235" s="174"/>
      <x:c r="DS235" s="174"/>
      <x:c r="DT235" s="174"/>
      <x:c r="DU235" s="174"/>
      <x:c r="DV235" s="174"/>
      <x:c r="DW235" s="174"/>
      <x:c r="DX235" s="174"/>
      <x:c r="DY235" s="174"/>
      <x:c r="DZ235" s="174"/>
      <x:c r="EA235" s="174"/>
      <x:c r="EB235" s="175" t="str">
        <x:f>IF(L235="","",IF(AND(F235="Claim-ready",CJ235="Yes",CL235="Yes",DZ235&lt;&gt;""),"Yes","No / Pending"))</x:f>
      </x:c>
      <x:c r="EC235" s="174"/>
      <x:c r="ED235" s="174"/>
      <x:c r="EE235" s="174"/>
      <x:c r="EF235" s="174"/>
      <x:c r="EG235" s="174"/>
      <x:c r="EH235" s="177"/>
      <x:c r="EI235" s="174"/>
      <x:c r="EJ235" s="174"/>
      <x:c r="EK235" s="174"/>
      <x:c r="EL235" s="177"/>
      <x:c r="EM235" s="174"/>
      <x:c r="EN235" s="181" t="str">
        <x:f>IF(L235="","",(IF(N235&lt;&gt;"",1,0)+IF(O235&lt;&gt;"",1,0)+IF(AJ235&lt;&gt;"",1,0)+IF(AU235&lt;&gt;"",1,0)+IF(BE235&lt;&gt;"",1,0)+IF(CF235&lt;&gt;"",1,0)+IF(CJ235="Yes",1,0)+IF(CL235="Yes",1,0)+IF(DE235&lt;&gt;"Pending",1,0)+IF(F235&lt;&gt;"",1,0)+IF(DZ235&lt;&gt;"",1,0)+IF(EI235&lt;&gt;"",1,0))/12)</x:f>
      </x:c>
    </x:row>
    <x:row r="236">
      <x:c r="A236" s="175" t="str">
        <x:f>IF(L236="","","EV-"&amp;TEXT(ROW()-3,"0000"))</x:f>
      </x:c>
      <x:c r="B236" s="174"/>
      <x:c r="C236" s="175" t="str">
        <x:f>IF(L236="","",IF(OR(CM236="Retracted",CN236="Retracted",F236="Not used"),"🔴 Do not use for conclusion",IF(OR(R236="Official / Institutional",I236="Official / contextual"),"🔵 Official / contextual",IF(OR(I236="Definition",I236="Framework",I236="Paradigm shift"),"🟣 Conceptual key source",IF(AND(CJ236="Yes",CL236="Yes",OR(CG236="High",CG236="Moderate"),CH236&lt;&gt;"High",CH236&lt;&gt;"Critical",F236="Claim-ready"),"🟢 Claim-ready","🟡 Caution / context")))))</x:f>
      </x:c>
      <x:c r="D236" s="174"/>
      <x:c r="E236" s="174"/>
      <x:c r="F236" s="174"/>
      <x:c r="G236" s="174"/>
      <x:c r="H236" s="174"/>
      <x:c r="I236" s="174"/>
      <x:c r="J236" s="174"/>
      <x:c r="K236" s="174"/>
      <x:c r="L236" s="174"/>
      <x:c r="M236" s="174"/>
      <x:c r="N236" s="174"/>
      <x:c r="O236" s="176"/>
      <x:c r="P236" s="174"/>
      <x:c r="Q236" s="174"/>
      <x:c r="R236" s="174"/>
      <x:c r="S236" s="174"/>
      <x:c r="T236" s="174"/>
      <x:c r="U236" s="174"/>
      <x:c r="V236" s="174"/>
      <x:c r="W236" s="175" t="str">
        <x:f>IF(V236="","",LOWER(SUBSTITUTE(SUBSTITUTE(SUBSTITUTE(SUBSTITUTE(TRIM(V236),"https://doi.org/",""),"http://doi.org/",""),"https://dx.doi.org/",""),"doi:","")))</x:f>
      </x:c>
      <x:c r="X236" s="174"/>
      <x:c r="Y236" s="174"/>
      <x:c r="Z236" s="174"/>
      <x:c r="AA236" s="174"/>
      <x:c r="AB236" s="174"/>
      <x:c r="AC236" s="174"/>
      <x:c r="AD236" s="177"/>
      <x:c r="AE236" s="177"/>
      <x:c r="AF236" s="174"/>
      <x:c r="AG236" s="174"/>
      <x:c r="AH236" s="174"/>
      <x:c r="AI236" s="174"/>
      <x:c r="AJ236" s="174"/>
      <x:c r="AK236" s="175" t="str">
        <x:f>IF(AJ236="","",IF(OR(LOWER(AJ236)="brazil",LOWER(AJ236)="brasil"),"Yes","No"))</x:f>
      </x:c>
      <x:c r="AL236" s="174"/>
      <x:c r="AM236" s="174"/>
      <x:c r="AN236" s="174"/>
      <x:c r="AO236" s="178"/>
      <x:c r="AP236" s="174"/>
      <x:c r="AQ236" s="174"/>
      <x:c r="AR236" s="174"/>
      <x:c r="AS236" s="174"/>
      <x:c r="AT236" s="174"/>
      <x:c r="AU236" s="174"/>
      <x:c r="AV236" s="174"/>
      <x:c r="AW236" s="174"/>
      <x:c r="AX236" s="174"/>
      <x:c r="AY236" s="174"/>
      <x:c r="AZ236" s="174"/>
      <x:c r="BA236" s="174"/>
      <x:c r="BB236" s="174"/>
      <x:c r="BC236" s="174"/>
      <x:c r="BD236" s="174"/>
      <x:c r="BE236" s="174"/>
      <x:c r="BF236" s="174"/>
      <x:c r="BG236" s="174"/>
      <x:c r="BH236" s="174"/>
      <x:c r="BI236" s="174"/>
      <x:c r="BJ236" s="174"/>
      <x:c r="BK236" s="174"/>
      <x:c r="BL236" s="174"/>
      <x:c r="BM236" s="174"/>
      <x:c r="BN236" s="174"/>
      <x:c r="BO236" s="174"/>
      <x:c r="BP236" s="174"/>
      <x:c r="BQ236" s="174"/>
      <x:c r="BR236" s="174"/>
      <x:c r="BS236" s="174"/>
      <x:c r="BT236" s="174"/>
      <x:c r="BU236" s="174"/>
      <x:c r="BV236" s="174"/>
      <x:c r="BW236" s="174"/>
      <x:c r="BX236" s="174"/>
      <x:c r="BY236" s="174"/>
      <x:c r="BZ236" s="174"/>
      <x:c r="CA236" s="174"/>
      <x:c r="CB236" s="174"/>
      <x:c r="CC236" s="174"/>
      <x:c r="CD236" s="174"/>
      <x:c r="CE236" s="174"/>
      <x:c r="CF236" s="174"/>
      <x:c r="CG236" s="174"/>
      <x:c r="CH236" s="174"/>
      <x:c r="CI236" s="179"/>
      <x:c r="CJ236" s="174"/>
      <x:c r="CK236" s="174"/>
      <x:c r="CL236" s="174"/>
      <x:c r="CM236" s="174"/>
      <x:c r="CN236" s="174"/>
      <x:c r="CO236" s="177"/>
      <x:c r="CP236" s="174"/>
      <x:c r="CQ236" s="174"/>
      <x:c r="CR236" s="174"/>
      <x:c r="CS236" s="174"/>
      <x:c r="CT236" s="174"/>
      <x:c r="CU236" s="176"/>
      <x:c r="CV236" s="176"/>
      <x:c r="CW236" s="176"/>
      <x:c r="CX236" s="176"/>
      <x:c r="CY236" s="176"/>
      <x:c r="CZ236" s="176"/>
      <x:c r="DA236" s="176"/>
      <x:c r="DB236" s="175" t="str">
        <x:f>IF(L236="","",IF(COUNT(CU236:DA236)&lt;7,"",SUM(CU236:DA236)))</x:f>
      </x:c>
      <x:c r="DC236" s="180" t="str">
        <x:f>IF(DB236="","",ROUND(DB236/14*10,1))</x:f>
      </x:c>
      <x:c r="DD236" s="174"/>
      <x:c r="DE236" s="175" t="str">
        <x:f>IF(L236="","",IF(DC236="","Pending",IF(DD236="Yes","CONDITIONAL — safety override",IF(DC236&gt;=8,"HIGH",IF(DC236&gt;=5,"CONDITIONAL","LOW")))))</x:f>
      </x:c>
      <x:c r="DF236" s="174"/>
      <x:c r="DG236" s="174"/>
      <x:c r="DH236" s="174"/>
      <x:c r="DI236" s="174"/>
      <x:c r="DJ236" s="174"/>
      <x:c r="DK236" s="174"/>
      <x:c r="DL236" s="174"/>
      <x:c r="DM236" s="174"/>
      <x:c r="DN236" s="174"/>
      <x:c r="DO236" s="174"/>
      <x:c r="DP236" s="174"/>
      <x:c r="DQ236" s="174"/>
      <x:c r="DR236" s="174"/>
      <x:c r="DS236" s="174"/>
      <x:c r="DT236" s="174"/>
      <x:c r="DU236" s="174"/>
      <x:c r="DV236" s="174"/>
      <x:c r="DW236" s="174"/>
      <x:c r="DX236" s="174"/>
      <x:c r="DY236" s="174"/>
      <x:c r="DZ236" s="174"/>
      <x:c r="EA236" s="174"/>
      <x:c r="EB236" s="175" t="str">
        <x:f>IF(L236="","",IF(AND(F236="Claim-ready",CJ236="Yes",CL236="Yes",DZ236&lt;&gt;""),"Yes","No / Pending"))</x:f>
      </x:c>
      <x:c r="EC236" s="174"/>
      <x:c r="ED236" s="174"/>
      <x:c r="EE236" s="174"/>
      <x:c r="EF236" s="174"/>
      <x:c r="EG236" s="174"/>
      <x:c r="EH236" s="177"/>
      <x:c r="EI236" s="174"/>
      <x:c r="EJ236" s="174"/>
      <x:c r="EK236" s="174"/>
      <x:c r="EL236" s="177"/>
      <x:c r="EM236" s="174"/>
      <x:c r="EN236" s="181" t="str">
        <x:f>IF(L236="","",(IF(N236&lt;&gt;"",1,0)+IF(O236&lt;&gt;"",1,0)+IF(AJ236&lt;&gt;"",1,0)+IF(AU236&lt;&gt;"",1,0)+IF(BE236&lt;&gt;"",1,0)+IF(CF236&lt;&gt;"",1,0)+IF(CJ236="Yes",1,0)+IF(CL236="Yes",1,0)+IF(DE236&lt;&gt;"Pending",1,0)+IF(F236&lt;&gt;"",1,0)+IF(DZ236&lt;&gt;"",1,0)+IF(EI236&lt;&gt;"",1,0))/12)</x:f>
      </x:c>
    </x:row>
    <x:row r="237">
      <x:c r="A237" s="175" t="str">
        <x:f>IF(L237="","","EV-"&amp;TEXT(ROW()-3,"0000"))</x:f>
      </x:c>
      <x:c r="B237" s="174"/>
      <x:c r="C237" s="175" t="str">
        <x:f>IF(L237="","",IF(OR(CM237="Retracted",CN237="Retracted",F237="Not used"),"🔴 Do not use for conclusion",IF(OR(R237="Official / Institutional",I237="Official / contextual"),"🔵 Official / contextual",IF(OR(I237="Definition",I237="Framework",I237="Paradigm shift"),"🟣 Conceptual key source",IF(AND(CJ237="Yes",CL237="Yes",OR(CG237="High",CG237="Moderate"),CH237&lt;&gt;"High",CH237&lt;&gt;"Critical",F237="Claim-ready"),"🟢 Claim-ready","🟡 Caution / context")))))</x:f>
      </x:c>
      <x:c r="D237" s="174"/>
      <x:c r="E237" s="174"/>
      <x:c r="F237" s="174"/>
      <x:c r="G237" s="174"/>
      <x:c r="H237" s="174"/>
      <x:c r="I237" s="174"/>
      <x:c r="J237" s="174"/>
      <x:c r="K237" s="174"/>
      <x:c r="L237" s="174"/>
      <x:c r="M237" s="174"/>
      <x:c r="N237" s="174"/>
      <x:c r="O237" s="176"/>
      <x:c r="P237" s="174"/>
      <x:c r="Q237" s="174"/>
      <x:c r="R237" s="174"/>
      <x:c r="S237" s="174"/>
      <x:c r="T237" s="174"/>
      <x:c r="U237" s="174"/>
      <x:c r="V237" s="174"/>
      <x:c r="W237" s="175" t="str">
        <x:f>IF(V237="","",LOWER(SUBSTITUTE(SUBSTITUTE(SUBSTITUTE(SUBSTITUTE(TRIM(V237),"https://doi.org/",""),"http://doi.org/",""),"https://dx.doi.org/",""),"doi:","")))</x:f>
      </x:c>
      <x:c r="X237" s="174"/>
      <x:c r="Y237" s="174"/>
      <x:c r="Z237" s="174"/>
      <x:c r="AA237" s="174"/>
      <x:c r="AB237" s="174"/>
      <x:c r="AC237" s="174"/>
      <x:c r="AD237" s="177"/>
      <x:c r="AE237" s="177"/>
      <x:c r="AF237" s="174"/>
      <x:c r="AG237" s="174"/>
      <x:c r="AH237" s="174"/>
      <x:c r="AI237" s="174"/>
      <x:c r="AJ237" s="174"/>
      <x:c r="AK237" s="175" t="str">
        <x:f>IF(AJ237="","",IF(OR(LOWER(AJ237)="brazil",LOWER(AJ237)="brasil"),"Yes","No"))</x:f>
      </x:c>
      <x:c r="AL237" s="174"/>
      <x:c r="AM237" s="174"/>
      <x:c r="AN237" s="174"/>
      <x:c r="AO237" s="178"/>
      <x:c r="AP237" s="174"/>
      <x:c r="AQ237" s="174"/>
      <x:c r="AR237" s="174"/>
      <x:c r="AS237" s="174"/>
      <x:c r="AT237" s="174"/>
      <x:c r="AU237" s="174"/>
      <x:c r="AV237" s="174"/>
      <x:c r="AW237" s="174"/>
      <x:c r="AX237" s="174"/>
      <x:c r="AY237" s="174"/>
      <x:c r="AZ237" s="174"/>
      <x:c r="BA237" s="174"/>
      <x:c r="BB237" s="174"/>
      <x:c r="BC237" s="174"/>
      <x:c r="BD237" s="174"/>
      <x:c r="BE237" s="174"/>
      <x:c r="BF237" s="174"/>
      <x:c r="BG237" s="174"/>
      <x:c r="BH237" s="174"/>
      <x:c r="BI237" s="174"/>
      <x:c r="BJ237" s="174"/>
      <x:c r="BK237" s="174"/>
      <x:c r="BL237" s="174"/>
      <x:c r="BM237" s="174"/>
      <x:c r="BN237" s="174"/>
      <x:c r="BO237" s="174"/>
      <x:c r="BP237" s="174"/>
      <x:c r="BQ237" s="174"/>
      <x:c r="BR237" s="174"/>
      <x:c r="BS237" s="174"/>
      <x:c r="BT237" s="174"/>
      <x:c r="BU237" s="174"/>
      <x:c r="BV237" s="174"/>
      <x:c r="BW237" s="174"/>
      <x:c r="BX237" s="174"/>
      <x:c r="BY237" s="174"/>
      <x:c r="BZ237" s="174"/>
      <x:c r="CA237" s="174"/>
      <x:c r="CB237" s="174"/>
      <x:c r="CC237" s="174"/>
      <x:c r="CD237" s="174"/>
      <x:c r="CE237" s="174"/>
      <x:c r="CF237" s="174"/>
      <x:c r="CG237" s="174"/>
      <x:c r="CH237" s="174"/>
      <x:c r="CI237" s="179"/>
      <x:c r="CJ237" s="174"/>
      <x:c r="CK237" s="174"/>
      <x:c r="CL237" s="174"/>
      <x:c r="CM237" s="174"/>
      <x:c r="CN237" s="174"/>
      <x:c r="CO237" s="177"/>
      <x:c r="CP237" s="174"/>
      <x:c r="CQ237" s="174"/>
      <x:c r="CR237" s="174"/>
      <x:c r="CS237" s="174"/>
      <x:c r="CT237" s="174"/>
      <x:c r="CU237" s="176"/>
      <x:c r="CV237" s="176"/>
      <x:c r="CW237" s="176"/>
      <x:c r="CX237" s="176"/>
      <x:c r="CY237" s="176"/>
      <x:c r="CZ237" s="176"/>
      <x:c r="DA237" s="176"/>
      <x:c r="DB237" s="175" t="str">
        <x:f>IF(L237="","",IF(COUNT(CU237:DA237)&lt;7,"",SUM(CU237:DA237)))</x:f>
      </x:c>
      <x:c r="DC237" s="180" t="str">
        <x:f>IF(DB237="","",ROUND(DB237/14*10,1))</x:f>
      </x:c>
      <x:c r="DD237" s="174"/>
      <x:c r="DE237" s="175" t="str">
        <x:f>IF(L237="","",IF(DC237="","Pending",IF(DD237="Yes","CONDITIONAL — safety override",IF(DC237&gt;=8,"HIGH",IF(DC237&gt;=5,"CONDITIONAL","LOW")))))</x:f>
      </x:c>
      <x:c r="DF237" s="174"/>
      <x:c r="DG237" s="174"/>
      <x:c r="DH237" s="174"/>
      <x:c r="DI237" s="174"/>
      <x:c r="DJ237" s="174"/>
      <x:c r="DK237" s="174"/>
      <x:c r="DL237" s="174"/>
      <x:c r="DM237" s="174"/>
      <x:c r="DN237" s="174"/>
      <x:c r="DO237" s="174"/>
      <x:c r="DP237" s="174"/>
      <x:c r="DQ237" s="174"/>
      <x:c r="DR237" s="174"/>
      <x:c r="DS237" s="174"/>
      <x:c r="DT237" s="174"/>
      <x:c r="DU237" s="174"/>
      <x:c r="DV237" s="174"/>
      <x:c r="DW237" s="174"/>
      <x:c r="DX237" s="174"/>
      <x:c r="DY237" s="174"/>
      <x:c r="DZ237" s="174"/>
      <x:c r="EA237" s="174"/>
      <x:c r="EB237" s="175" t="str">
        <x:f>IF(L237="","",IF(AND(F237="Claim-ready",CJ237="Yes",CL237="Yes",DZ237&lt;&gt;""),"Yes","No / Pending"))</x:f>
      </x:c>
      <x:c r="EC237" s="174"/>
      <x:c r="ED237" s="174"/>
      <x:c r="EE237" s="174"/>
      <x:c r="EF237" s="174"/>
      <x:c r="EG237" s="174"/>
      <x:c r="EH237" s="177"/>
      <x:c r="EI237" s="174"/>
      <x:c r="EJ237" s="174"/>
      <x:c r="EK237" s="174"/>
      <x:c r="EL237" s="177"/>
      <x:c r="EM237" s="174"/>
      <x:c r="EN237" s="181" t="str">
        <x:f>IF(L237="","",(IF(N237&lt;&gt;"",1,0)+IF(O237&lt;&gt;"",1,0)+IF(AJ237&lt;&gt;"",1,0)+IF(AU237&lt;&gt;"",1,0)+IF(BE237&lt;&gt;"",1,0)+IF(CF237&lt;&gt;"",1,0)+IF(CJ237="Yes",1,0)+IF(CL237="Yes",1,0)+IF(DE237&lt;&gt;"Pending",1,0)+IF(F237&lt;&gt;"",1,0)+IF(DZ237&lt;&gt;"",1,0)+IF(EI237&lt;&gt;"",1,0))/12)</x:f>
      </x:c>
    </x:row>
    <x:row r="238">
      <x:c r="A238" s="175" t="str">
        <x:f>IF(L238="","","EV-"&amp;TEXT(ROW()-3,"0000"))</x:f>
      </x:c>
      <x:c r="B238" s="174"/>
      <x:c r="C238" s="175" t="str">
        <x:f>IF(L238="","",IF(OR(CM238="Retracted",CN238="Retracted",F238="Not used"),"🔴 Do not use for conclusion",IF(OR(R238="Official / Institutional",I238="Official / contextual"),"🔵 Official / contextual",IF(OR(I238="Definition",I238="Framework",I238="Paradigm shift"),"🟣 Conceptual key source",IF(AND(CJ238="Yes",CL238="Yes",OR(CG238="High",CG238="Moderate"),CH238&lt;&gt;"High",CH238&lt;&gt;"Critical",F238="Claim-ready"),"🟢 Claim-ready","🟡 Caution / context")))))</x:f>
      </x:c>
      <x:c r="D238" s="174"/>
      <x:c r="E238" s="174"/>
      <x:c r="F238" s="174"/>
      <x:c r="G238" s="174"/>
      <x:c r="H238" s="174"/>
      <x:c r="I238" s="174"/>
      <x:c r="J238" s="174"/>
      <x:c r="K238" s="174"/>
      <x:c r="L238" s="174"/>
      <x:c r="M238" s="174"/>
      <x:c r="N238" s="174"/>
      <x:c r="O238" s="176"/>
      <x:c r="P238" s="174"/>
      <x:c r="Q238" s="174"/>
      <x:c r="R238" s="174"/>
      <x:c r="S238" s="174"/>
      <x:c r="T238" s="174"/>
      <x:c r="U238" s="174"/>
      <x:c r="V238" s="174"/>
      <x:c r="W238" s="175" t="str">
        <x:f>IF(V238="","",LOWER(SUBSTITUTE(SUBSTITUTE(SUBSTITUTE(SUBSTITUTE(TRIM(V238),"https://doi.org/",""),"http://doi.org/",""),"https://dx.doi.org/",""),"doi:","")))</x:f>
      </x:c>
      <x:c r="X238" s="174"/>
      <x:c r="Y238" s="174"/>
      <x:c r="Z238" s="174"/>
      <x:c r="AA238" s="174"/>
      <x:c r="AB238" s="174"/>
      <x:c r="AC238" s="174"/>
      <x:c r="AD238" s="177"/>
      <x:c r="AE238" s="177"/>
      <x:c r="AF238" s="174"/>
      <x:c r="AG238" s="174"/>
      <x:c r="AH238" s="174"/>
      <x:c r="AI238" s="174"/>
      <x:c r="AJ238" s="174"/>
      <x:c r="AK238" s="175" t="str">
        <x:f>IF(AJ238="","",IF(OR(LOWER(AJ238)="brazil",LOWER(AJ238)="brasil"),"Yes","No"))</x:f>
      </x:c>
      <x:c r="AL238" s="174"/>
      <x:c r="AM238" s="174"/>
      <x:c r="AN238" s="174"/>
      <x:c r="AO238" s="178"/>
      <x:c r="AP238" s="174"/>
      <x:c r="AQ238" s="174"/>
      <x:c r="AR238" s="174"/>
      <x:c r="AS238" s="174"/>
      <x:c r="AT238" s="174"/>
      <x:c r="AU238" s="174"/>
      <x:c r="AV238" s="174"/>
      <x:c r="AW238" s="174"/>
      <x:c r="AX238" s="174"/>
      <x:c r="AY238" s="174"/>
      <x:c r="AZ238" s="174"/>
      <x:c r="BA238" s="174"/>
      <x:c r="BB238" s="174"/>
      <x:c r="BC238" s="174"/>
      <x:c r="BD238" s="174"/>
      <x:c r="BE238" s="174"/>
      <x:c r="BF238" s="174"/>
      <x:c r="BG238" s="174"/>
      <x:c r="BH238" s="174"/>
      <x:c r="BI238" s="174"/>
      <x:c r="BJ238" s="174"/>
      <x:c r="BK238" s="174"/>
      <x:c r="BL238" s="174"/>
      <x:c r="BM238" s="174"/>
      <x:c r="BN238" s="174"/>
      <x:c r="BO238" s="174"/>
      <x:c r="BP238" s="174"/>
      <x:c r="BQ238" s="174"/>
      <x:c r="BR238" s="174"/>
      <x:c r="BS238" s="174"/>
      <x:c r="BT238" s="174"/>
      <x:c r="BU238" s="174"/>
      <x:c r="BV238" s="174"/>
      <x:c r="BW238" s="174"/>
      <x:c r="BX238" s="174"/>
      <x:c r="BY238" s="174"/>
      <x:c r="BZ238" s="174"/>
      <x:c r="CA238" s="174"/>
      <x:c r="CB238" s="174"/>
      <x:c r="CC238" s="174"/>
      <x:c r="CD238" s="174"/>
      <x:c r="CE238" s="174"/>
      <x:c r="CF238" s="174"/>
      <x:c r="CG238" s="174"/>
      <x:c r="CH238" s="174"/>
      <x:c r="CI238" s="179"/>
      <x:c r="CJ238" s="174"/>
      <x:c r="CK238" s="174"/>
      <x:c r="CL238" s="174"/>
      <x:c r="CM238" s="174"/>
      <x:c r="CN238" s="174"/>
      <x:c r="CO238" s="177"/>
      <x:c r="CP238" s="174"/>
      <x:c r="CQ238" s="174"/>
      <x:c r="CR238" s="174"/>
      <x:c r="CS238" s="174"/>
      <x:c r="CT238" s="174"/>
      <x:c r="CU238" s="176"/>
      <x:c r="CV238" s="176"/>
      <x:c r="CW238" s="176"/>
      <x:c r="CX238" s="176"/>
      <x:c r="CY238" s="176"/>
      <x:c r="CZ238" s="176"/>
      <x:c r="DA238" s="176"/>
      <x:c r="DB238" s="175" t="str">
        <x:f>IF(L238="","",IF(COUNT(CU238:DA238)&lt;7,"",SUM(CU238:DA238)))</x:f>
      </x:c>
      <x:c r="DC238" s="180" t="str">
        <x:f>IF(DB238="","",ROUND(DB238/14*10,1))</x:f>
      </x:c>
      <x:c r="DD238" s="174"/>
      <x:c r="DE238" s="175" t="str">
        <x:f>IF(L238="","",IF(DC238="","Pending",IF(DD238="Yes","CONDITIONAL — safety override",IF(DC238&gt;=8,"HIGH",IF(DC238&gt;=5,"CONDITIONAL","LOW")))))</x:f>
      </x:c>
      <x:c r="DF238" s="174"/>
      <x:c r="DG238" s="174"/>
      <x:c r="DH238" s="174"/>
      <x:c r="DI238" s="174"/>
      <x:c r="DJ238" s="174"/>
      <x:c r="DK238" s="174"/>
      <x:c r="DL238" s="174"/>
      <x:c r="DM238" s="174"/>
      <x:c r="DN238" s="174"/>
      <x:c r="DO238" s="174"/>
      <x:c r="DP238" s="174"/>
      <x:c r="DQ238" s="174"/>
      <x:c r="DR238" s="174"/>
      <x:c r="DS238" s="174"/>
      <x:c r="DT238" s="174"/>
      <x:c r="DU238" s="174"/>
      <x:c r="DV238" s="174"/>
      <x:c r="DW238" s="174"/>
      <x:c r="DX238" s="174"/>
      <x:c r="DY238" s="174"/>
      <x:c r="DZ238" s="174"/>
      <x:c r="EA238" s="174"/>
      <x:c r="EB238" s="175" t="str">
        <x:f>IF(L238="","",IF(AND(F238="Claim-ready",CJ238="Yes",CL238="Yes",DZ238&lt;&gt;""),"Yes","No / Pending"))</x:f>
      </x:c>
      <x:c r="EC238" s="174"/>
      <x:c r="ED238" s="174"/>
      <x:c r="EE238" s="174"/>
      <x:c r="EF238" s="174"/>
      <x:c r="EG238" s="174"/>
      <x:c r="EH238" s="177"/>
      <x:c r="EI238" s="174"/>
      <x:c r="EJ238" s="174"/>
      <x:c r="EK238" s="174"/>
      <x:c r="EL238" s="177"/>
      <x:c r="EM238" s="174"/>
      <x:c r="EN238" s="181" t="str">
        <x:f>IF(L238="","",(IF(N238&lt;&gt;"",1,0)+IF(O238&lt;&gt;"",1,0)+IF(AJ238&lt;&gt;"",1,0)+IF(AU238&lt;&gt;"",1,0)+IF(BE238&lt;&gt;"",1,0)+IF(CF238&lt;&gt;"",1,0)+IF(CJ238="Yes",1,0)+IF(CL238="Yes",1,0)+IF(DE238&lt;&gt;"Pending",1,0)+IF(F238&lt;&gt;"",1,0)+IF(DZ238&lt;&gt;"",1,0)+IF(EI238&lt;&gt;"",1,0))/12)</x:f>
      </x:c>
    </x:row>
    <x:row r="239">
      <x:c r="A239" s="175" t="str">
        <x:f>IF(L239="","","EV-"&amp;TEXT(ROW()-3,"0000"))</x:f>
      </x:c>
      <x:c r="B239" s="174"/>
      <x:c r="C239" s="175" t="str">
        <x:f>IF(L239="","",IF(OR(CM239="Retracted",CN239="Retracted",F239="Not used"),"🔴 Do not use for conclusion",IF(OR(R239="Official / Institutional",I239="Official / contextual"),"🔵 Official / contextual",IF(OR(I239="Definition",I239="Framework",I239="Paradigm shift"),"🟣 Conceptual key source",IF(AND(CJ239="Yes",CL239="Yes",OR(CG239="High",CG239="Moderate"),CH239&lt;&gt;"High",CH239&lt;&gt;"Critical",F239="Claim-ready"),"🟢 Claim-ready","🟡 Caution / context")))))</x:f>
      </x:c>
      <x:c r="D239" s="174"/>
      <x:c r="E239" s="174"/>
      <x:c r="F239" s="174"/>
      <x:c r="G239" s="174"/>
      <x:c r="H239" s="174"/>
      <x:c r="I239" s="174"/>
      <x:c r="J239" s="174"/>
      <x:c r="K239" s="174"/>
      <x:c r="L239" s="174"/>
      <x:c r="M239" s="174"/>
      <x:c r="N239" s="174"/>
      <x:c r="O239" s="176"/>
      <x:c r="P239" s="174"/>
      <x:c r="Q239" s="174"/>
      <x:c r="R239" s="174"/>
      <x:c r="S239" s="174"/>
      <x:c r="T239" s="174"/>
      <x:c r="U239" s="174"/>
      <x:c r="V239" s="174"/>
      <x:c r="W239" s="175" t="str">
        <x:f>IF(V239="","",LOWER(SUBSTITUTE(SUBSTITUTE(SUBSTITUTE(SUBSTITUTE(TRIM(V239),"https://doi.org/",""),"http://doi.org/",""),"https://dx.doi.org/",""),"doi:","")))</x:f>
      </x:c>
      <x:c r="X239" s="174"/>
      <x:c r="Y239" s="174"/>
      <x:c r="Z239" s="174"/>
      <x:c r="AA239" s="174"/>
      <x:c r="AB239" s="174"/>
      <x:c r="AC239" s="174"/>
      <x:c r="AD239" s="177"/>
      <x:c r="AE239" s="177"/>
      <x:c r="AF239" s="174"/>
      <x:c r="AG239" s="174"/>
      <x:c r="AH239" s="174"/>
      <x:c r="AI239" s="174"/>
      <x:c r="AJ239" s="174"/>
      <x:c r="AK239" s="175" t="str">
        <x:f>IF(AJ239="","",IF(OR(LOWER(AJ239)="brazil",LOWER(AJ239)="brasil"),"Yes","No"))</x:f>
      </x:c>
      <x:c r="AL239" s="174"/>
      <x:c r="AM239" s="174"/>
      <x:c r="AN239" s="174"/>
      <x:c r="AO239" s="178"/>
      <x:c r="AP239" s="174"/>
      <x:c r="AQ239" s="174"/>
      <x:c r="AR239" s="174"/>
      <x:c r="AS239" s="174"/>
      <x:c r="AT239" s="174"/>
      <x:c r="AU239" s="174"/>
      <x:c r="AV239" s="174"/>
      <x:c r="AW239" s="174"/>
      <x:c r="AX239" s="174"/>
      <x:c r="AY239" s="174"/>
      <x:c r="AZ239" s="174"/>
      <x:c r="BA239" s="174"/>
      <x:c r="BB239" s="174"/>
      <x:c r="BC239" s="174"/>
      <x:c r="BD239" s="174"/>
      <x:c r="BE239" s="174"/>
      <x:c r="BF239" s="174"/>
      <x:c r="BG239" s="174"/>
      <x:c r="BH239" s="174"/>
      <x:c r="BI239" s="174"/>
      <x:c r="BJ239" s="174"/>
      <x:c r="BK239" s="174"/>
      <x:c r="BL239" s="174"/>
      <x:c r="BM239" s="174"/>
      <x:c r="BN239" s="174"/>
      <x:c r="BO239" s="174"/>
      <x:c r="BP239" s="174"/>
      <x:c r="BQ239" s="174"/>
      <x:c r="BR239" s="174"/>
      <x:c r="BS239" s="174"/>
      <x:c r="BT239" s="174"/>
      <x:c r="BU239" s="174"/>
      <x:c r="BV239" s="174"/>
      <x:c r="BW239" s="174"/>
      <x:c r="BX239" s="174"/>
      <x:c r="BY239" s="174"/>
      <x:c r="BZ239" s="174"/>
      <x:c r="CA239" s="174"/>
      <x:c r="CB239" s="174"/>
      <x:c r="CC239" s="174"/>
      <x:c r="CD239" s="174"/>
      <x:c r="CE239" s="174"/>
      <x:c r="CF239" s="174"/>
      <x:c r="CG239" s="174"/>
      <x:c r="CH239" s="174"/>
      <x:c r="CI239" s="179"/>
      <x:c r="CJ239" s="174"/>
      <x:c r="CK239" s="174"/>
      <x:c r="CL239" s="174"/>
      <x:c r="CM239" s="174"/>
      <x:c r="CN239" s="174"/>
      <x:c r="CO239" s="177"/>
      <x:c r="CP239" s="174"/>
      <x:c r="CQ239" s="174"/>
      <x:c r="CR239" s="174"/>
      <x:c r="CS239" s="174"/>
      <x:c r="CT239" s="174"/>
      <x:c r="CU239" s="176"/>
      <x:c r="CV239" s="176"/>
      <x:c r="CW239" s="176"/>
      <x:c r="CX239" s="176"/>
      <x:c r="CY239" s="176"/>
      <x:c r="CZ239" s="176"/>
      <x:c r="DA239" s="176"/>
      <x:c r="DB239" s="175" t="str">
        <x:f>IF(L239="","",IF(COUNT(CU239:DA239)&lt;7,"",SUM(CU239:DA239)))</x:f>
      </x:c>
      <x:c r="DC239" s="180" t="str">
        <x:f>IF(DB239="","",ROUND(DB239/14*10,1))</x:f>
      </x:c>
      <x:c r="DD239" s="174"/>
      <x:c r="DE239" s="175" t="str">
        <x:f>IF(L239="","",IF(DC239="","Pending",IF(DD239="Yes","CONDITIONAL — safety override",IF(DC239&gt;=8,"HIGH",IF(DC239&gt;=5,"CONDITIONAL","LOW")))))</x:f>
      </x:c>
      <x:c r="DF239" s="174"/>
      <x:c r="DG239" s="174"/>
      <x:c r="DH239" s="174"/>
      <x:c r="DI239" s="174"/>
      <x:c r="DJ239" s="174"/>
      <x:c r="DK239" s="174"/>
      <x:c r="DL239" s="174"/>
      <x:c r="DM239" s="174"/>
      <x:c r="DN239" s="174"/>
      <x:c r="DO239" s="174"/>
      <x:c r="DP239" s="174"/>
      <x:c r="DQ239" s="174"/>
      <x:c r="DR239" s="174"/>
      <x:c r="DS239" s="174"/>
      <x:c r="DT239" s="174"/>
      <x:c r="DU239" s="174"/>
      <x:c r="DV239" s="174"/>
      <x:c r="DW239" s="174"/>
      <x:c r="DX239" s="174"/>
      <x:c r="DY239" s="174"/>
      <x:c r="DZ239" s="174"/>
      <x:c r="EA239" s="174"/>
      <x:c r="EB239" s="175" t="str">
        <x:f>IF(L239="","",IF(AND(F239="Claim-ready",CJ239="Yes",CL239="Yes",DZ239&lt;&gt;""),"Yes","No / Pending"))</x:f>
      </x:c>
      <x:c r="EC239" s="174"/>
      <x:c r="ED239" s="174"/>
      <x:c r="EE239" s="174"/>
      <x:c r="EF239" s="174"/>
      <x:c r="EG239" s="174"/>
      <x:c r="EH239" s="177"/>
      <x:c r="EI239" s="174"/>
      <x:c r="EJ239" s="174"/>
      <x:c r="EK239" s="174"/>
      <x:c r="EL239" s="177"/>
      <x:c r="EM239" s="174"/>
      <x:c r="EN239" s="181" t="str">
        <x:f>IF(L239="","",(IF(N239&lt;&gt;"",1,0)+IF(O239&lt;&gt;"",1,0)+IF(AJ239&lt;&gt;"",1,0)+IF(AU239&lt;&gt;"",1,0)+IF(BE239&lt;&gt;"",1,0)+IF(CF239&lt;&gt;"",1,0)+IF(CJ239="Yes",1,0)+IF(CL239="Yes",1,0)+IF(DE239&lt;&gt;"Pending",1,0)+IF(F239&lt;&gt;"",1,0)+IF(DZ239&lt;&gt;"",1,0)+IF(EI239&lt;&gt;"",1,0))/12)</x:f>
      </x:c>
    </x:row>
    <x:row r="240">
      <x:c r="A240" s="175" t="str">
        <x:f>IF(L240="","","EV-"&amp;TEXT(ROW()-3,"0000"))</x:f>
      </x:c>
      <x:c r="B240" s="174"/>
      <x:c r="C240" s="175" t="str">
        <x:f>IF(L240="","",IF(OR(CM240="Retracted",CN240="Retracted",F240="Not used"),"🔴 Do not use for conclusion",IF(OR(R240="Official / Institutional",I240="Official / contextual"),"🔵 Official / contextual",IF(OR(I240="Definition",I240="Framework",I240="Paradigm shift"),"🟣 Conceptual key source",IF(AND(CJ240="Yes",CL240="Yes",OR(CG240="High",CG240="Moderate"),CH240&lt;&gt;"High",CH240&lt;&gt;"Critical",F240="Claim-ready"),"🟢 Claim-ready","🟡 Caution / context")))))</x:f>
      </x:c>
      <x:c r="D240" s="174"/>
      <x:c r="E240" s="174"/>
      <x:c r="F240" s="174"/>
      <x:c r="G240" s="174"/>
      <x:c r="H240" s="174"/>
      <x:c r="I240" s="174"/>
      <x:c r="J240" s="174"/>
      <x:c r="K240" s="174"/>
      <x:c r="L240" s="174"/>
      <x:c r="M240" s="174"/>
      <x:c r="N240" s="174"/>
      <x:c r="O240" s="176"/>
      <x:c r="P240" s="174"/>
      <x:c r="Q240" s="174"/>
      <x:c r="R240" s="174"/>
      <x:c r="S240" s="174"/>
      <x:c r="T240" s="174"/>
      <x:c r="U240" s="174"/>
      <x:c r="V240" s="174"/>
      <x:c r="W240" s="175" t="str">
        <x:f>IF(V240="","",LOWER(SUBSTITUTE(SUBSTITUTE(SUBSTITUTE(SUBSTITUTE(TRIM(V240),"https://doi.org/",""),"http://doi.org/",""),"https://dx.doi.org/",""),"doi:","")))</x:f>
      </x:c>
      <x:c r="X240" s="174"/>
      <x:c r="Y240" s="174"/>
      <x:c r="Z240" s="174"/>
      <x:c r="AA240" s="174"/>
      <x:c r="AB240" s="174"/>
      <x:c r="AC240" s="174"/>
      <x:c r="AD240" s="177"/>
      <x:c r="AE240" s="177"/>
      <x:c r="AF240" s="174"/>
      <x:c r="AG240" s="174"/>
      <x:c r="AH240" s="174"/>
      <x:c r="AI240" s="174"/>
      <x:c r="AJ240" s="174"/>
      <x:c r="AK240" s="175" t="str">
        <x:f>IF(AJ240="","",IF(OR(LOWER(AJ240)="brazil",LOWER(AJ240)="brasil"),"Yes","No"))</x:f>
      </x:c>
      <x:c r="AL240" s="174"/>
      <x:c r="AM240" s="174"/>
      <x:c r="AN240" s="174"/>
      <x:c r="AO240" s="178"/>
      <x:c r="AP240" s="174"/>
      <x:c r="AQ240" s="174"/>
      <x:c r="AR240" s="174"/>
      <x:c r="AS240" s="174"/>
      <x:c r="AT240" s="174"/>
      <x:c r="AU240" s="174"/>
      <x:c r="AV240" s="174"/>
      <x:c r="AW240" s="174"/>
      <x:c r="AX240" s="174"/>
      <x:c r="AY240" s="174"/>
      <x:c r="AZ240" s="174"/>
      <x:c r="BA240" s="174"/>
      <x:c r="BB240" s="174"/>
      <x:c r="BC240" s="174"/>
      <x:c r="BD240" s="174"/>
      <x:c r="BE240" s="174"/>
      <x:c r="BF240" s="174"/>
      <x:c r="BG240" s="174"/>
      <x:c r="BH240" s="174"/>
      <x:c r="BI240" s="174"/>
      <x:c r="BJ240" s="174"/>
      <x:c r="BK240" s="174"/>
      <x:c r="BL240" s="174"/>
      <x:c r="BM240" s="174"/>
      <x:c r="BN240" s="174"/>
      <x:c r="BO240" s="174"/>
      <x:c r="BP240" s="174"/>
      <x:c r="BQ240" s="174"/>
      <x:c r="BR240" s="174"/>
      <x:c r="BS240" s="174"/>
      <x:c r="BT240" s="174"/>
      <x:c r="BU240" s="174"/>
      <x:c r="BV240" s="174"/>
      <x:c r="BW240" s="174"/>
      <x:c r="BX240" s="174"/>
      <x:c r="BY240" s="174"/>
      <x:c r="BZ240" s="174"/>
      <x:c r="CA240" s="174"/>
      <x:c r="CB240" s="174"/>
      <x:c r="CC240" s="174"/>
      <x:c r="CD240" s="174"/>
      <x:c r="CE240" s="174"/>
      <x:c r="CF240" s="174"/>
      <x:c r="CG240" s="174"/>
      <x:c r="CH240" s="174"/>
      <x:c r="CI240" s="179"/>
      <x:c r="CJ240" s="174"/>
      <x:c r="CK240" s="174"/>
      <x:c r="CL240" s="174"/>
      <x:c r="CM240" s="174"/>
      <x:c r="CN240" s="174"/>
      <x:c r="CO240" s="177"/>
      <x:c r="CP240" s="174"/>
      <x:c r="CQ240" s="174"/>
      <x:c r="CR240" s="174"/>
      <x:c r="CS240" s="174"/>
      <x:c r="CT240" s="174"/>
      <x:c r="CU240" s="176"/>
      <x:c r="CV240" s="176"/>
      <x:c r="CW240" s="176"/>
      <x:c r="CX240" s="176"/>
      <x:c r="CY240" s="176"/>
      <x:c r="CZ240" s="176"/>
      <x:c r="DA240" s="176"/>
      <x:c r="DB240" s="175" t="str">
        <x:f>IF(L240="","",IF(COUNT(CU240:DA240)&lt;7,"",SUM(CU240:DA240)))</x:f>
      </x:c>
      <x:c r="DC240" s="180" t="str">
        <x:f>IF(DB240="","",ROUND(DB240/14*10,1))</x:f>
      </x:c>
      <x:c r="DD240" s="174"/>
      <x:c r="DE240" s="175" t="str">
        <x:f>IF(L240="","",IF(DC240="","Pending",IF(DD240="Yes","CONDITIONAL — safety override",IF(DC240&gt;=8,"HIGH",IF(DC240&gt;=5,"CONDITIONAL","LOW")))))</x:f>
      </x:c>
      <x:c r="DF240" s="174"/>
      <x:c r="DG240" s="174"/>
      <x:c r="DH240" s="174"/>
      <x:c r="DI240" s="174"/>
      <x:c r="DJ240" s="174"/>
      <x:c r="DK240" s="174"/>
      <x:c r="DL240" s="174"/>
      <x:c r="DM240" s="174"/>
      <x:c r="DN240" s="174"/>
      <x:c r="DO240" s="174"/>
      <x:c r="DP240" s="174"/>
      <x:c r="DQ240" s="174"/>
      <x:c r="DR240" s="174"/>
      <x:c r="DS240" s="174"/>
      <x:c r="DT240" s="174"/>
      <x:c r="DU240" s="174"/>
      <x:c r="DV240" s="174"/>
      <x:c r="DW240" s="174"/>
      <x:c r="DX240" s="174"/>
      <x:c r="DY240" s="174"/>
      <x:c r="DZ240" s="174"/>
      <x:c r="EA240" s="174"/>
      <x:c r="EB240" s="175" t="str">
        <x:f>IF(L240="","",IF(AND(F240="Claim-ready",CJ240="Yes",CL240="Yes",DZ240&lt;&gt;""),"Yes","No / Pending"))</x:f>
      </x:c>
      <x:c r="EC240" s="174"/>
      <x:c r="ED240" s="174"/>
      <x:c r="EE240" s="174"/>
      <x:c r="EF240" s="174"/>
      <x:c r="EG240" s="174"/>
      <x:c r="EH240" s="177"/>
      <x:c r="EI240" s="174"/>
      <x:c r="EJ240" s="174"/>
      <x:c r="EK240" s="174"/>
      <x:c r="EL240" s="177"/>
      <x:c r="EM240" s="174"/>
      <x:c r="EN240" s="181" t="str">
        <x:f>IF(L240="","",(IF(N240&lt;&gt;"",1,0)+IF(O240&lt;&gt;"",1,0)+IF(AJ240&lt;&gt;"",1,0)+IF(AU240&lt;&gt;"",1,0)+IF(BE240&lt;&gt;"",1,0)+IF(CF240&lt;&gt;"",1,0)+IF(CJ240="Yes",1,0)+IF(CL240="Yes",1,0)+IF(DE240&lt;&gt;"Pending",1,0)+IF(F240&lt;&gt;"",1,0)+IF(DZ240&lt;&gt;"",1,0)+IF(EI240&lt;&gt;"",1,0))/12)</x:f>
      </x:c>
    </x:row>
    <x:row r="241">
      <x:c r="A241" s="175" t="str">
        <x:f>IF(L241="","","EV-"&amp;TEXT(ROW()-3,"0000"))</x:f>
      </x:c>
      <x:c r="B241" s="174"/>
      <x:c r="C241" s="175" t="str">
        <x:f>IF(L241="","",IF(OR(CM241="Retracted",CN241="Retracted",F241="Not used"),"🔴 Do not use for conclusion",IF(OR(R241="Official / Institutional",I241="Official / contextual"),"🔵 Official / contextual",IF(OR(I241="Definition",I241="Framework",I241="Paradigm shift"),"🟣 Conceptual key source",IF(AND(CJ241="Yes",CL241="Yes",OR(CG241="High",CG241="Moderate"),CH241&lt;&gt;"High",CH241&lt;&gt;"Critical",F241="Claim-ready"),"🟢 Claim-ready","🟡 Caution / context")))))</x:f>
      </x:c>
      <x:c r="D241" s="174"/>
      <x:c r="E241" s="174"/>
      <x:c r="F241" s="174"/>
      <x:c r="G241" s="174"/>
      <x:c r="H241" s="174"/>
      <x:c r="I241" s="174"/>
      <x:c r="J241" s="174"/>
      <x:c r="K241" s="174"/>
      <x:c r="L241" s="174"/>
      <x:c r="M241" s="174"/>
      <x:c r="N241" s="174"/>
      <x:c r="O241" s="176"/>
      <x:c r="P241" s="174"/>
      <x:c r="Q241" s="174"/>
      <x:c r="R241" s="174"/>
      <x:c r="S241" s="174"/>
      <x:c r="T241" s="174"/>
      <x:c r="U241" s="174"/>
      <x:c r="V241" s="174"/>
      <x:c r="W241" s="175" t="str">
        <x:f>IF(V241="","",LOWER(SUBSTITUTE(SUBSTITUTE(SUBSTITUTE(SUBSTITUTE(TRIM(V241),"https://doi.org/",""),"http://doi.org/",""),"https://dx.doi.org/",""),"doi:","")))</x:f>
      </x:c>
      <x:c r="X241" s="174"/>
      <x:c r="Y241" s="174"/>
      <x:c r="Z241" s="174"/>
      <x:c r="AA241" s="174"/>
      <x:c r="AB241" s="174"/>
      <x:c r="AC241" s="174"/>
      <x:c r="AD241" s="177"/>
      <x:c r="AE241" s="177"/>
      <x:c r="AF241" s="174"/>
      <x:c r="AG241" s="174"/>
      <x:c r="AH241" s="174"/>
      <x:c r="AI241" s="174"/>
      <x:c r="AJ241" s="174"/>
      <x:c r="AK241" s="175" t="str">
        <x:f>IF(AJ241="","",IF(OR(LOWER(AJ241)="brazil",LOWER(AJ241)="brasil"),"Yes","No"))</x:f>
      </x:c>
      <x:c r="AL241" s="174"/>
      <x:c r="AM241" s="174"/>
      <x:c r="AN241" s="174"/>
      <x:c r="AO241" s="178"/>
      <x:c r="AP241" s="174"/>
      <x:c r="AQ241" s="174"/>
      <x:c r="AR241" s="174"/>
      <x:c r="AS241" s="174"/>
      <x:c r="AT241" s="174"/>
      <x:c r="AU241" s="174"/>
      <x:c r="AV241" s="174"/>
      <x:c r="AW241" s="174"/>
      <x:c r="AX241" s="174"/>
      <x:c r="AY241" s="174"/>
      <x:c r="AZ241" s="174"/>
      <x:c r="BA241" s="174"/>
      <x:c r="BB241" s="174"/>
      <x:c r="BC241" s="174"/>
      <x:c r="BD241" s="174"/>
      <x:c r="BE241" s="174"/>
      <x:c r="BF241" s="174"/>
      <x:c r="BG241" s="174"/>
      <x:c r="BH241" s="174"/>
      <x:c r="BI241" s="174"/>
      <x:c r="BJ241" s="174"/>
      <x:c r="BK241" s="174"/>
      <x:c r="BL241" s="174"/>
      <x:c r="BM241" s="174"/>
      <x:c r="BN241" s="174"/>
      <x:c r="BO241" s="174"/>
      <x:c r="BP241" s="174"/>
      <x:c r="BQ241" s="174"/>
      <x:c r="BR241" s="174"/>
      <x:c r="BS241" s="174"/>
      <x:c r="BT241" s="174"/>
      <x:c r="BU241" s="174"/>
      <x:c r="BV241" s="174"/>
      <x:c r="BW241" s="174"/>
      <x:c r="BX241" s="174"/>
      <x:c r="BY241" s="174"/>
      <x:c r="BZ241" s="174"/>
      <x:c r="CA241" s="174"/>
      <x:c r="CB241" s="174"/>
      <x:c r="CC241" s="174"/>
      <x:c r="CD241" s="174"/>
      <x:c r="CE241" s="174"/>
      <x:c r="CF241" s="174"/>
      <x:c r="CG241" s="174"/>
      <x:c r="CH241" s="174"/>
      <x:c r="CI241" s="179"/>
      <x:c r="CJ241" s="174"/>
      <x:c r="CK241" s="174"/>
      <x:c r="CL241" s="174"/>
      <x:c r="CM241" s="174"/>
      <x:c r="CN241" s="174"/>
      <x:c r="CO241" s="177"/>
      <x:c r="CP241" s="174"/>
      <x:c r="CQ241" s="174"/>
      <x:c r="CR241" s="174"/>
      <x:c r="CS241" s="174"/>
      <x:c r="CT241" s="174"/>
      <x:c r="CU241" s="176"/>
      <x:c r="CV241" s="176"/>
      <x:c r="CW241" s="176"/>
      <x:c r="CX241" s="176"/>
      <x:c r="CY241" s="176"/>
      <x:c r="CZ241" s="176"/>
      <x:c r="DA241" s="176"/>
      <x:c r="DB241" s="175" t="str">
        <x:f>IF(L241="","",IF(COUNT(CU241:DA241)&lt;7,"",SUM(CU241:DA241)))</x:f>
      </x:c>
      <x:c r="DC241" s="180" t="str">
        <x:f>IF(DB241="","",ROUND(DB241/14*10,1))</x:f>
      </x:c>
      <x:c r="DD241" s="174"/>
      <x:c r="DE241" s="175" t="str">
        <x:f>IF(L241="","",IF(DC241="","Pending",IF(DD241="Yes","CONDITIONAL — safety override",IF(DC241&gt;=8,"HIGH",IF(DC241&gt;=5,"CONDITIONAL","LOW")))))</x:f>
      </x:c>
      <x:c r="DF241" s="174"/>
      <x:c r="DG241" s="174"/>
      <x:c r="DH241" s="174"/>
      <x:c r="DI241" s="174"/>
      <x:c r="DJ241" s="174"/>
      <x:c r="DK241" s="174"/>
      <x:c r="DL241" s="174"/>
      <x:c r="DM241" s="174"/>
      <x:c r="DN241" s="174"/>
      <x:c r="DO241" s="174"/>
      <x:c r="DP241" s="174"/>
      <x:c r="DQ241" s="174"/>
      <x:c r="DR241" s="174"/>
      <x:c r="DS241" s="174"/>
      <x:c r="DT241" s="174"/>
      <x:c r="DU241" s="174"/>
      <x:c r="DV241" s="174"/>
      <x:c r="DW241" s="174"/>
      <x:c r="DX241" s="174"/>
      <x:c r="DY241" s="174"/>
      <x:c r="DZ241" s="174"/>
      <x:c r="EA241" s="174"/>
      <x:c r="EB241" s="175" t="str">
        <x:f>IF(L241="","",IF(AND(F241="Claim-ready",CJ241="Yes",CL241="Yes",DZ241&lt;&gt;""),"Yes","No / Pending"))</x:f>
      </x:c>
      <x:c r="EC241" s="174"/>
      <x:c r="ED241" s="174"/>
      <x:c r="EE241" s="174"/>
      <x:c r="EF241" s="174"/>
      <x:c r="EG241" s="174"/>
      <x:c r="EH241" s="177"/>
      <x:c r="EI241" s="174"/>
      <x:c r="EJ241" s="174"/>
      <x:c r="EK241" s="174"/>
      <x:c r="EL241" s="177"/>
      <x:c r="EM241" s="174"/>
      <x:c r="EN241" s="181" t="str">
        <x:f>IF(L241="","",(IF(N241&lt;&gt;"",1,0)+IF(O241&lt;&gt;"",1,0)+IF(AJ241&lt;&gt;"",1,0)+IF(AU241&lt;&gt;"",1,0)+IF(BE241&lt;&gt;"",1,0)+IF(CF241&lt;&gt;"",1,0)+IF(CJ241="Yes",1,0)+IF(CL241="Yes",1,0)+IF(DE241&lt;&gt;"Pending",1,0)+IF(F241&lt;&gt;"",1,0)+IF(DZ241&lt;&gt;"",1,0)+IF(EI241&lt;&gt;"",1,0))/12)</x:f>
      </x:c>
    </x:row>
    <x:row r="242">
      <x:c r="A242" s="175" t="str">
        <x:f>IF(L242="","","EV-"&amp;TEXT(ROW()-3,"0000"))</x:f>
      </x:c>
      <x:c r="B242" s="174"/>
      <x:c r="C242" s="175" t="str">
        <x:f>IF(L242="","",IF(OR(CM242="Retracted",CN242="Retracted",F242="Not used"),"🔴 Do not use for conclusion",IF(OR(R242="Official / Institutional",I242="Official / contextual"),"🔵 Official / contextual",IF(OR(I242="Definition",I242="Framework",I242="Paradigm shift"),"🟣 Conceptual key source",IF(AND(CJ242="Yes",CL242="Yes",OR(CG242="High",CG242="Moderate"),CH242&lt;&gt;"High",CH242&lt;&gt;"Critical",F242="Claim-ready"),"🟢 Claim-ready","🟡 Caution / context")))))</x:f>
      </x:c>
      <x:c r="D242" s="174"/>
      <x:c r="E242" s="174"/>
      <x:c r="F242" s="174"/>
      <x:c r="G242" s="174"/>
      <x:c r="H242" s="174"/>
      <x:c r="I242" s="174"/>
      <x:c r="J242" s="174"/>
      <x:c r="K242" s="174"/>
      <x:c r="L242" s="174"/>
      <x:c r="M242" s="174"/>
      <x:c r="N242" s="174"/>
      <x:c r="O242" s="176"/>
      <x:c r="P242" s="174"/>
      <x:c r="Q242" s="174"/>
      <x:c r="R242" s="174"/>
      <x:c r="S242" s="174"/>
      <x:c r="T242" s="174"/>
      <x:c r="U242" s="174"/>
      <x:c r="V242" s="174"/>
      <x:c r="W242" s="175" t="str">
        <x:f>IF(V242="","",LOWER(SUBSTITUTE(SUBSTITUTE(SUBSTITUTE(SUBSTITUTE(TRIM(V242),"https://doi.org/",""),"http://doi.org/",""),"https://dx.doi.org/",""),"doi:","")))</x:f>
      </x:c>
      <x:c r="X242" s="174"/>
      <x:c r="Y242" s="174"/>
      <x:c r="Z242" s="174"/>
      <x:c r="AA242" s="174"/>
      <x:c r="AB242" s="174"/>
      <x:c r="AC242" s="174"/>
      <x:c r="AD242" s="177"/>
      <x:c r="AE242" s="177"/>
      <x:c r="AF242" s="174"/>
      <x:c r="AG242" s="174"/>
      <x:c r="AH242" s="174"/>
      <x:c r="AI242" s="174"/>
      <x:c r="AJ242" s="174"/>
      <x:c r="AK242" s="175" t="str">
        <x:f>IF(AJ242="","",IF(OR(LOWER(AJ242)="brazil",LOWER(AJ242)="brasil"),"Yes","No"))</x:f>
      </x:c>
      <x:c r="AL242" s="174"/>
      <x:c r="AM242" s="174"/>
      <x:c r="AN242" s="174"/>
      <x:c r="AO242" s="178"/>
      <x:c r="AP242" s="174"/>
      <x:c r="AQ242" s="174"/>
      <x:c r="AR242" s="174"/>
      <x:c r="AS242" s="174"/>
      <x:c r="AT242" s="174"/>
      <x:c r="AU242" s="174"/>
      <x:c r="AV242" s="174"/>
      <x:c r="AW242" s="174"/>
      <x:c r="AX242" s="174"/>
      <x:c r="AY242" s="174"/>
      <x:c r="AZ242" s="174"/>
      <x:c r="BA242" s="174"/>
      <x:c r="BB242" s="174"/>
      <x:c r="BC242" s="174"/>
      <x:c r="BD242" s="174"/>
      <x:c r="BE242" s="174"/>
      <x:c r="BF242" s="174"/>
      <x:c r="BG242" s="174"/>
      <x:c r="BH242" s="174"/>
      <x:c r="BI242" s="174"/>
      <x:c r="BJ242" s="174"/>
      <x:c r="BK242" s="174"/>
      <x:c r="BL242" s="174"/>
      <x:c r="BM242" s="174"/>
      <x:c r="BN242" s="174"/>
      <x:c r="BO242" s="174"/>
      <x:c r="BP242" s="174"/>
      <x:c r="BQ242" s="174"/>
      <x:c r="BR242" s="174"/>
      <x:c r="BS242" s="174"/>
      <x:c r="BT242" s="174"/>
      <x:c r="BU242" s="174"/>
      <x:c r="BV242" s="174"/>
      <x:c r="BW242" s="174"/>
      <x:c r="BX242" s="174"/>
      <x:c r="BY242" s="174"/>
      <x:c r="BZ242" s="174"/>
      <x:c r="CA242" s="174"/>
      <x:c r="CB242" s="174"/>
      <x:c r="CC242" s="174"/>
      <x:c r="CD242" s="174"/>
      <x:c r="CE242" s="174"/>
      <x:c r="CF242" s="174"/>
      <x:c r="CG242" s="174"/>
      <x:c r="CH242" s="174"/>
      <x:c r="CI242" s="179"/>
      <x:c r="CJ242" s="174"/>
      <x:c r="CK242" s="174"/>
      <x:c r="CL242" s="174"/>
      <x:c r="CM242" s="174"/>
      <x:c r="CN242" s="174"/>
      <x:c r="CO242" s="177"/>
      <x:c r="CP242" s="174"/>
      <x:c r="CQ242" s="174"/>
      <x:c r="CR242" s="174"/>
      <x:c r="CS242" s="174"/>
      <x:c r="CT242" s="174"/>
      <x:c r="CU242" s="176"/>
      <x:c r="CV242" s="176"/>
      <x:c r="CW242" s="176"/>
      <x:c r="CX242" s="176"/>
      <x:c r="CY242" s="176"/>
      <x:c r="CZ242" s="176"/>
      <x:c r="DA242" s="176"/>
      <x:c r="DB242" s="175" t="str">
        <x:f>IF(L242="","",IF(COUNT(CU242:DA242)&lt;7,"",SUM(CU242:DA242)))</x:f>
      </x:c>
      <x:c r="DC242" s="180" t="str">
        <x:f>IF(DB242="","",ROUND(DB242/14*10,1))</x:f>
      </x:c>
      <x:c r="DD242" s="174"/>
      <x:c r="DE242" s="175" t="str">
        <x:f>IF(L242="","",IF(DC242="","Pending",IF(DD242="Yes","CONDITIONAL — safety override",IF(DC242&gt;=8,"HIGH",IF(DC242&gt;=5,"CONDITIONAL","LOW")))))</x:f>
      </x:c>
      <x:c r="DF242" s="174"/>
      <x:c r="DG242" s="174"/>
      <x:c r="DH242" s="174"/>
      <x:c r="DI242" s="174"/>
      <x:c r="DJ242" s="174"/>
      <x:c r="DK242" s="174"/>
      <x:c r="DL242" s="174"/>
      <x:c r="DM242" s="174"/>
      <x:c r="DN242" s="174"/>
      <x:c r="DO242" s="174"/>
      <x:c r="DP242" s="174"/>
      <x:c r="DQ242" s="174"/>
      <x:c r="DR242" s="174"/>
      <x:c r="DS242" s="174"/>
      <x:c r="DT242" s="174"/>
      <x:c r="DU242" s="174"/>
      <x:c r="DV242" s="174"/>
      <x:c r="DW242" s="174"/>
      <x:c r="DX242" s="174"/>
      <x:c r="DY242" s="174"/>
      <x:c r="DZ242" s="174"/>
      <x:c r="EA242" s="174"/>
      <x:c r="EB242" s="175" t="str">
        <x:f>IF(L242="","",IF(AND(F242="Claim-ready",CJ242="Yes",CL242="Yes",DZ242&lt;&gt;""),"Yes","No / Pending"))</x:f>
      </x:c>
      <x:c r="EC242" s="174"/>
      <x:c r="ED242" s="174"/>
      <x:c r="EE242" s="174"/>
      <x:c r="EF242" s="174"/>
      <x:c r="EG242" s="174"/>
      <x:c r="EH242" s="177"/>
      <x:c r="EI242" s="174"/>
      <x:c r="EJ242" s="174"/>
      <x:c r="EK242" s="174"/>
      <x:c r="EL242" s="177"/>
      <x:c r="EM242" s="174"/>
      <x:c r="EN242" s="181" t="str">
        <x:f>IF(L242="","",(IF(N242&lt;&gt;"",1,0)+IF(O242&lt;&gt;"",1,0)+IF(AJ242&lt;&gt;"",1,0)+IF(AU242&lt;&gt;"",1,0)+IF(BE242&lt;&gt;"",1,0)+IF(CF242&lt;&gt;"",1,0)+IF(CJ242="Yes",1,0)+IF(CL242="Yes",1,0)+IF(DE242&lt;&gt;"Pending",1,0)+IF(F242&lt;&gt;"",1,0)+IF(DZ242&lt;&gt;"",1,0)+IF(EI242&lt;&gt;"",1,0))/12)</x:f>
      </x:c>
    </x:row>
    <x:row r="243">
      <x:c r="A243" s="175" t="str">
        <x:f>IF(L243="","","EV-"&amp;TEXT(ROW()-3,"0000"))</x:f>
      </x:c>
      <x:c r="B243" s="174"/>
      <x:c r="C243" s="175" t="str">
        <x:f>IF(L243="","",IF(OR(CM243="Retracted",CN243="Retracted",F243="Not used"),"🔴 Do not use for conclusion",IF(OR(R243="Official / Institutional",I243="Official / contextual"),"🔵 Official / contextual",IF(OR(I243="Definition",I243="Framework",I243="Paradigm shift"),"🟣 Conceptual key source",IF(AND(CJ243="Yes",CL243="Yes",OR(CG243="High",CG243="Moderate"),CH243&lt;&gt;"High",CH243&lt;&gt;"Critical",F243="Claim-ready"),"🟢 Claim-ready","🟡 Caution / context")))))</x:f>
      </x:c>
      <x:c r="D243" s="174"/>
      <x:c r="E243" s="174"/>
      <x:c r="F243" s="174"/>
      <x:c r="G243" s="174"/>
      <x:c r="H243" s="174"/>
      <x:c r="I243" s="174"/>
      <x:c r="J243" s="174"/>
      <x:c r="K243" s="174"/>
      <x:c r="L243" s="174"/>
      <x:c r="M243" s="174"/>
      <x:c r="N243" s="174"/>
      <x:c r="O243" s="176"/>
      <x:c r="P243" s="174"/>
      <x:c r="Q243" s="174"/>
      <x:c r="R243" s="174"/>
      <x:c r="S243" s="174"/>
      <x:c r="T243" s="174"/>
      <x:c r="U243" s="174"/>
      <x:c r="V243" s="174"/>
      <x:c r="W243" s="175" t="str">
        <x:f>IF(V243="","",LOWER(SUBSTITUTE(SUBSTITUTE(SUBSTITUTE(SUBSTITUTE(TRIM(V243),"https://doi.org/",""),"http://doi.org/",""),"https://dx.doi.org/",""),"doi:","")))</x:f>
      </x:c>
      <x:c r="X243" s="174"/>
      <x:c r="Y243" s="174"/>
      <x:c r="Z243" s="174"/>
      <x:c r="AA243" s="174"/>
      <x:c r="AB243" s="174"/>
      <x:c r="AC243" s="174"/>
      <x:c r="AD243" s="177"/>
      <x:c r="AE243" s="177"/>
      <x:c r="AF243" s="174"/>
      <x:c r="AG243" s="174"/>
      <x:c r="AH243" s="174"/>
      <x:c r="AI243" s="174"/>
      <x:c r="AJ243" s="174"/>
      <x:c r="AK243" s="175" t="str">
        <x:f>IF(AJ243="","",IF(OR(LOWER(AJ243)="brazil",LOWER(AJ243)="brasil"),"Yes","No"))</x:f>
      </x:c>
      <x:c r="AL243" s="174"/>
      <x:c r="AM243" s="174"/>
      <x:c r="AN243" s="174"/>
      <x:c r="AO243" s="178"/>
      <x:c r="AP243" s="174"/>
      <x:c r="AQ243" s="174"/>
      <x:c r="AR243" s="174"/>
      <x:c r="AS243" s="174"/>
      <x:c r="AT243" s="174"/>
      <x:c r="AU243" s="174"/>
      <x:c r="AV243" s="174"/>
      <x:c r="AW243" s="174"/>
      <x:c r="AX243" s="174"/>
      <x:c r="AY243" s="174"/>
      <x:c r="AZ243" s="174"/>
      <x:c r="BA243" s="174"/>
      <x:c r="BB243" s="174"/>
      <x:c r="BC243" s="174"/>
      <x:c r="BD243" s="174"/>
      <x:c r="BE243" s="174"/>
      <x:c r="BF243" s="174"/>
      <x:c r="BG243" s="174"/>
      <x:c r="BH243" s="174"/>
      <x:c r="BI243" s="174"/>
      <x:c r="BJ243" s="174"/>
      <x:c r="BK243" s="174"/>
      <x:c r="BL243" s="174"/>
      <x:c r="BM243" s="174"/>
      <x:c r="BN243" s="174"/>
      <x:c r="BO243" s="174"/>
      <x:c r="BP243" s="174"/>
      <x:c r="BQ243" s="174"/>
      <x:c r="BR243" s="174"/>
      <x:c r="BS243" s="174"/>
      <x:c r="BT243" s="174"/>
      <x:c r="BU243" s="174"/>
      <x:c r="BV243" s="174"/>
      <x:c r="BW243" s="174"/>
      <x:c r="BX243" s="174"/>
      <x:c r="BY243" s="174"/>
      <x:c r="BZ243" s="174"/>
      <x:c r="CA243" s="174"/>
      <x:c r="CB243" s="174"/>
      <x:c r="CC243" s="174"/>
      <x:c r="CD243" s="174"/>
      <x:c r="CE243" s="174"/>
      <x:c r="CF243" s="174"/>
      <x:c r="CG243" s="174"/>
      <x:c r="CH243" s="174"/>
      <x:c r="CI243" s="179"/>
      <x:c r="CJ243" s="174"/>
      <x:c r="CK243" s="174"/>
      <x:c r="CL243" s="174"/>
      <x:c r="CM243" s="174"/>
      <x:c r="CN243" s="174"/>
      <x:c r="CO243" s="177"/>
      <x:c r="CP243" s="174"/>
      <x:c r="CQ243" s="174"/>
      <x:c r="CR243" s="174"/>
      <x:c r="CS243" s="174"/>
      <x:c r="CT243" s="174"/>
      <x:c r="CU243" s="176"/>
      <x:c r="CV243" s="176"/>
      <x:c r="CW243" s="176"/>
      <x:c r="CX243" s="176"/>
      <x:c r="CY243" s="176"/>
      <x:c r="CZ243" s="176"/>
      <x:c r="DA243" s="176"/>
      <x:c r="DB243" s="175" t="str">
        <x:f>IF(L243="","",IF(COUNT(CU243:DA243)&lt;7,"",SUM(CU243:DA243)))</x:f>
      </x:c>
      <x:c r="DC243" s="180" t="str">
        <x:f>IF(DB243="","",ROUND(DB243/14*10,1))</x:f>
      </x:c>
      <x:c r="DD243" s="174"/>
      <x:c r="DE243" s="175" t="str">
        <x:f>IF(L243="","",IF(DC243="","Pending",IF(DD243="Yes","CONDITIONAL — safety override",IF(DC243&gt;=8,"HIGH",IF(DC243&gt;=5,"CONDITIONAL","LOW")))))</x:f>
      </x:c>
      <x:c r="DF243" s="174"/>
      <x:c r="DG243" s="174"/>
      <x:c r="DH243" s="174"/>
      <x:c r="DI243" s="174"/>
      <x:c r="DJ243" s="174"/>
      <x:c r="DK243" s="174"/>
      <x:c r="DL243" s="174"/>
      <x:c r="DM243" s="174"/>
      <x:c r="DN243" s="174"/>
      <x:c r="DO243" s="174"/>
      <x:c r="DP243" s="174"/>
      <x:c r="DQ243" s="174"/>
      <x:c r="DR243" s="174"/>
      <x:c r="DS243" s="174"/>
      <x:c r="DT243" s="174"/>
      <x:c r="DU243" s="174"/>
      <x:c r="DV243" s="174"/>
      <x:c r="DW243" s="174"/>
      <x:c r="DX243" s="174"/>
      <x:c r="DY243" s="174"/>
      <x:c r="DZ243" s="174"/>
      <x:c r="EA243" s="174"/>
      <x:c r="EB243" s="175" t="str">
        <x:f>IF(L243="","",IF(AND(F243="Claim-ready",CJ243="Yes",CL243="Yes",DZ243&lt;&gt;""),"Yes","No / Pending"))</x:f>
      </x:c>
      <x:c r="EC243" s="174"/>
      <x:c r="ED243" s="174"/>
      <x:c r="EE243" s="174"/>
      <x:c r="EF243" s="174"/>
      <x:c r="EG243" s="174"/>
      <x:c r="EH243" s="177"/>
      <x:c r="EI243" s="174"/>
      <x:c r="EJ243" s="174"/>
      <x:c r="EK243" s="174"/>
      <x:c r="EL243" s="177"/>
      <x:c r="EM243" s="174"/>
      <x:c r="EN243" s="181" t="str">
        <x:f>IF(L243="","",(IF(N243&lt;&gt;"",1,0)+IF(O243&lt;&gt;"",1,0)+IF(AJ243&lt;&gt;"",1,0)+IF(AU243&lt;&gt;"",1,0)+IF(BE243&lt;&gt;"",1,0)+IF(CF243&lt;&gt;"",1,0)+IF(CJ243="Yes",1,0)+IF(CL243="Yes",1,0)+IF(DE243&lt;&gt;"Pending",1,0)+IF(F243&lt;&gt;"",1,0)+IF(DZ243&lt;&gt;"",1,0)+IF(EI243&lt;&gt;"",1,0))/12)</x:f>
      </x:c>
    </x:row>
    <x:row r="244">
      <x:c r="A244" s="175" t="str">
        <x:f>IF(L244="","","EV-"&amp;TEXT(ROW()-3,"0000"))</x:f>
      </x:c>
      <x:c r="B244" s="174"/>
      <x:c r="C244" s="175" t="str">
        <x:f>IF(L244="","",IF(OR(CM244="Retracted",CN244="Retracted",F244="Not used"),"🔴 Do not use for conclusion",IF(OR(R244="Official / Institutional",I244="Official / contextual"),"🔵 Official / contextual",IF(OR(I244="Definition",I244="Framework",I244="Paradigm shift"),"🟣 Conceptual key source",IF(AND(CJ244="Yes",CL244="Yes",OR(CG244="High",CG244="Moderate"),CH244&lt;&gt;"High",CH244&lt;&gt;"Critical",F244="Claim-ready"),"🟢 Claim-ready","🟡 Caution / context")))))</x:f>
      </x:c>
      <x:c r="D244" s="174"/>
      <x:c r="E244" s="174"/>
      <x:c r="F244" s="174"/>
      <x:c r="G244" s="174"/>
      <x:c r="H244" s="174"/>
      <x:c r="I244" s="174"/>
      <x:c r="J244" s="174"/>
      <x:c r="K244" s="174"/>
      <x:c r="L244" s="174"/>
      <x:c r="M244" s="174"/>
      <x:c r="N244" s="174"/>
      <x:c r="O244" s="176"/>
      <x:c r="P244" s="174"/>
      <x:c r="Q244" s="174"/>
      <x:c r="R244" s="174"/>
      <x:c r="S244" s="174"/>
      <x:c r="T244" s="174"/>
      <x:c r="U244" s="174"/>
      <x:c r="V244" s="174"/>
      <x:c r="W244" s="175" t="str">
        <x:f>IF(V244="","",LOWER(SUBSTITUTE(SUBSTITUTE(SUBSTITUTE(SUBSTITUTE(TRIM(V244),"https://doi.org/",""),"http://doi.org/",""),"https://dx.doi.org/",""),"doi:","")))</x:f>
      </x:c>
      <x:c r="X244" s="174"/>
      <x:c r="Y244" s="174"/>
      <x:c r="Z244" s="174"/>
      <x:c r="AA244" s="174"/>
      <x:c r="AB244" s="174"/>
      <x:c r="AC244" s="174"/>
      <x:c r="AD244" s="177"/>
      <x:c r="AE244" s="177"/>
      <x:c r="AF244" s="174"/>
      <x:c r="AG244" s="174"/>
      <x:c r="AH244" s="174"/>
      <x:c r="AI244" s="174"/>
      <x:c r="AJ244" s="174"/>
      <x:c r="AK244" s="175" t="str">
        <x:f>IF(AJ244="","",IF(OR(LOWER(AJ244)="brazil",LOWER(AJ244)="brasil"),"Yes","No"))</x:f>
      </x:c>
      <x:c r="AL244" s="174"/>
      <x:c r="AM244" s="174"/>
      <x:c r="AN244" s="174"/>
      <x:c r="AO244" s="178"/>
      <x:c r="AP244" s="174"/>
      <x:c r="AQ244" s="174"/>
      <x:c r="AR244" s="174"/>
      <x:c r="AS244" s="174"/>
      <x:c r="AT244" s="174"/>
      <x:c r="AU244" s="174"/>
      <x:c r="AV244" s="174"/>
      <x:c r="AW244" s="174"/>
      <x:c r="AX244" s="174"/>
      <x:c r="AY244" s="174"/>
      <x:c r="AZ244" s="174"/>
      <x:c r="BA244" s="174"/>
      <x:c r="BB244" s="174"/>
      <x:c r="BC244" s="174"/>
      <x:c r="BD244" s="174"/>
      <x:c r="BE244" s="174"/>
      <x:c r="BF244" s="174"/>
      <x:c r="BG244" s="174"/>
      <x:c r="BH244" s="174"/>
      <x:c r="BI244" s="174"/>
      <x:c r="BJ244" s="174"/>
      <x:c r="BK244" s="174"/>
      <x:c r="BL244" s="174"/>
      <x:c r="BM244" s="174"/>
      <x:c r="BN244" s="174"/>
      <x:c r="BO244" s="174"/>
      <x:c r="BP244" s="174"/>
      <x:c r="BQ244" s="174"/>
      <x:c r="BR244" s="174"/>
      <x:c r="BS244" s="174"/>
      <x:c r="BT244" s="174"/>
      <x:c r="BU244" s="174"/>
      <x:c r="BV244" s="174"/>
      <x:c r="BW244" s="174"/>
      <x:c r="BX244" s="174"/>
      <x:c r="BY244" s="174"/>
      <x:c r="BZ244" s="174"/>
      <x:c r="CA244" s="174"/>
      <x:c r="CB244" s="174"/>
      <x:c r="CC244" s="174"/>
      <x:c r="CD244" s="174"/>
      <x:c r="CE244" s="174"/>
      <x:c r="CF244" s="174"/>
      <x:c r="CG244" s="174"/>
      <x:c r="CH244" s="174"/>
      <x:c r="CI244" s="179"/>
      <x:c r="CJ244" s="174"/>
      <x:c r="CK244" s="174"/>
      <x:c r="CL244" s="174"/>
      <x:c r="CM244" s="174"/>
      <x:c r="CN244" s="174"/>
      <x:c r="CO244" s="177"/>
      <x:c r="CP244" s="174"/>
      <x:c r="CQ244" s="174"/>
      <x:c r="CR244" s="174"/>
      <x:c r="CS244" s="174"/>
      <x:c r="CT244" s="174"/>
      <x:c r="CU244" s="176"/>
      <x:c r="CV244" s="176"/>
      <x:c r="CW244" s="176"/>
      <x:c r="CX244" s="176"/>
      <x:c r="CY244" s="176"/>
      <x:c r="CZ244" s="176"/>
      <x:c r="DA244" s="176"/>
      <x:c r="DB244" s="175" t="str">
        <x:f>IF(L244="","",IF(COUNT(CU244:DA244)&lt;7,"",SUM(CU244:DA244)))</x:f>
      </x:c>
      <x:c r="DC244" s="180" t="str">
        <x:f>IF(DB244="","",ROUND(DB244/14*10,1))</x:f>
      </x:c>
      <x:c r="DD244" s="174"/>
      <x:c r="DE244" s="175" t="str">
        <x:f>IF(L244="","",IF(DC244="","Pending",IF(DD244="Yes","CONDITIONAL — safety override",IF(DC244&gt;=8,"HIGH",IF(DC244&gt;=5,"CONDITIONAL","LOW")))))</x:f>
      </x:c>
      <x:c r="DF244" s="174"/>
      <x:c r="DG244" s="174"/>
      <x:c r="DH244" s="174"/>
      <x:c r="DI244" s="174"/>
      <x:c r="DJ244" s="174"/>
      <x:c r="DK244" s="174"/>
      <x:c r="DL244" s="174"/>
      <x:c r="DM244" s="174"/>
      <x:c r="DN244" s="174"/>
      <x:c r="DO244" s="174"/>
      <x:c r="DP244" s="174"/>
      <x:c r="DQ244" s="174"/>
      <x:c r="DR244" s="174"/>
      <x:c r="DS244" s="174"/>
      <x:c r="DT244" s="174"/>
      <x:c r="DU244" s="174"/>
      <x:c r="DV244" s="174"/>
      <x:c r="DW244" s="174"/>
      <x:c r="DX244" s="174"/>
      <x:c r="DY244" s="174"/>
      <x:c r="DZ244" s="174"/>
      <x:c r="EA244" s="174"/>
      <x:c r="EB244" s="175" t="str">
        <x:f>IF(L244="","",IF(AND(F244="Claim-ready",CJ244="Yes",CL244="Yes",DZ244&lt;&gt;""),"Yes","No / Pending"))</x:f>
      </x:c>
      <x:c r="EC244" s="174"/>
      <x:c r="ED244" s="174"/>
      <x:c r="EE244" s="174"/>
      <x:c r="EF244" s="174"/>
      <x:c r="EG244" s="174"/>
      <x:c r="EH244" s="177"/>
      <x:c r="EI244" s="174"/>
      <x:c r="EJ244" s="174"/>
      <x:c r="EK244" s="174"/>
      <x:c r="EL244" s="177"/>
      <x:c r="EM244" s="174"/>
      <x:c r="EN244" s="181" t="str">
        <x:f>IF(L244="","",(IF(N244&lt;&gt;"",1,0)+IF(O244&lt;&gt;"",1,0)+IF(AJ244&lt;&gt;"",1,0)+IF(AU244&lt;&gt;"",1,0)+IF(BE244&lt;&gt;"",1,0)+IF(CF244&lt;&gt;"",1,0)+IF(CJ244="Yes",1,0)+IF(CL244="Yes",1,0)+IF(DE244&lt;&gt;"Pending",1,0)+IF(F244&lt;&gt;"",1,0)+IF(DZ244&lt;&gt;"",1,0)+IF(EI244&lt;&gt;"",1,0))/12)</x:f>
      </x:c>
    </x:row>
    <x:row r="245">
      <x:c r="A245" s="175" t="str">
        <x:f>IF(L245="","","EV-"&amp;TEXT(ROW()-3,"0000"))</x:f>
      </x:c>
      <x:c r="B245" s="174"/>
      <x:c r="C245" s="175" t="str">
        <x:f>IF(L245="","",IF(OR(CM245="Retracted",CN245="Retracted",F245="Not used"),"🔴 Do not use for conclusion",IF(OR(R245="Official / Institutional",I245="Official / contextual"),"🔵 Official / contextual",IF(OR(I245="Definition",I245="Framework",I245="Paradigm shift"),"🟣 Conceptual key source",IF(AND(CJ245="Yes",CL245="Yes",OR(CG245="High",CG245="Moderate"),CH245&lt;&gt;"High",CH245&lt;&gt;"Critical",F245="Claim-ready"),"🟢 Claim-ready","🟡 Caution / context")))))</x:f>
      </x:c>
      <x:c r="D245" s="174"/>
      <x:c r="E245" s="174"/>
      <x:c r="F245" s="174"/>
      <x:c r="G245" s="174"/>
      <x:c r="H245" s="174"/>
      <x:c r="I245" s="174"/>
      <x:c r="J245" s="174"/>
      <x:c r="K245" s="174"/>
      <x:c r="L245" s="174"/>
      <x:c r="M245" s="174"/>
      <x:c r="N245" s="174"/>
      <x:c r="O245" s="176"/>
      <x:c r="P245" s="174"/>
      <x:c r="Q245" s="174"/>
      <x:c r="R245" s="174"/>
      <x:c r="S245" s="174"/>
      <x:c r="T245" s="174"/>
      <x:c r="U245" s="174"/>
      <x:c r="V245" s="174"/>
      <x:c r="W245" s="175" t="str">
        <x:f>IF(V245="","",LOWER(SUBSTITUTE(SUBSTITUTE(SUBSTITUTE(SUBSTITUTE(TRIM(V245),"https://doi.org/",""),"http://doi.org/",""),"https://dx.doi.org/",""),"doi:","")))</x:f>
      </x:c>
      <x:c r="X245" s="174"/>
      <x:c r="Y245" s="174"/>
      <x:c r="Z245" s="174"/>
      <x:c r="AA245" s="174"/>
      <x:c r="AB245" s="174"/>
      <x:c r="AC245" s="174"/>
      <x:c r="AD245" s="177"/>
      <x:c r="AE245" s="177"/>
      <x:c r="AF245" s="174"/>
      <x:c r="AG245" s="174"/>
      <x:c r="AH245" s="174"/>
      <x:c r="AI245" s="174"/>
      <x:c r="AJ245" s="174"/>
      <x:c r="AK245" s="175" t="str">
        <x:f>IF(AJ245="","",IF(OR(LOWER(AJ245)="brazil",LOWER(AJ245)="brasil"),"Yes","No"))</x:f>
      </x:c>
      <x:c r="AL245" s="174"/>
      <x:c r="AM245" s="174"/>
      <x:c r="AN245" s="174"/>
      <x:c r="AO245" s="178"/>
      <x:c r="AP245" s="174"/>
      <x:c r="AQ245" s="174"/>
      <x:c r="AR245" s="174"/>
      <x:c r="AS245" s="174"/>
      <x:c r="AT245" s="174"/>
      <x:c r="AU245" s="174"/>
      <x:c r="AV245" s="174"/>
      <x:c r="AW245" s="174"/>
      <x:c r="AX245" s="174"/>
      <x:c r="AY245" s="174"/>
      <x:c r="AZ245" s="174"/>
      <x:c r="BA245" s="174"/>
      <x:c r="BB245" s="174"/>
      <x:c r="BC245" s="174"/>
      <x:c r="BD245" s="174"/>
      <x:c r="BE245" s="174"/>
      <x:c r="BF245" s="174"/>
      <x:c r="BG245" s="174"/>
      <x:c r="BH245" s="174"/>
      <x:c r="BI245" s="174"/>
      <x:c r="BJ245" s="174"/>
      <x:c r="BK245" s="174"/>
      <x:c r="BL245" s="174"/>
      <x:c r="BM245" s="174"/>
      <x:c r="BN245" s="174"/>
      <x:c r="BO245" s="174"/>
      <x:c r="BP245" s="174"/>
      <x:c r="BQ245" s="174"/>
      <x:c r="BR245" s="174"/>
      <x:c r="BS245" s="174"/>
      <x:c r="BT245" s="174"/>
      <x:c r="BU245" s="174"/>
      <x:c r="BV245" s="174"/>
      <x:c r="BW245" s="174"/>
      <x:c r="BX245" s="174"/>
      <x:c r="BY245" s="174"/>
      <x:c r="BZ245" s="174"/>
      <x:c r="CA245" s="174"/>
      <x:c r="CB245" s="174"/>
      <x:c r="CC245" s="174"/>
      <x:c r="CD245" s="174"/>
      <x:c r="CE245" s="174"/>
      <x:c r="CF245" s="174"/>
      <x:c r="CG245" s="174"/>
      <x:c r="CH245" s="174"/>
      <x:c r="CI245" s="179"/>
      <x:c r="CJ245" s="174"/>
      <x:c r="CK245" s="174"/>
      <x:c r="CL245" s="174"/>
      <x:c r="CM245" s="174"/>
      <x:c r="CN245" s="174"/>
      <x:c r="CO245" s="177"/>
      <x:c r="CP245" s="174"/>
      <x:c r="CQ245" s="174"/>
      <x:c r="CR245" s="174"/>
      <x:c r="CS245" s="174"/>
      <x:c r="CT245" s="174"/>
      <x:c r="CU245" s="176"/>
      <x:c r="CV245" s="176"/>
      <x:c r="CW245" s="176"/>
      <x:c r="CX245" s="176"/>
      <x:c r="CY245" s="176"/>
      <x:c r="CZ245" s="176"/>
      <x:c r="DA245" s="176"/>
      <x:c r="DB245" s="175" t="str">
        <x:f>IF(L245="","",IF(COUNT(CU245:DA245)&lt;7,"",SUM(CU245:DA245)))</x:f>
      </x:c>
      <x:c r="DC245" s="180" t="str">
        <x:f>IF(DB245="","",ROUND(DB245/14*10,1))</x:f>
      </x:c>
      <x:c r="DD245" s="174"/>
      <x:c r="DE245" s="175" t="str">
        <x:f>IF(L245="","",IF(DC245="","Pending",IF(DD245="Yes","CONDITIONAL — safety override",IF(DC245&gt;=8,"HIGH",IF(DC245&gt;=5,"CONDITIONAL","LOW")))))</x:f>
      </x:c>
      <x:c r="DF245" s="174"/>
      <x:c r="DG245" s="174"/>
      <x:c r="DH245" s="174"/>
      <x:c r="DI245" s="174"/>
      <x:c r="DJ245" s="174"/>
      <x:c r="DK245" s="174"/>
      <x:c r="DL245" s="174"/>
      <x:c r="DM245" s="174"/>
      <x:c r="DN245" s="174"/>
      <x:c r="DO245" s="174"/>
      <x:c r="DP245" s="174"/>
      <x:c r="DQ245" s="174"/>
      <x:c r="DR245" s="174"/>
      <x:c r="DS245" s="174"/>
      <x:c r="DT245" s="174"/>
      <x:c r="DU245" s="174"/>
      <x:c r="DV245" s="174"/>
      <x:c r="DW245" s="174"/>
      <x:c r="DX245" s="174"/>
      <x:c r="DY245" s="174"/>
      <x:c r="DZ245" s="174"/>
      <x:c r="EA245" s="174"/>
      <x:c r="EB245" s="175" t="str">
        <x:f>IF(L245="","",IF(AND(F245="Claim-ready",CJ245="Yes",CL245="Yes",DZ245&lt;&gt;""),"Yes","No / Pending"))</x:f>
      </x:c>
      <x:c r="EC245" s="174"/>
      <x:c r="ED245" s="174"/>
      <x:c r="EE245" s="174"/>
      <x:c r="EF245" s="174"/>
      <x:c r="EG245" s="174"/>
      <x:c r="EH245" s="177"/>
      <x:c r="EI245" s="174"/>
      <x:c r="EJ245" s="174"/>
      <x:c r="EK245" s="174"/>
      <x:c r="EL245" s="177"/>
      <x:c r="EM245" s="174"/>
      <x:c r="EN245" s="181" t="str">
        <x:f>IF(L245="","",(IF(N245&lt;&gt;"",1,0)+IF(O245&lt;&gt;"",1,0)+IF(AJ245&lt;&gt;"",1,0)+IF(AU245&lt;&gt;"",1,0)+IF(BE245&lt;&gt;"",1,0)+IF(CF245&lt;&gt;"",1,0)+IF(CJ245="Yes",1,0)+IF(CL245="Yes",1,0)+IF(DE245&lt;&gt;"Pending",1,0)+IF(F245&lt;&gt;"",1,0)+IF(DZ245&lt;&gt;"",1,0)+IF(EI245&lt;&gt;"",1,0))/12)</x:f>
      </x:c>
    </x:row>
    <x:row r="246">
      <x:c r="A246" s="175" t="str">
        <x:f>IF(L246="","","EV-"&amp;TEXT(ROW()-3,"0000"))</x:f>
      </x:c>
      <x:c r="B246" s="174"/>
      <x:c r="C246" s="175" t="str">
        <x:f>IF(L246="","",IF(OR(CM246="Retracted",CN246="Retracted",F246="Not used"),"🔴 Do not use for conclusion",IF(OR(R246="Official / Institutional",I246="Official / contextual"),"🔵 Official / contextual",IF(OR(I246="Definition",I246="Framework",I246="Paradigm shift"),"🟣 Conceptual key source",IF(AND(CJ246="Yes",CL246="Yes",OR(CG246="High",CG246="Moderate"),CH246&lt;&gt;"High",CH246&lt;&gt;"Critical",F246="Claim-ready"),"🟢 Claim-ready","🟡 Caution / context")))))</x:f>
      </x:c>
      <x:c r="D246" s="174"/>
      <x:c r="E246" s="174"/>
      <x:c r="F246" s="174"/>
      <x:c r="G246" s="174"/>
      <x:c r="H246" s="174"/>
      <x:c r="I246" s="174"/>
      <x:c r="J246" s="174"/>
      <x:c r="K246" s="174"/>
      <x:c r="L246" s="174"/>
      <x:c r="M246" s="174"/>
      <x:c r="N246" s="174"/>
      <x:c r="O246" s="176"/>
      <x:c r="P246" s="174"/>
      <x:c r="Q246" s="174"/>
      <x:c r="R246" s="174"/>
      <x:c r="S246" s="174"/>
      <x:c r="T246" s="174"/>
      <x:c r="U246" s="174"/>
      <x:c r="V246" s="174"/>
      <x:c r="W246" s="175" t="str">
        <x:f>IF(V246="","",LOWER(SUBSTITUTE(SUBSTITUTE(SUBSTITUTE(SUBSTITUTE(TRIM(V246),"https://doi.org/",""),"http://doi.org/",""),"https://dx.doi.org/",""),"doi:","")))</x:f>
      </x:c>
      <x:c r="X246" s="174"/>
      <x:c r="Y246" s="174"/>
      <x:c r="Z246" s="174"/>
      <x:c r="AA246" s="174"/>
      <x:c r="AB246" s="174"/>
      <x:c r="AC246" s="174"/>
      <x:c r="AD246" s="177"/>
      <x:c r="AE246" s="177"/>
      <x:c r="AF246" s="174"/>
      <x:c r="AG246" s="174"/>
      <x:c r="AH246" s="174"/>
      <x:c r="AI246" s="174"/>
      <x:c r="AJ246" s="174"/>
      <x:c r="AK246" s="175" t="str">
        <x:f>IF(AJ246="","",IF(OR(LOWER(AJ246)="brazil",LOWER(AJ246)="brasil"),"Yes","No"))</x:f>
      </x:c>
      <x:c r="AL246" s="174"/>
      <x:c r="AM246" s="174"/>
      <x:c r="AN246" s="174"/>
      <x:c r="AO246" s="178"/>
      <x:c r="AP246" s="174"/>
      <x:c r="AQ246" s="174"/>
      <x:c r="AR246" s="174"/>
      <x:c r="AS246" s="174"/>
      <x:c r="AT246" s="174"/>
      <x:c r="AU246" s="174"/>
      <x:c r="AV246" s="174"/>
      <x:c r="AW246" s="174"/>
      <x:c r="AX246" s="174"/>
      <x:c r="AY246" s="174"/>
      <x:c r="AZ246" s="174"/>
      <x:c r="BA246" s="174"/>
      <x:c r="BB246" s="174"/>
      <x:c r="BC246" s="174"/>
      <x:c r="BD246" s="174"/>
      <x:c r="BE246" s="174"/>
      <x:c r="BF246" s="174"/>
      <x:c r="BG246" s="174"/>
      <x:c r="BH246" s="174"/>
      <x:c r="BI246" s="174"/>
      <x:c r="BJ246" s="174"/>
      <x:c r="BK246" s="174"/>
      <x:c r="BL246" s="174"/>
      <x:c r="BM246" s="174"/>
      <x:c r="BN246" s="174"/>
      <x:c r="BO246" s="174"/>
      <x:c r="BP246" s="174"/>
      <x:c r="BQ246" s="174"/>
      <x:c r="BR246" s="174"/>
      <x:c r="BS246" s="174"/>
      <x:c r="BT246" s="174"/>
      <x:c r="BU246" s="174"/>
      <x:c r="BV246" s="174"/>
      <x:c r="BW246" s="174"/>
      <x:c r="BX246" s="174"/>
      <x:c r="BY246" s="174"/>
      <x:c r="BZ246" s="174"/>
      <x:c r="CA246" s="174"/>
      <x:c r="CB246" s="174"/>
      <x:c r="CC246" s="174"/>
      <x:c r="CD246" s="174"/>
      <x:c r="CE246" s="174"/>
      <x:c r="CF246" s="174"/>
      <x:c r="CG246" s="174"/>
      <x:c r="CH246" s="174"/>
      <x:c r="CI246" s="179"/>
      <x:c r="CJ246" s="174"/>
      <x:c r="CK246" s="174"/>
      <x:c r="CL246" s="174"/>
      <x:c r="CM246" s="174"/>
      <x:c r="CN246" s="174"/>
      <x:c r="CO246" s="177"/>
      <x:c r="CP246" s="174"/>
      <x:c r="CQ246" s="174"/>
      <x:c r="CR246" s="174"/>
      <x:c r="CS246" s="174"/>
      <x:c r="CT246" s="174"/>
      <x:c r="CU246" s="176"/>
      <x:c r="CV246" s="176"/>
      <x:c r="CW246" s="176"/>
      <x:c r="CX246" s="176"/>
      <x:c r="CY246" s="176"/>
      <x:c r="CZ246" s="176"/>
      <x:c r="DA246" s="176"/>
      <x:c r="DB246" s="175" t="str">
        <x:f>IF(L246="","",IF(COUNT(CU246:DA246)&lt;7,"",SUM(CU246:DA246)))</x:f>
      </x:c>
      <x:c r="DC246" s="180" t="str">
        <x:f>IF(DB246="","",ROUND(DB246/14*10,1))</x:f>
      </x:c>
      <x:c r="DD246" s="174"/>
      <x:c r="DE246" s="175" t="str">
        <x:f>IF(L246="","",IF(DC246="","Pending",IF(DD246="Yes","CONDITIONAL — safety override",IF(DC246&gt;=8,"HIGH",IF(DC246&gt;=5,"CONDITIONAL","LOW")))))</x:f>
      </x:c>
      <x:c r="DF246" s="174"/>
      <x:c r="DG246" s="174"/>
      <x:c r="DH246" s="174"/>
      <x:c r="DI246" s="174"/>
      <x:c r="DJ246" s="174"/>
      <x:c r="DK246" s="174"/>
      <x:c r="DL246" s="174"/>
      <x:c r="DM246" s="174"/>
      <x:c r="DN246" s="174"/>
      <x:c r="DO246" s="174"/>
      <x:c r="DP246" s="174"/>
      <x:c r="DQ246" s="174"/>
      <x:c r="DR246" s="174"/>
      <x:c r="DS246" s="174"/>
      <x:c r="DT246" s="174"/>
      <x:c r="DU246" s="174"/>
      <x:c r="DV246" s="174"/>
      <x:c r="DW246" s="174"/>
      <x:c r="DX246" s="174"/>
      <x:c r="DY246" s="174"/>
      <x:c r="DZ246" s="174"/>
      <x:c r="EA246" s="174"/>
      <x:c r="EB246" s="175" t="str">
        <x:f>IF(L246="","",IF(AND(F246="Claim-ready",CJ246="Yes",CL246="Yes",DZ246&lt;&gt;""),"Yes","No / Pending"))</x:f>
      </x:c>
      <x:c r="EC246" s="174"/>
      <x:c r="ED246" s="174"/>
      <x:c r="EE246" s="174"/>
      <x:c r="EF246" s="174"/>
      <x:c r="EG246" s="174"/>
      <x:c r="EH246" s="177"/>
      <x:c r="EI246" s="174"/>
      <x:c r="EJ246" s="174"/>
      <x:c r="EK246" s="174"/>
      <x:c r="EL246" s="177"/>
      <x:c r="EM246" s="174"/>
      <x:c r="EN246" s="181" t="str">
        <x:f>IF(L246="","",(IF(N246&lt;&gt;"",1,0)+IF(O246&lt;&gt;"",1,0)+IF(AJ246&lt;&gt;"",1,0)+IF(AU246&lt;&gt;"",1,0)+IF(BE246&lt;&gt;"",1,0)+IF(CF246&lt;&gt;"",1,0)+IF(CJ246="Yes",1,0)+IF(CL246="Yes",1,0)+IF(DE246&lt;&gt;"Pending",1,0)+IF(F246&lt;&gt;"",1,0)+IF(DZ246&lt;&gt;"",1,0)+IF(EI246&lt;&gt;"",1,0))/12)</x:f>
      </x:c>
    </x:row>
    <x:row r="247">
      <x:c r="A247" s="175" t="str">
        <x:f>IF(L247="","","EV-"&amp;TEXT(ROW()-3,"0000"))</x:f>
      </x:c>
      <x:c r="B247" s="174"/>
      <x:c r="C247" s="175" t="str">
        <x:f>IF(L247="","",IF(OR(CM247="Retracted",CN247="Retracted",F247="Not used"),"🔴 Do not use for conclusion",IF(OR(R247="Official / Institutional",I247="Official / contextual"),"🔵 Official / contextual",IF(OR(I247="Definition",I247="Framework",I247="Paradigm shift"),"🟣 Conceptual key source",IF(AND(CJ247="Yes",CL247="Yes",OR(CG247="High",CG247="Moderate"),CH247&lt;&gt;"High",CH247&lt;&gt;"Critical",F247="Claim-ready"),"🟢 Claim-ready","🟡 Caution / context")))))</x:f>
      </x:c>
      <x:c r="D247" s="174"/>
      <x:c r="E247" s="174"/>
      <x:c r="F247" s="174"/>
      <x:c r="G247" s="174"/>
      <x:c r="H247" s="174"/>
      <x:c r="I247" s="174"/>
      <x:c r="J247" s="174"/>
      <x:c r="K247" s="174"/>
      <x:c r="L247" s="174"/>
      <x:c r="M247" s="174"/>
      <x:c r="N247" s="174"/>
      <x:c r="O247" s="176"/>
      <x:c r="P247" s="174"/>
      <x:c r="Q247" s="174"/>
      <x:c r="R247" s="174"/>
      <x:c r="S247" s="174"/>
      <x:c r="T247" s="174"/>
      <x:c r="U247" s="174"/>
      <x:c r="V247" s="174"/>
      <x:c r="W247" s="175" t="str">
        <x:f>IF(V247="","",LOWER(SUBSTITUTE(SUBSTITUTE(SUBSTITUTE(SUBSTITUTE(TRIM(V247),"https://doi.org/",""),"http://doi.org/",""),"https://dx.doi.org/",""),"doi:","")))</x:f>
      </x:c>
      <x:c r="X247" s="174"/>
      <x:c r="Y247" s="174"/>
      <x:c r="Z247" s="174"/>
      <x:c r="AA247" s="174"/>
      <x:c r="AB247" s="174"/>
      <x:c r="AC247" s="174"/>
      <x:c r="AD247" s="177"/>
      <x:c r="AE247" s="177"/>
      <x:c r="AF247" s="174"/>
      <x:c r="AG247" s="174"/>
      <x:c r="AH247" s="174"/>
      <x:c r="AI247" s="174"/>
      <x:c r="AJ247" s="174"/>
      <x:c r="AK247" s="175" t="str">
        <x:f>IF(AJ247="","",IF(OR(LOWER(AJ247)="brazil",LOWER(AJ247)="brasil"),"Yes","No"))</x:f>
      </x:c>
      <x:c r="AL247" s="174"/>
      <x:c r="AM247" s="174"/>
      <x:c r="AN247" s="174"/>
      <x:c r="AO247" s="178"/>
      <x:c r="AP247" s="174"/>
      <x:c r="AQ247" s="174"/>
      <x:c r="AR247" s="174"/>
      <x:c r="AS247" s="174"/>
      <x:c r="AT247" s="174"/>
      <x:c r="AU247" s="174"/>
      <x:c r="AV247" s="174"/>
      <x:c r="AW247" s="174"/>
      <x:c r="AX247" s="174"/>
      <x:c r="AY247" s="174"/>
      <x:c r="AZ247" s="174"/>
      <x:c r="BA247" s="174"/>
      <x:c r="BB247" s="174"/>
      <x:c r="BC247" s="174"/>
      <x:c r="BD247" s="174"/>
      <x:c r="BE247" s="174"/>
      <x:c r="BF247" s="174"/>
      <x:c r="BG247" s="174"/>
      <x:c r="BH247" s="174"/>
      <x:c r="BI247" s="174"/>
      <x:c r="BJ247" s="174"/>
      <x:c r="BK247" s="174"/>
      <x:c r="BL247" s="174"/>
      <x:c r="BM247" s="174"/>
      <x:c r="BN247" s="174"/>
      <x:c r="BO247" s="174"/>
      <x:c r="BP247" s="174"/>
      <x:c r="BQ247" s="174"/>
      <x:c r="BR247" s="174"/>
      <x:c r="BS247" s="174"/>
      <x:c r="BT247" s="174"/>
      <x:c r="BU247" s="174"/>
      <x:c r="BV247" s="174"/>
      <x:c r="BW247" s="174"/>
      <x:c r="BX247" s="174"/>
      <x:c r="BY247" s="174"/>
      <x:c r="BZ247" s="174"/>
      <x:c r="CA247" s="174"/>
      <x:c r="CB247" s="174"/>
      <x:c r="CC247" s="174"/>
      <x:c r="CD247" s="174"/>
      <x:c r="CE247" s="174"/>
      <x:c r="CF247" s="174"/>
      <x:c r="CG247" s="174"/>
      <x:c r="CH247" s="174"/>
      <x:c r="CI247" s="179"/>
      <x:c r="CJ247" s="174"/>
      <x:c r="CK247" s="174"/>
      <x:c r="CL247" s="174"/>
      <x:c r="CM247" s="174"/>
      <x:c r="CN247" s="174"/>
      <x:c r="CO247" s="177"/>
      <x:c r="CP247" s="174"/>
      <x:c r="CQ247" s="174"/>
      <x:c r="CR247" s="174"/>
      <x:c r="CS247" s="174"/>
      <x:c r="CT247" s="174"/>
      <x:c r="CU247" s="176"/>
      <x:c r="CV247" s="176"/>
      <x:c r="CW247" s="176"/>
      <x:c r="CX247" s="176"/>
      <x:c r="CY247" s="176"/>
      <x:c r="CZ247" s="176"/>
      <x:c r="DA247" s="176"/>
      <x:c r="DB247" s="175" t="str">
        <x:f>IF(L247="","",IF(COUNT(CU247:DA247)&lt;7,"",SUM(CU247:DA247)))</x:f>
      </x:c>
      <x:c r="DC247" s="180" t="str">
        <x:f>IF(DB247="","",ROUND(DB247/14*10,1))</x:f>
      </x:c>
      <x:c r="DD247" s="174"/>
      <x:c r="DE247" s="175" t="str">
        <x:f>IF(L247="","",IF(DC247="","Pending",IF(DD247="Yes","CONDITIONAL — safety override",IF(DC247&gt;=8,"HIGH",IF(DC247&gt;=5,"CONDITIONAL","LOW")))))</x:f>
      </x:c>
      <x:c r="DF247" s="174"/>
      <x:c r="DG247" s="174"/>
      <x:c r="DH247" s="174"/>
      <x:c r="DI247" s="174"/>
      <x:c r="DJ247" s="174"/>
      <x:c r="DK247" s="174"/>
      <x:c r="DL247" s="174"/>
      <x:c r="DM247" s="174"/>
      <x:c r="DN247" s="174"/>
      <x:c r="DO247" s="174"/>
      <x:c r="DP247" s="174"/>
      <x:c r="DQ247" s="174"/>
      <x:c r="DR247" s="174"/>
      <x:c r="DS247" s="174"/>
      <x:c r="DT247" s="174"/>
      <x:c r="DU247" s="174"/>
      <x:c r="DV247" s="174"/>
      <x:c r="DW247" s="174"/>
      <x:c r="DX247" s="174"/>
      <x:c r="DY247" s="174"/>
      <x:c r="DZ247" s="174"/>
      <x:c r="EA247" s="174"/>
      <x:c r="EB247" s="175" t="str">
        <x:f>IF(L247="","",IF(AND(F247="Claim-ready",CJ247="Yes",CL247="Yes",DZ247&lt;&gt;""),"Yes","No / Pending"))</x:f>
      </x:c>
      <x:c r="EC247" s="174"/>
      <x:c r="ED247" s="174"/>
      <x:c r="EE247" s="174"/>
      <x:c r="EF247" s="174"/>
      <x:c r="EG247" s="174"/>
      <x:c r="EH247" s="177"/>
      <x:c r="EI247" s="174"/>
      <x:c r="EJ247" s="174"/>
      <x:c r="EK247" s="174"/>
      <x:c r="EL247" s="177"/>
      <x:c r="EM247" s="174"/>
      <x:c r="EN247" s="181" t="str">
        <x:f>IF(L247="","",(IF(N247&lt;&gt;"",1,0)+IF(O247&lt;&gt;"",1,0)+IF(AJ247&lt;&gt;"",1,0)+IF(AU247&lt;&gt;"",1,0)+IF(BE247&lt;&gt;"",1,0)+IF(CF247&lt;&gt;"",1,0)+IF(CJ247="Yes",1,0)+IF(CL247="Yes",1,0)+IF(DE247&lt;&gt;"Pending",1,0)+IF(F247&lt;&gt;"",1,0)+IF(DZ247&lt;&gt;"",1,0)+IF(EI247&lt;&gt;"",1,0))/12)</x:f>
      </x:c>
    </x:row>
    <x:row r="248">
      <x:c r="A248" s="175" t="str">
        <x:f>IF(L248="","","EV-"&amp;TEXT(ROW()-3,"0000"))</x:f>
      </x:c>
      <x:c r="B248" s="174"/>
      <x:c r="C248" s="175" t="str">
        <x:f>IF(L248="","",IF(OR(CM248="Retracted",CN248="Retracted",F248="Not used"),"🔴 Do not use for conclusion",IF(OR(R248="Official / Institutional",I248="Official / contextual"),"🔵 Official / contextual",IF(OR(I248="Definition",I248="Framework",I248="Paradigm shift"),"🟣 Conceptual key source",IF(AND(CJ248="Yes",CL248="Yes",OR(CG248="High",CG248="Moderate"),CH248&lt;&gt;"High",CH248&lt;&gt;"Critical",F248="Claim-ready"),"🟢 Claim-ready","🟡 Caution / context")))))</x:f>
      </x:c>
      <x:c r="D248" s="174"/>
      <x:c r="E248" s="174"/>
      <x:c r="F248" s="174"/>
      <x:c r="G248" s="174"/>
      <x:c r="H248" s="174"/>
      <x:c r="I248" s="174"/>
      <x:c r="J248" s="174"/>
      <x:c r="K248" s="174"/>
      <x:c r="L248" s="174"/>
      <x:c r="M248" s="174"/>
      <x:c r="N248" s="174"/>
      <x:c r="O248" s="176"/>
      <x:c r="P248" s="174"/>
      <x:c r="Q248" s="174"/>
      <x:c r="R248" s="174"/>
      <x:c r="S248" s="174"/>
      <x:c r="T248" s="174"/>
      <x:c r="U248" s="174"/>
      <x:c r="V248" s="174"/>
      <x:c r="W248" s="175" t="str">
        <x:f>IF(V248="","",LOWER(SUBSTITUTE(SUBSTITUTE(SUBSTITUTE(SUBSTITUTE(TRIM(V248),"https://doi.org/",""),"http://doi.org/",""),"https://dx.doi.org/",""),"doi:","")))</x:f>
      </x:c>
      <x:c r="X248" s="174"/>
      <x:c r="Y248" s="174"/>
      <x:c r="Z248" s="174"/>
      <x:c r="AA248" s="174"/>
      <x:c r="AB248" s="174"/>
      <x:c r="AC248" s="174"/>
      <x:c r="AD248" s="177"/>
      <x:c r="AE248" s="177"/>
      <x:c r="AF248" s="174"/>
      <x:c r="AG248" s="174"/>
      <x:c r="AH248" s="174"/>
      <x:c r="AI248" s="174"/>
      <x:c r="AJ248" s="174"/>
      <x:c r="AK248" s="175" t="str">
        <x:f>IF(AJ248="","",IF(OR(LOWER(AJ248)="brazil",LOWER(AJ248)="brasil"),"Yes","No"))</x:f>
      </x:c>
      <x:c r="AL248" s="174"/>
      <x:c r="AM248" s="174"/>
      <x:c r="AN248" s="174"/>
      <x:c r="AO248" s="178"/>
      <x:c r="AP248" s="174"/>
      <x:c r="AQ248" s="174"/>
      <x:c r="AR248" s="174"/>
      <x:c r="AS248" s="174"/>
      <x:c r="AT248" s="174"/>
      <x:c r="AU248" s="174"/>
      <x:c r="AV248" s="174"/>
      <x:c r="AW248" s="174"/>
      <x:c r="AX248" s="174"/>
      <x:c r="AY248" s="174"/>
      <x:c r="AZ248" s="174"/>
      <x:c r="BA248" s="174"/>
      <x:c r="BB248" s="174"/>
      <x:c r="BC248" s="174"/>
      <x:c r="BD248" s="174"/>
      <x:c r="BE248" s="174"/>
      <x:c r="BF248" s="174"/>
      <x:c r="BG248" s="174"/>
      <x:c r="BH248" s="174"/>
      <x:c r="BI248" s="174"/>
      <x:c r="BJ248" s="174"/>
      <x:c r="BK248" s="174"/>
      <x:c r="BL248" s="174"/>
      <x:c r="BM248" s="174"/>
      <x:c r="BN248" s="174"/>
      <x:c r="BO248" s="174"/>
      <x:c r="BP248" s="174"/>
      <x:c r="BQ248" s="174"/>
      <x:c r="BR248" s="174"/>
      <x:c r="BS248" s="174"/>
      <x:c r="BT248" s="174"/>
      <x:c r="BU248" s="174"/>
      <x:c r="BV248" s="174"/>
      <x:c r="BW248" s="174"/>
      <x:c r="BX248" s="174"/>
      <x:c r="BY248" s="174"/>
      <x:c r="BZ248" s="174"/>
      <x:c r="CA248" s="174"/>
      <x:c r="CB248" s="174"/>
      <x:c r="CC248" s="174"/>
      <x:c r="CD248" s="174"/>
      <x:c r="CE248" s="174"/>
      <x:c r="CF248" s="174"/>
      <x:c r="CG248" s="174"/>
      <x:c r="CH248" s="174"/>
      <x:c r="CI248" s="179"/>
      <x:c r="CJ248" s="174"/>
      <x:c r="CK248" s="174"/>
      <x:c r="CL248" s="174"/>
      <x:c r="CM248" s="174"/>
      <x:c r="CN248" s="174"/>
      <x:c r="CO248" s="177"/>
      <x:c r="CP248" s="174"/>
      <x:c r="CQ248" s="174"/>
      <x:c r="CR248" s="174"/>
      <x:c r="CS248" s="174"/>
      <x:c r="CT248" s="174"/>
      <x:c r="CU248" s="176"/>
      <x:c r="CV248" s="176"/>
      <x:c r="CW248" s="176"/>
      <x:c r="CX248" s="176"/>
      <x:c r="CY248" s="176"/>
      <x:c r="CZ248" s="176"/>
      <x:c r="DA248" s="176"/>
      <x:c r="DB248" s="175" t="str">
        <x:f>IF(L248="","",IF(COUNT(CU248:DA248)&lt;7,"",SUM(CU248:DA248)))</x:f>
      </x:c>
      <x:c r="DC248" s="180" t="str">
        <x:f>IF(DB248="","",ROUND(DB248/14*10,1))</x:f>
      </x:c>
      <x:c r="DD248" s="174"/>
      <x:c r="DE248" s="175" t="str">
        <x:f>IF(L248="","",IF(DC248="","Pending",IF(DD248="Yes","CONDITIONAL — safety override",IF(DC248&gt;=8,"HIGH",IF(DC248&gt;=5,"CONDITIONAL","LOW")))))</x:f>
      </x:c>
      <x:c r="DF248" s="174"/>
      <x:c r="DG248" s="174"/>
      <x:c r="DH248" s="174"/>
      <x:c r="DI248" s="174"/>
      <x:c r="DJ248" s="174"/>
      <x:c r="DK248" s="174"/>
      <x:c r="DL248" s="174"/>
      <x:c r="DM248" s="174"/>
      <x:c r="DN248" s="174"/>
      <x:c r="DO248" s="174"/>
      <x:c r="DP248" s="174"/>
      <x:c r="DQ248" s="174"/>
      <x:c r="DR248" s="174"/>
      <x:c r="DS248" s="174"/>
      <x:c r="DT248" s="174"/>
      <x:c r="DU248" s="174"/>
      <x:c r="DV248" s="174"/>
      <x:c r="DW248" s="174"/>
      <x:c r="DX248" s="174"/>
      <x:c r="DY248" s="174"/>
      <x:c r="DZ248" s="174"/>
      <x:c r="EA248" s="174"/>
      <x:c r="EB248" s="175" t="str">
        <x:f>IF(L248="","",IF(AND(F248="Claim-ready",CJ248="Yes",CL248="Yes",DZ248&lt;&gt;""),"Yes","No / Pending"))</x:f>
      </x:c>
      <x:c r="EC248" s="174"/>
      <x:c r="ED248" s="174"/>
      <x:c r="EE248" s="174"/>
      <x:c r="EF248" s="174"/>
      <x:c r="EG248" s="174"/>
      <x:c r="EH248" s="177"/>
      <x:c r="EI248" s="174"/>
      <x:c r="EJ248" s="174"/>
      <x:c r="EK248" s="174"/>
      <x:c r="EL248" s="177"/>
      <x:c r="EM248" s="174"/>
      <x:c r="EN248" s="181" t="str">
        <x:f>IF(L248="","",(IF(N248&lt;&gt;"",1,0)+IF(O248&lt;&gt;"",1,0)+IF(AJ248&lt;&gt;"",1,0)+IF(AU248&lt;&gt;"",1,0)+IF(BE248&lt;&gt;"",1,0)+IF(CF248&lt;&gt;"",1,0)+IF(CJ248="Yes",1,0)+IF(CL248="Yes",1,0)+IF(DE248&lt;&gt;"Pending",1,0)+IF(F248&lt;&gt;"",1,0)+IF(DZ248&lt;&gt;"",1,0)+IF(EI248&lt;&gt;"",1,0))/12)</x:f>
      </x:c>
    </x:row>
    <x:row r="249">
      <x:c r="A249" s="175" t="str">
        <x:f>IF(L249="","","EV-"&amp;TEXT(ROW()-3,"0000"))</x:f>
      </x:c>
      <x:c r="B249" s="174"/>
      <x:c r="C249" s="175" t="str">
        <x:f>IF(L249="","",IF(OR(CM249="Retracted",CN249="Retracted",F249="Not used"),"🔴 Do not use for conclusion",IF(OR(R249="Official / Institutional",I249="Official / contextual"),"🔵 Official / contextual",IF(OR(I249="Definition",I249="Framework",I249="Paradigm shift"),"🟣 Conceptual key source",IF(AND(CJ249="Yes",CL249="Yes",OR(CG249="High",CG249="Moderate"),CH249&lt;&gt;"High",CH249&lt;&gt;"Critical",F249="Claim-ready"),"🟢 Claim-ready","🟡 Caution / context")))))</x:f>
      </x:c>
      <x:c r="D249" s="174"/>
      <x:c r="E249" s="174"/>
      <x:c r="F249" s="174"/>
      <x:c r="G249" s="174"/>
      <x:c r="H249" s="174"/>
      <x:c r="I249" s="174"/>
      <x:c r="J249" s="174"/>
      <x:c r="K249" s="174"/>
      <x:c r="L249" s="174"/>
      <x:c r="M249" s="174"/>
      <x:c r="N249" s="174"/>
      <x:c r="O249" s="176"/>
      <x:c r="P249" s="174"/>
      <x:c r="Q249" s="174"/>
      <x:c r="R249" s="174"/>
      <x:c r="S249" s="174"/>
      <x:c r="T249" s="174"/>
      <x:c r="U249" s="174"/>
      <x:c r="V249" s="174"/>
      <x:c r="W249" s="175" t="str">
        <x:f>IF(V249="","",LOWER(SUBSTITUTE(SUBSTITUTE(SUBSTITUTE(SUBSTITUTE(TRIM(V249),"https://doi.org/",""),"http://doi.org/",""),"https://dx.doi.org/",""),"doi:","")))</x:f>
      </x:c>
      <x:c r="X249" s="174"/>
      <x:c r="Y249" s="174"/>
      <x:c r="Z249" s="174"/>
      <x:c r="AA249" s="174"/>
      <x:c r="AB249" s="174"/>
      <x:c r="AC249" s="174"/>
      <x:c r="AD249" s="177"/>
      <x:c r="AE249" s="177"/>
      <x:c r="AF249" s="174"/>
      <x:c r="AG249" s="174"/>
      <x:c r="AH249" s="174"/>
      <x:c r="AI249" s="174"/>
      <x:c r="AJ249" s="174"/>
      <x:c r="AK249" s="175" t="str">
        <x:f>IF(AJ249="","",IF(OR(LOWER(AJ249)="brazil",LOWER(AJ249)="brasil"),"Yes","No"))</x:f>
      </x:c>
      <x:c r="AL249" s="174"/>
      <x:c r="AM249" s="174"/>
      <x:c r="AN249" s="174"/>
      <x:c r="AO249" s="178"/>
      <x:c r="AP249" s="174"/>
      <x:c r="AQ249" s="174"/>
      <x:c r="AR249" s="174"/>
      <x:c r="AS249" s="174"/>
      <x:c r="AT249" s="174"/>
      <x:c r="AU249" s="174"/>
      <x:c r="AV249" s="174"/>
      <x:c r="AW249" s="174"/>
      <x:c r="AX249" s="174"/>
      <x:c r="AY249" s="174"/>
      <x:c r="AZ249" s="174"/>
      <x:c r="BA249" s="174"/>
      <x:c r="BB249" s="174"/>
      <x:c r="BC249" s="174"/>
      <x:c r="BD249" s="174"/>
      <x:c r="BE249" s="174"/>
      <x:c r="BF249" s="174"/>
      <x:c r="BG249" s="174"/>
      <x:c r="BH249" s="174"/>
      <x:c r="BI249" s="174"/>
      <x:c r="BJ249" s="174"/>
      <x:c r="BK249" s="174"/>
      <x:c r="BL249" s="174"/>
      <x:c r="BM249" s="174"/>
      <x:c r="BN249" s="174"/>
      <x:c r="BO249" s="174"/>
      <x:c r="BP249" s="174"/>
      <x:c r="BQ249" s="174"/>
      <x:c r="BR249" s="174"/>
      <x:c r="BS249" s="174"/>
      <x:c r="BT249" s="174"/>
      <x:c r="BU249" s="174"/>
      <x:c r="BV249" s="174"/>
      <x:c r="BW249" s="174"/>
      <x:c r="BX249" s="174"/>
      <x:c r="BY249" s="174"/>
      <x:c r="BZ249" s="174"/>
      <x:c r="CA249" s="174"/>
      <x:c r="CB249" s="174"/>
      <x:c r="CC249" s="174"/>
      <x:c r="CD249" s="174"/>
      <x:c r="CE249" s="174"/>
      <x:c r="CF249" s="174"/>
      <x:c r="CG249" s="174"/>
      <x:c r="CH249" s="174"/>
      <x:c r="CI249" s="179"/>
      <x:c r="CJ249" s="174"/>
      <x:c r="CK249" s="174"/>
      <x:c r="CL249" s="174"/>
      <x:c r="CM249" s="174"/>
      <x:c r="CN249" s="174"/>
      <x:c r="CO249" s="177"/>
      <x:c r="CP249" s="174"/>
      <x:c r="CQ249" s="174"/>
      <x:c r="CR249" s="174"/>
      <x:c r="CS249" s="174"/>
      <x:c r="CT249" s="174"/>
      <x:c r="CU249" s="176"/>
      <x:c r="CV249" s="176"/>
      <x:c r="CW249" s="176"/>
      <x:c r="CX249" s="176"/>
      <x:c r="CY249" s="176"/>
      <x:c r="CZ249" s="176"/>
      <x:c r="DA249" s="176"/>
      <x:c r="DB249" s="175" t="str">
        <x:f>IF(L249="","",IF(COUNT(CU249:DA249)&lt;7,"",SUM(CU249:DA249)))</x:f>
      </x:c>
      <x:c r="DC249" s="180" t="str">
        <x:f>IF(DB249="","",ROUND(DB249/14*10,1))</x:f>
      </x:c>
      <x:c r="DD249" s="174"/>
      <x:c r="DE249" s="175" t="str">
        <x:f>IF(L249="","",IF(DC249="","Pending",IF(DD249="Yes","CONDITIONAL — safety override",IF(DC249&gt;=8,"HIGH",IF(DC249&gt;=5,"CONDITIONAL","LOW")))))</x:f>
      </x:c>
      <x:c r="DF249" s="174"/>
      <x:c r="DG249" s="174"/>
      <x:c r="DH249" s="174"/>
      <x:c r="DI249" s="174"/>
      <x:c r="DJ249" s="174"/>
      <x:c r="DK249" s="174"/>
      <x:c r="DL249" s="174"/>
      <x:c r="DM249" s="174"/>
      <x:c r="DN249" s="174"/>
      <x:c r="DO249" s="174"/>
      <x:c r="DP249" s="174"/>
      <x:c r="DQ249" s="174"/>
      <x:c r="DR249" s="174"/>
      <x:c r="DS249" s="174"/>
      <x:c r="DT249" s="174"/>
      <x:c r="DU249" s="174"/>
      <x:c r="DV249" s="174"/>
      <x:c r="DW249" s="174"/>
      <x:c r="DX249" s="174"/>
      <x:c r="DY249" s="174"/>
      <x:c r="DZ249" s="174"/>
      <x:c r="EA249" s="174"/>
      <x:c r="EB249" s="175" t="str">
        <x:f>IF(L249="","",IF(AND(F249="Claim-ready",CJ249="Yes",CL249="Yes",DZ249&lt;&gt;""),"Yes","No / Pending"))</x:f>
      </x:c>
      <x:c r="EC249" s="174"/>
      <x:c r="ED249" s="174"/>
      <x:c r="EE249" s="174"/>
      <x:c r="EF249" s="174"/>
      <x:c r="EG249" s="174"/>
      <x:c r="EH249" s="177"/>
      <x:c r="EI249" s="174"/>
      <x:c r="EJ249" s="174"/>
      <x:c r="EK249" s="174"/>
      <x:c r="EL249" s="177"/>
      <x:c r="EM249" s="174"/>
      <x:c r="EN249" s="181" t="str">
        <x:f>IF(L249="","",(IF(N249&lt;&gt;"",1,0)+IF(O249&lt;&gt;"",1,0)+IF(AJ249&lt;&gt;"",1,0)+IF(AU249&lt;&gt;"",1,0)+IF(BE249&lt;&gt;"",1,0)+IF(CF249&lt;&gt;"",1,0)+IF(CJ249="Yes",1,0)+IF(CL249="Yes",1,0)+IF(DE249&lt;&gt;"Pending",1,0)+IF(F249&lt;&gt;"",1,0)+IF(DZ249&lt;&gt;"",1,0)+IF(EI249&lt;&gt;"",1,0))/12)</x:f>
      </x:c>
    </x:row>
    <x:row r="250">
      <x:c r="A250" s="175" t="str">
        <x:f>IF(L250="","","EV-"&amp;TEXT(ROW()-3,"0000"))</x:f>
      </x:c>
      <x:c r="B250" s="174"/>
      <x:c r="C250" s="175" t="str">
        <x:f>IF(L250="","",IF(OR(CM250="Retracted",CN250="Retracted",F250="Not used"),"🔴 Do not use for conclusion",IF(OR(R250="Official / Institutional",I250="Official / contextual"),"🔵 Official / contextual",IF(OR(I250="Definition",I250="Framework",I250="Paradigm shift"),"🟣 Conceptual key source",IF(AND(CJ250="Yes",CL250="Yes",OR(CG250="High",CG250="Moderate"),CH250&lt;&gt;"High",CH250&lt;&gt;"Critical",F250="Claim-ready"),"🟢 Claim-ready","🟡 Caution / context")))))</x:f>
      </x:c>
      <x:c r="D250" s="174"/>
      <x:c r="E250" s="174"/>
      <x:c r="F250" s="174"/>
      <x:c r="G250" s="174"/>
      <x:c r="H250" s="174"/>
      <x:c r="I250" s="174"/>
      <x:c r="J250" s="174"/>
      <x:c r="K250" s="174"/>
      <x:c r="L250" s="174"/>
      <x:c r="M250" s="174"/>
      <x:c r="N250" s="174"/>
      <x:c r="O250" s="176"/>
      <x:c r="P250" s="174"/>
      <x:c r="Q250" s="174"/>
      <x:c r="R250" s="174"/>
      <x:c r="S250" s="174"/>
      <x:c r="T250" s="174"/>
      <x:c r="U250" s="174"/>
      <x:c r="V250" s="174"/>
      <x:c r="W250" s="175" t="str">
        <x:f>IF(V250="","",LOWER(SUBSTITUTE(SUBSTITUTE(SUBSTITUTE(SUBSTITUTE(TRIM(V250),"https://doi.org/",""),"http://doi.org/",""),"https://dx.doi.org/",""),"doi:","")))</x:f>
      </x:c>
      <x:c r="X250" s="174"/>
      <x:c r="Y250" s="174"/>
      <x:c r="Z250" s="174"/>
      <x:c r="AA250" s="174"/>
      <x:c r="AB250" s="174"/>
      <x:c r="AC250" s="174"/>
      <x:c r="AD250" s="177"/>
      <x:c r="AE250" s="177"/>
      <x:c r="AF250" s="174"/>
      <x:c r="AG250" s="174"/>
      <x:c r="AH250" s="174"/>
      <x:c r="AI250" s="174"/>
      <x:c r="AJ250" s="174"/>
      <x:c r="AK250" s="175" t="str">
        <x:f>IF(AJ250="","",IF(OR(LOWER(AJ250)="brazil",LOWER(AJ250)="brasil"),"Yes","No"))</x:f>
      </x:c>
      <x:c r="AL250" s="174"/>
      <x:c r="AM250" s="174"/>
      <x:c r="AN250" s="174"/>
      <x:c r="AO250" s="178"/>
      <x:c r="AP250" s="174"/>
      <x:c r="AQ250" s="174"/>
      <x:c r="AR250" s="174"/>
      <x:c r="AS250" s="174"/>
      <x:c r="AT250" s="174"/>
      <x:c r="AU250" s="174"/>
      <x:c r="AV250" s="174"/>
      <x:c r="AW250" s="174"/>
      <x:c r="AX250" s="174"/>
      <x:c r="AY250" s="174"/>
      <x:c r="AZ250" s="174"/>
      <x:c r="BA250" s="174"/>
      <x:c r="BB250" s="174"/>
      <x:c r="BC250" s="174"/>
      <x:c r="BD250" s="174"/>
      <x:c r="BE250" s="174"/>
      <x:c r="BF250" s="174"/>
      <x:c r="BG250" s="174"/>
      <x:c r="BH250" s="174"/>
      <x:c r="BI250" s="174"/>
      <x:c r="BJ250" s="174"/>
      <x:c r="BK250" s="174"/>
      <x:c r="BL250" s="174"/>
      <x:c r="BM250" s="174"/>
      <x:c r="BN250" s="174"/>
      <x:c r="BO250" s="174"/>
      <x:c r="BP250" s="174"/>
      <x:c r="BQ250" s="174"/>
      <x:c r="BR250" s="174"/>
      <x:c r="BS250" s="174"/>
      <x:c r="BT250" s="174"/>
      <x:c r="BU250" s="174"/>
      <x:c r="BV250" s="174"/>
      <x:c r="BW250" s="174"/>
      <x:c r="BX250" s="174"/>
      <x:c r="BY250" s="174"/>
      <x:c r="BZ250" s="174"/>
      <x:c r="CA250" s="174"/>
      <x:c r="CB250" s="174"/>
      <x:c r="CC250" s="174"/>
      <x:c r="CD250" s="174"/>
      <x:c r="CE250" s="174"/>
      <x:c r="CF250" s="174"/>
      <x:c r="CG250" s="174"/>
      <x:c r="CH250" s="174"/>
      <x:c r="CI250" s="179"/>
      <x:c r="CJ250" s="174"/>
      <x:c r="CK250" s="174"/>
      <x:c r="CL250" s="174"/>
      <x:c r="CM250" s="174"/>
      <x:c r="CN250" s="174"/>
      <x:c r="CO250" s="177"/>
      <x:c r="CP250" s="174"/>
      <x:c r="CQ250" s="174"/>
      <x:c r="CR250" s="174"/>
      <x:c r="CS250" s="174"/>
      <x:c r="CT250" s="174"/>
      <x:c r="CU250" s="176"/>
      <x:c r="CV250" s="176"/>
      <x:c r="CW250" s="176"/>
      <x:c r="CX250" s="176"/>
      <x:c r="CY250" s="176"/>
      <x:c r="CZ250" s="176"/>
      <x:c r="DA250" s="176"/>
      <x:c r="DB250" s="175" t="str">
        <x:f>IF(L250="","",IF(COUNT(CU250:DA250)&lt;7,"",SUM(CU250:DA250)))</x:f>
      </x:c>
      <x:c r="DC250" s="180" t="str">
        <x:f>IF(DB250="","",ROUND(DB250/14*10,1))</x:f>
      </x:c>
      <x:c r="DD250" s="174"/>
      <x:c r="DE250" s="175" t="str">
        <x:f>IF(L250="","",IF(DC250="","Pending",IF(DD250="Yes","CONDITIONAL — safety override",IF(DC250&gt;=8,"HIGH",IF(DC250&gt;=5,"CONDITIONAL","LOW")))))</x:f>
      </x:c>
      <x:c r="DF250" s="174"/>
      <x:c r="DG250" s="174"/>
      <x:c r="DH250" s="174"/>
      <x:c r="DI250" s="174"/>
      <x:c r="DJ250" s="174"/>
      <x:c r="DK250" s="174"/>
      <x:c r="DL250" s="174"/>
      <x:c r="DM250" s="174"/>
      <x:c r="DN250" s="174"/>
      <x:c r="DO250" s="174"/>
      <x:c r="DP250" s="174"/>
      <x:c r="DQ250" s="174"/>
      <x:c r="DR250" s="174"/>
      <x:c r="DS250" s="174"/>
      <x:c r="DT250" s="174"/>
      <x:c r="DU250" s="174"/>
      <x:c r="DV250" s="174"/>
      <x:c r="DW250" s="174"/>
      <x:c r="DX250" s="174"/>
      <x:c r="DY250" s="174"/>
      <x:c r="DZ250" s="174"/>
      <x:c r="EA250" s="174"/>
      <x:c r="EB250" s="175" t="str">
        <x:f>IF(L250="","",IF(AND(F250="Claim-ready",CJ250="Yes",CL250="Yes",DZ250&lt;&gt;""),"Yes","No / Pending"))</x:f>
      </x:c>
      <x:c r="EC250" s="174"/>
      <x:c r="ED250" s="174"/>
      <x:c r="EE250" s="174"/>
      <x:c r="EF250" s="174"/>
      <x:c r="EG250" s="174"/>
      <x:c r="EH250" s="177"/>
      <x:c r="EI250" s="174"/>
      <x:c r="EJ250" s="174"/>
      <x:c r="EK250" s="174"/>
      <x:c r="EL250" s="177"/>
      <x:c r="EM250" s="174"/>
      <x:c r="EN250" s="181" t="str">
        <x:f>IF(L250="","",(IF(N250&lt;&gt;"",1,0)+IF(O250&lt;&gt;"",1,0)+IF(AJ250&lt;&gt;"",1,0)+IF(AU250&lt;&gt;"",1,0)+IF(BE250&lt;&gt;"",1,0)+IF(CF250&lt;&gt;"",1,0)+IF(CJ250="Yes",1,0)+IF(CL250="Yes",1,0)+IF(DE250&lt;&gt;"Pending",1,0)+IF(F250&lt;&gt;"",1,0)+IF(DZ250&lt;&gt;"",1,0)+IF(EI250&lt;&gt;"",1,0))/12)</x:f>
      </x:c>
    </x:row>
    <x:row r="251">
      <x:c r="A251" s="175" t="str">
        <x:f>IF(L251="","","EV-"&amp;TEXT(ROW()-3,"0000"))</x:f>
      </x:c>
      <x:c r="B251" s="174"/>
      <x:c r="C251" s="175" t="str">
        <x:f>IF(L251="","",IF(OR(CM251="Retracted",CN251="Retracted",F251="Not used"),"🔴 Do not use for conclusion",IF(OR(R251="Official / Institutional",I251="Official / contextual"),"🔵 Official / contextual",IF(OR(I251="Definition",I251="Framework",I251="Paradigm shift"),"🟣 Conceptual key source",IF(AND(CJ251="Yes",CL251="Yes",OR(CG251="High",CG251="Moderate"),CH251&lt;&gt;"High",CH251&lt;&gt;"Critical",F251="Claim-ready"),"🟢 Claim-ready","🟡 Caution / context")))))</x:f>
      </x:c>
      <x:c r="D251" s="174"/>
      <x:c r="E251" s="174"/>
      <x:c r="F251" s="174"/>
      <x:c r="G251" s="174"/>
      <x:c r="H251" s="174"/>
      <x:c r="I251" s="174"/>
      <x:c r="J251" s="174"/>
      <x:c r="K251" s="174"/>
      <x:c r="L251" s="174"/>
      <x:c r="M251" s="174"/>
      <x:c r="N251" s="174"/>
      <x:c r="O251" s="176"/>
      <x:c r="P251" s="174"/>
      <x:c r="Q251" s="174"/>
      <x:c r="R251" s="174"/>
      <x:c r="S251" s="174"/>
      <x:c r="T251" s="174"/>
      <x:c r="U251" s="174"/>
      <x:c r="V251" s="174"/>
      <x:c r="W251" s="175" t="str">
        <x:f>IF(V251="","",LOWER(SUBSTITUTE(SUBSTITUTE(SUBSTITUTE(SUBSTITUTE(TRIM(V251),"https://doi.org/",""),"http://doi.org/",""),"https://dx.doi.org/",""),"doi:","")))</x:f>
      </x:c>
      <x:c r="X251" s="174"/>
      <x:c r="Y251" s="174"/>
      <x:c r="Z251" s="174"/>
      <x:c r="AA251" s="174"/>
      <x:c r="AB251" s="174"/>
      <x:c r="AC251" s="174"/>
      <x:c r="AD251" s="177"/>
      <x:c r="AE251" s="177"/>
      <x:c r="AF251" s="174"/>
      <x:c r="AG251" s="174"/>
      <x:c r="AH251" s="174"/>
      <x:c r="AI251" s="174"/>
      <x:c r="AJ251" s="174"/>
      <x:c r="AK251" s="175" t="str">
        <x:f>IF(AJ251="","",IF(OR(LOWER(AJ251)="brazil",LOWER(AJ251)="brasil"),"Yes","No"))</x:f>
      </x:c>
      <x:c r="AL251" s="174"/>
      <x:c r="AM251" s="174"/>
      <x:c r="AN251" s="174"/>
      <x:c r="AO251" s="178"/>
      <x:c r="AP251" s="174"/>
      <x:c r="AQ251" s="174"/>
      <x:c r="AR251" s="174"/>
      <x:c r="AS251" s="174"/>
      <x:c r="AT251" s="174"/>
      <x:c r="AU251" s="174"/>
      <x:c r="AV251" s="174"/>
      <x:c r="AW251" s="174"/>
      <x:c r="AX251" s="174"/>
      <x:c r="AY251" s="174"/>
      <x:c r="AZ251" s="174"/>
      <x:c r="BA251" s="174"/>
      <x:c r="BB251" s="174"/>
      <x:c r="BC251" s="174"/>
      <x:c r="BD251" s="174"/>
      <x:c r="BE251" s="174"/>
      <x:c r="BF251" s="174"/>
      <x:c r="BG251" s="174"/>
      <x:c r="BH251" s="174"/>
      <x:c r="BI251" s="174"/>
      <x:c r="BJ251" s="174"/>
      <x:c r="BK251" s="174"/>
      <x:c r="BL251" s="174"/>
      <x:c r="BM251" s="174"/>
      <x:c r="BN251" s="174"/>
      <x:c r="BO251" s="174"/>
      <x:c r="BP251" s="174"/>
      <x:c r="BQ251" s="174"/>
      <x:c r="BR251" s="174"/>
      <x:c r="BS251" s="174"/>
      <x:c r="BT251" s="174"/>
      <x:c r="BU251" s="174"/>
      <x:c r="BV251" s="174"/>
      <x:c r="BW251" s="174"/>
      <x:c r="BX251" s="174"/>
      <x:c r="BY251" s="174"/>
      <x:c r="BZ251" s="174"/>
      <x:c r="CA251" s="174"/>
      <x:c r="CB251" s="174"/>
      <x:c r="CC251" s="174"/>
      <x:c r="CD251" s="174"/>
      <x:c r="CE251" s="174"/>
      <x:c r="CF251" s="174"/>
      <x:c r="CG251" s="174"/>
      <x:c r="CH251" s="174"/>
      <x:c r="CI251" s="179"/>
      <x:c r="CJ251" s="174"/>
      <x:c r="CK251" s="174"/>
      <x:c r="CL251" s="174"/>
      <x:c r="CM251" s="174"/>
      <x:c r="CN251" s="174"/>
      <x:c r="CO251" s="177"/>
      <x:c r="CP251" s="174"/>
      <x:c r="CQ251" s="174"/>
      <x:c r="CR251" s="174"/>
      <x:c r="CS251" s="174"/>
      <x:c r="CT251" s="174"/>
      <x:c r="CU251" s="176"/>
      <x:c r="CV251" s="176"/>
      <x:c r="CW251" s="176"/>
      <x:c r="CX251" s="176"/>
      <x:c r="CY251" s="176"/>
      <x:c r="CZ251" s="176"/>
      <x:c r="DA251" s="176"/>
      <x:c r="DB251" s="175" t="str">
        <x:f>IF(L251="","",IF(COUNT(CU251:DA251)&lt;7,"",SUM(CU251:DA251)))</x:f>
      </x:c>
      <x:c r="DC251" s="180" t="str">
        <x:f>IF(DB251="","",ROUND(DB251/14*10,1))</x:f>
      </x:c>
      <x:c r="DD251" s="174"/>
      <x:c r="DE251" s="175" t="str">
        <x:f>IF(L251="","",IF(DC251="","Pending",IF(DD251="Yes","CONDITIONAL — safety override",IF(DC251&gt;=8,"HIGH",IF(DC251&gt;=5,"CONDITIONAL","LOW")))))</x:f>
      </x:c>
      <x:c r="DF251" s="174"/>
      <x:c r="DG251" s="174"/>
      <x:c r="DH251" s="174"/>
      <x:c r="DI251" s="174"/>
      <x:c r="DJ251" s="174"/>
      <x:c r="DK251" s="174"/>
      <x:c r="DL251" s="174"/>
      <x:c r="DM251" s="174"/>
      <x:c r="DN251" s="174"/>
      <x:c r="DO251" s="174"/>
      <x:c r="DP251" s="174"/>
      <x:c r="DQ251" s="174"/>
      <x:c r="DR251" s="174"/>
      <x:c r="DS251" s="174"/>
      <x:c r="DT251" s="174"/>
      <x:c r="DU251" s="174"/>
      <x:c r="DV251" s="174"/>
      <x:c r="DW251" s="174"/>
      <x:c r="DX251" s="174"/>
      <x:c r="DY251" s="174"/>
      <x:c r="DZ251" s="174"/>
      <x:c r="EA251" s="174"/>
      <x:c r="EB251" s="175" t="str">
        <x:f>IF(L251="","",IF(AND(F251="Claim-ready",CJ251="Yes",CL251="Yes",DZ251&lt;&gt;""),"Yes","No / Pending"))</x:f>
      </x:c>
      <x:c r="EC251" s="174"/>
      <x:c r="ED251" s="174"/>
      <x:c r="EE251" s="174"/>
      <x:c r="EF251" s="174"/>
      <x:c r="EG251" s="174"/>
      <x:c r="EH251" s="177"/>
      <x:c r="EI251" s="174"/>
      <x:c r="EJ251" s="174"/>
      <x:c r="EK251" s="174"/>
      <x:c r="EL251" s="177"/>
      <x:c r="EM251" s="174"/>
      <x:c r="EN251" s="181" t="str">
        <x:f>IF(L251="","",(IF(N251&lt;&gt;"",1,0)+IF(O251&lt;&gt;"",1,0)+IF(AJ251&lt;&gt;"",1,0)+IF(AU251&lt;&gt;"",1,0)+IF(BE251&lt;&gt;"",1,0)+IF(CF251&lt;&gt;"",1,0)+IF(CJ251="Yes",1,0)+IF(CL251="Yes",1,0)+IF(DE251&lt;&gt;"Pending",1,0)+IF(F251&lt;&gt;"",1,0)+IF(DZ251&lt;&gt;"",1,0)+IF(EI251&lt;&gt;"",1,0))/12)</x:f>
      </x:c>
    </x:row>
    <x:row r="252">
      <x:c r="A252" s="175" t="str">
        <x:f>IF(L252="","","EV-"&amp;TEXT(ROW()-3,"0000"))</x:f>
      </x:c>
      <x:c r="B252" s="174"/>
      <x:c r="C252" s="175" t="str">
        <x:f>IF(L252="","",IF(OR(CM252="Retracted",CN252="Retracted",F252="Not used"),"🔴 Do not use for conclusion",IF(OR(R252="Official / Institutional",I252="Official / contextual"),"🔵 Official / contextual",IF(OR(I252="Definition",I252="Framework",I252="Paradigm shift"),"🟣 Conceptual key source",IF(AND(CJ252="Yes",CL252="Yes",OR(CG252="High",CG252="Moderate"),CH252&lt;&gt;"High",CH252&lt;&gt;"Critical",F252="Claim-ready"),"🟢 Claim-ready","🟡 Caution / context")))))</x:f>
      </x:c>
      <x:c r="D252" s="174"/>
      <x:c r="E252" s="174"/>
      <x:c r="F252" s="174"/>
      <x:c r="G252" s="174"/>
      <x:c r="H252" s="174"/>
      <x:c r="I252" s="174"/>
      <x:c r="J252" s="174"/>
      <x:c r="K252" s="174"/>
      <x:c r="L252" s="174"/>
      <x:c r="M252" s="174"/>
      <x:c r="N252" s="174"/>
      <x:c r="O252" s="176"/>
      <x:c r="P252" s="174"/>
      <x:c r="Q252" s="174"/>
      <x:c r="R252" s="174"/>
      <x:c r="S252" s="174"/>
      <x:c r="T252" s="174"/>
      <x:c r="U252" s="174"/>
      <x:c r="V252" s="174"/>
      <x:c r="W252" s="175" t="str">
        <x:f>IF(V252="","",LOWER(SUBSTITUTE(SUBSTITUTE(SUBSTITUTE(SUBSTITUTE(TRIM(V252),"https://doi.org/",""),"http://doi.org/",""),"https://dx.doi.org/",""),"doi:","")))</x:f>
      </x:c>
      <x:c r="X252" s="174"/>
      <x:c r="Y252" s="174"/>
      <x:c r="Z252" s="174"/>
      <x:c r="AA252" s="174"/>
      <x:c r="AB252" s="174"/>
      <x:c r="AC252" s="174"/>
      <x:c r="AD252" s="177"/>
      <x:c r="AE252" s="177"/>
      <x:c r="AF252" s="174"/>
      <x:c r="AG252" s="174"/>
      <x:c r="AH252" s="174"/>
      <x:c r="AI252" s="174"/>
      <x:c r="AJ252" s="174"/>
      <x:c r="AK252" s="175" t="str">
        <x:f>IF(AJ252="","",IF(OR(LOWER(AJ252)="brazil",LOWER(AJ252)="brasil"),"Yes","No"))</x:f>
      </x:c>
      <x:c r="AL252" s="174"/>
      <x:c r="AM252" s="174"/>
      <x:c r="AN252" s="174"/>
      <x:c r="AO252" s="178"/>
      <x:c r="AP252" s="174"/>
      <x:c r="AQ252" s="174"/>
      <x:c r="AR252" s="174"/>
      <x:c r="AS252" s="174"/>
      <x:c r="AT252" s="174"/>
      <x:c r="AU252" s="174"/>
      <x:c r="AV252" s="174"/>
      <x:c r="AW252" s="174"/>
      <x:c r="AX252" s="174"/>
      <x:c r="AY252" s="174"/>
      <x:c r="AZ252" s="174"/>
      <x:c r="BA252" s="174"/>
      <x:c r="BB252" s="174"/>
      <x:c r="BC252" s="174"/>
      <x:c r="BD252" s="174"/>
      <x:c r="BE252" s="174"/>
      <x:c r="BF252" s="174"/>
      <x:c r="BG252" s="174"/>
      <x:c r="BH252" s="174"/>
      <x:c r="BI252" s="174"/>
      <x:c r="BJ252" s="174"/>
      <x:c r="BK252" s="174"/>
      <x:c r="BL252" s="174"/>
      <x:c r="BM252" s="174"/>
      <x:c r="BN252" s="174"/>
      <x:c r="BO252" s="174"/>
      <x:c r="BP252" s="174"/>
      <x:c r="BQ252" s="174"/>
      <x:c r="BR252" s="174"/>
      <x:c r="BS252" s="174"/>
      <x:c r="BT252" s="174"/>
      <x:c r="BU252" s="174"/>
      <x:c r="BV252" s="174"/>
      <x:c r="BW252" s="174"/>
      <x:c r="BX252" s="174"/>
      <x:c r="BY252" s="174"/>
      <x:c r="BZ252" s="174"/>
      <x:c r="CA252" s="174"/>
      <x:c r="CB252" s="174"/>
      <x:c r="CC252" s="174"/>
      <x:c r="CD252" s="174"/>
      <x:c r="CE252" s="174"/>
      <x:c r="CF252" s="174"/>
      <x:c r="CG252" s="174"/>
      <x:c r="CH252" s="174"/>
      <x:c r="CI252" s="179"/>
      <x:c r="CJ252" s="174"/>
      <x:c r="CK252" s="174"/>
      <x:c r="CL252" s="174"/>
      <x:c r="CM252" s="174"/>
      <x:c r="CN252" s="174"/>
      <x:c r="CO252" s="177"/>
      <x:c r="CP252" s="174"/>
      <x:c r="CQ252" s="174"/>
      <x:c r="CR252" s="174"/>
      <x:c r="CS252" s="174"/>
      <x:c r="CT252" s="174"/>
      <x:c r="CU252" s="176"/>
      <x:c r="CV252" s="176"/>
      <x:c r="CW252" s="176"/>
      <x:c r="CX252" s="176"/>
      <x:c r="CY252" s="176"/>
      <x:c r="CZ252" s="176"/>
      <x:c r="DA252" s="176"/>
      <x:c r="DB252" s="175" t="str">
        <x:f>IF(L252="","",IF(COUNT(CU252:DA252)&lt;7,"",SUM(CU252:DA252)))</x:f>
      </x:c>
      <x:c r="DC252" s="180" t="str">
        <x:f>IF(DB252="","",ROUND(DB252/14*10,1))</x:f>
      </x:c>
      <x:c r="DD252" s="174"/>
      <x:c r="DE252" s="175" t="str">
        <x:f>IF(L252="","",IF(DC252="","Pending",IF(DD252="Yes","CONDITIONAL — safety override",IF(DC252&gt;=8,"HIGH",IF(DC252&gt;=5,"CONDITIONAL","LOW")))))</x:f>
      </x:c>
      <x:c r="DF252" s="174"/>
      <x:c r="DG252" s="174"/>
      <x:c r="DH252" s="174"/>
      <x:c r="DI252" s="174"/>
      <x:c r="DJ252" s="174"/>
      <x:c r="DK252" s="174"/>
      <x:c r="DL252" s="174"/>
      <x:c r="DM252" s="174"/>
      <x:c r="DN252" s="174"/>
      <x:c r="DO252" s="174"/>
      <x:c r="DP252" s="174"/>
      <x:c r="DQ252" s="174"/>
      <x:c r="DR252" s="174"/>
      <x:c r="DS252" s="174"/>
      <x:c r="DT252" s="174"/>
      <x:c r="DU252" s="174"/>
      <x:c r="DV252" s="174"/>
      <x:c r="DW252" s="174"/>
      <x:c r="DX252" s="174"/>
      <x:c r="DY252" s="174"/>
      <x:c r="DZ252" s="174"/>
      <x:c r="EA252" s="174"/>
      <x:c r="EB252" s="175" t="str">
        <x:f>IF(L252="","",IF(AND(F252="Claim-ready",CJ252="Yes",CL252="Yes",DZ252&lt;&gt;""),"Yes","No / Pending"))</x:f>
      </x:c>
      <x:c r="EC252" s="174"/>
      <x:c r="ED252" s="174"/>
      <x:c r="EE252" s="174"/>
      <x:c r="EF252" s="174"/>
      <x:c r="EG252" s="174"/>
      <x:c r="EH252" s="177"/>
      <x:c r="EI252" s="174"/>
      <x:c r="EJ252" s="174"/>
      <x:c r="EK252" s="174"/>
      <x:c r="EL252" s="177"/>
      <x:c r="EM252" s="174"/>
      <x:c r="EN252" s="181" t="str">
        <x:f>IF(L252="","",(IF(N252&lt;&gt;"",1,0)+IF(O252&lt;&gt;"",1,0)+IF(AJ252&lt;&gt;"",1,0)+IF(AU252&lt;&gt;"",1,0)+IF(BE252&lt;&gt;"",1,0)+IF(CF252&lt;&gt;"",1,0)+IF(CJ252="Yes",1,0)+IF(CL252="Yes",1,0)+IF(DE252&lt;&gt;"Pending",1,0)+IF(F252&lt;&gt;"",1,0)+IF(DZ252&lt;&gt;"",1,0)+IF(EI252&lt;&gt;"",1,0))/12)</x:f>
      </x:c>
    </x:row>
    <x:row r="253">
      <x:c r="A253" s="175" t="str">
        <x:f>IF(L253="","","EV-"&amp;TEXT(ROW()-3,"0000"))</x:f>
      </x:c>
      <x:c r="B253" s="174"/>
      <x:c r="C253" s="175" t="str">
        <x:f>IF(L253="","",IF(OR(CM253="Retracted",CN253="Retracted",F253="Not used"),"🔴 Do not use for conclusion",IF(OR(R253="Official / Institutional",I253="Official / contextual"),"🔵 Official / contextual",IF(OR(I253="Definition",I253="Framework",I253="Paradigm shift"),"🟣 Conceptual key source",IF(AND(CJ253="Yes",CL253="Yes",OR(CG253="High",CG253="Moderate"),CH253&lt;&gt;"High",CH253&lt;&gt;"Critical",F253="Claim-ready"),"🟢 Claim-ready","🟡 Caution / context")))))</x:f>
      </x:c>
      <x:c r="D253" s="174"/>
      <x:c r="E253" s="174"/>
      <x:c r="F253" s="174"/>
      <x:c r="G253" s="174"/>
      <x:c r="H253" s="174"/>
      <x:c r="I253" s="174"/>
      <x:c r="J253" s="174"/>
      <x:c r="K253" s="174"/>
      <x:c r="L253" s="174"/>
      <x:c r="M253" s="174"/>
      <x:c r="N253" s="174"/>
      <x:c r="O253" s="176"/>
      <x:c r="P253" s="174"/>
      <x:c r="Q253" s="174"/>
      <x:c r="R253" s="174"/>
      <x:c r="S253" s="174"/>
      <x:c r="T253" s="174"/>
      <x:c r="U253" s="174"/>
      <x:c r="V253" s="174"/>
      <x:c r="W253" s="175" t="str">
        <x:f>IF(V253="","",LOWER(SUBSTITUTE(SUBSTITUTE(SUBSTITUTE(SUBSTITUTE(TRIM(V253),"https://doi.org/",""),"http://doi.org/",""),"https://dx.doi.org/",""),"doi:","")))</x:f>
      </x:c>
      <x:c r="X253" s="174"/>
      <x:c r="Y253" s="174"/>
      <x:c r="Z253" s="174"/>
      <x:c r="AA253" s="174"/>
      <x:c r="AB253" s="174"/>
      <x:c r="AC253" s="174"/>
      <x:c r="AD253" s="177"/>
      <x:c r="AE253" s="177"/>
      <x:c r="AF253" s="174"/>
      <x:c r="AG253" s="174"/>
      <x:c r="AH253" s="174"/>
      <x:c r="AI253" s="174"/>
      <x:c r="AJ253" s="174"/>
      <x:c r="AK253" s="175" t="str">
        <x:f>IF(AJ253="","",IF(OR(LOWER(AJ253)="brazil",LOWER(AJ253)="brasil"),"Yes","No"))</x:f>
      </x:c>
      <x:c r="AL253" s="174"/>
      <x:c r="AM253" s="174"/>
      <x:c r="AN253" s="174"/>
      <x:c r="AO253" s="178"/>
      <x:c r="AP253" s="174"/>
      <x:c r="AQ253" s="174"/>
      <x:c r="AR253" s="174"/>
      <x:c r="AS253" s="174"/>
      <x:c r="AT253" s="174"/>
      <x:c r="AU253" s="174"/>
      <x:c r="AV253" s="174"/>
      <x:c r="AW253" s="174"/>
      <x:c r="AX253" s="174"/>
      <x:c r="AY253" s="174"/>
      <x:c r="AZ253" s="174"/>
      <x:c r="BA253" s="174"/>
      <x:c r="BB253" s="174"/>
      <x:c r="BC253" s="174"/>
      <x:c r="BD253" s="174"/>
      <x:c r="BE253" s="174"/>
      <x:c r="BF253" s="174"/>
      <x:c r="BG253" s="174"/>
      <x:c r="BH253" s="174"/>
      <x:c r="BI253" s="174"/>
      <x:c r="BJ253" s="174"/>
      <x:c r="BK253" s="174"/>
      <x:c r="BL253" s="174"/>
      <x:c r="BM253" s="174"/>
      <x:c r="BN253" s="174"/>
      <x:c r="BO253" s="174"/>
      <x:c r="BP253" s="174"/>
      <x:c r="BQ253" s="174"/>
      <x:c r="BR253" s="174"/>
      <x:c r="BS253" s="174"/>
      <x:c r="BT253" s="174"/>
      <x:c r="BU253" s="174"/>
      <x:c r="BV253" s="174"/>
      <x:c r="BW253" s="174"/>
      <x:c r="BX253" s="174"/>
      <x:c r="BY253" s="174"/>
      <x:c r="BZ253" s="174"/>
      <x:c r="CA253" s="174"/>
      <x:c r="CB253" s="174"/>
      <x:c r="CC253" s="174"/>
      <x:c r="CD253" s="174"/>
      <x:c r="CE253" s="174"/>
      <x:c r="CF253" s="174"/>
      <x:c r="CG253" s="174"/>
      <x:c r="CH253" s="174"/>
      <x:c r="CI253" s="179"/>
      <x:c r="CJ253" s="174"/>
      <x:c r="CK253" s="174"/>
      <x:c r="CL253" s="174"/>
      <x:c r="CM253" s="174"/>
      <x:c r="CN253" s="174"/>
      <x:c r="CO253" s="177"/>
      <x:c r="CP253" s="174"/>
      <x:c r="CQ253" s="174"/>
      <x:c r="CR253" s="174"/>
      <x:c r="CS253" s="174"/>
      <x:c r="CT253" s="174"/>
      <x:c r="CU253" s="176"/>
      <x:c r="CV253" s="176"/>
      <x:c r="CW253" s="176"/>
      <x:c r="CX253" s="176"/>
      <x:c r="CY253" s="176"/>
      <x:c r="CZ253" s="176"/>
      <x:c r="DA253" s="176"/>
      <x:c r="DB253" s="175" t="str">
        <x:f>IF(L253="","",IF(COUNT(CU253:DA253)&lt;7,"",SUM(CU253:DA253)))</x:f>
      </x:c>
      <x:c r="DC253" s="180" t="str">
        <x:f>IF(DB253="","",ROUND(DB253/14*10,1))</x:f>
      </x:c>
      <x:c r="DD253" s="174"/>
      <x:c r="DE253" s="175" t="str">
        <x:f>IF(L253="","",IF(DC253="","Pending",IF(DD253="Yes","CONDITIONAL — safety override",IF(DC253&gt;=8,"HIGH",IF(DC253&gt;=5,"CONDITIONAL","LOW")))))</x:f>
      </x:c>
      <x:c r="DF253" s="174"/>
      <x:c r="DG253" s="174"/>
      <x:c r="DH253" s="174"/>
      <x:c r="DI253" s="174"/>
      <x:c r="DJ253" s="174"/>
      <x:c r="DK253" s="174"/>
      <x:c r="DL253" s="174"/>
      <x:c r="DM253" s="174"/>
      <x:c r="DN253" s="174"/>
      <x:c r="DO253" s="174"/>
      <x:c r="DP253" s="174"/>
      <x:c r="DQ253" s="174"/>
      <x:c r="DR253" s="174"/>
      <x:c r="DS253" s="174"/>
      <x:c r="DT253" s="174"/>
      <x:c r="DU253" s="174"/>
      <x:c r="DV253" s="174"/>
      <x:c r="DW253" s="174"/>
      <x:c r="DX253" s="174"/>
      <x:c r="DY253" s="174"/>
      <x:c r="DZ253" s="174"/>
      <x:c r="EA253" s="174"/>
      <x:c r="EB253" s="175" t="str">
        <x:f>IF(L253="","",IF(AND(F253="Claim-ready",CJ253="Yes",CL253="Yes",DZ253&lt;&gt;""),"Yes","No / Pending"))</x:f>
      </x:c>
      <x:c r="EC253" s="174"/>
      <x:c r="ED253" s="174"/>
      <x:c r="EE253" s="174"/>
      <x:c r="EF253" s="174"/>
      <x:c r="EG253" s="174"/>
      <x:c r="EH253" s="177"/>
      <x:c r="EI253" s="174"/>
      <x:c r="EJ253" s="174"/>
      <x:c r="EK253" s="174"/>
      <x:c r="EL253" s="177"/>
      <x:c r="EM253" s="174"/>
      <x:c r="EN253" s="181" t="str">
        <x:f>IF(L253="","",(IF(N253&lt;&gt;"",1,0)+IF(O253&lt;&gt;"",1,0)+IF(AJ253&lt;&gt;"",1,0)+IF(AU253&lt;&gt;"",1,0)+IF(BE253&lt;&gt;"",1,0)+IF(CF253&lt;&gt;"",1,0)+IF(CJ253="Yes",1,0)+IF(CL253="Yes",1,0)+IF(DE253&lt;&gt;"Pending",1,0)+IF(F253&lt;&gt;"",1,0)+IF(DZ253&lt;&gt;"",1,0)+IF(EI253&lt;&gt;"",1,0))/12)</x:f>
      </x:c>
    </x:row>
    <x:row r="254">
      <x:c r="A254" s="175" t="str">
        <x:f>IF(L254="","","EV-"&amp;TEXT(ROW()-3,"0000"))</x:f>
      </x:c>
      <x:c r="B254" s="174"/>
      <x:c r="C254" s="175" t="str">
        <x:f>IF(L254="","",IF(OR(CM254="Retracted",CN254="Retracted",F254="Not used"),"🔴 Do not use for conclusion",IF(OR(R254="Official / Institutional",I254="Official / contextual"),"🔵 Official / contextual",IF(OR(I254="Definition",I254="Framework",I254="Paradigm shift"),"🟣 Conceptual key source",IF(AND(CJ254="Yes",CL254="Yes",OR(CG254="High",CG254="Moderate"),CH254&lt;&gt;"High",CH254&lt;&gt;"Critical",F254="Claim-ready"),"🟢 Claim-ready","🟡 Caution / context")))))</x:f>
      </x:c>
      <x:c r="D254" s="174"/>
      <x:c r="E254" s="174"/>
      <x:c r="F254" s="174"/>
      <x:c r="G254" s="174"/>
      <x:c r="H254" s="174"/>
      <x:c r="I254" s="174"/>
      <x:c r="J254" s="174"/>
      <x:c r="K254" s="174"/>
      <x:c r="L254" s="174"/>
      <x:c r="M254" s="174"/>
      <x:c r="N254" s="174"/>
      <x:c r="O254" s="176"/>
      <x:c r="P254" s="174"/>
      <x:c r="Q254" s="174"/>
      <x:c r="R254" s="174"/>
      <x:c r="S254" s="174"/>
      <x:c r="T254" s="174"/>
      <x:c r="U254" s="174"/>
      <x:c r="V254" s="174"/>
      <x:c r="W254" s="175" t="str">
        <x:f>IF(V254="","",LOWER(SUBSTITUTE(SUBSTITUTE(SUBSTITUTE(SUBSTITUTE(TRIM(V254),"https://doi.org/",""),"http://doi.org/",""),"https://dx.doi.org/",""),"doi:","")))</x:f>
      </x:c>
      <x:c r="X254" s="174"/>
      <x:c r="Y254" s="174"/>
      <x:c r="Z254" s="174"/>
      <x:c r="AA254" s="174"/>
      <x:c r="AB254" s="174"/>
      <x:c r="AC254" s="174"/>
      <x:c r="AD254" s="177"/>
      <x:c r="AE254" s="177"/>
      <x:c r="AF254" s="174"/>
      <x:c r="AG254" s="174"/>
      <x:c r="AH254" s="174"/>
      <x:c r="AI254" s="174"/>
      <x:c r="AJ254" s="174"/>
      <x:c r="AK254" s="175" t="str">
        <x:f>IF(AJ254="","",IF(OR(LOWER(AJ254)="brazil",LOWER(AJ254)="brasil"),"Yes","No"))</x:f>
      </x:c>
      <x:c r="AL254" s="174"/>
      <x:c r="AM254" s="174"/>
      <x:c r="AN254" s="174"/>
      <x:c r="AO254" s="178"/>
      <x:c r="AP254" s="174"/>
      <x:c r="AQ254" s="174"/>
      <x:c r="AR254" s="174"/>
      <x:c r="AS254" s="174"/>
      <x:c r="AT254" s="174"/>
      <x:c r="AU254" s="174"/>
      <x:c r="AV254" s="174"/>
      <x:c r="AW254" s="174"/>
      <x:c r="AX254" s="174"/>
      <x:c r="AY254" s="174"/>
      <x:c r="AZ254" s="174"/>
      <x:c r="BA254" s="174"/>
      <x:c r="BB254" s="174"/>
      <x:c r="BC254" s="174"/>
      <x:c r="BD254" s="174"/>
      <x:c r="BE254" s="174"/>
      <x:c r="BF254" s="174"/>
      <x:c r="BG254" s="174"/>
      <x:c r="BH254" s="174"/>
      <x:c r="BI254" s="174"/>
      <x:c r="BJ254" s="174"/>
      <x:c r="BK254" s="174"/>
      <x:c r="BL254" s="174"/>
      <x:c r="BM254" s="174"/>
      <x:c r="BN254" s="174"/>
      <x:c r="BO254" s="174"/>
      <x:c r="BP254" s="174"/>
      <x:c r="BQ254" s="174"/>
      <x:c r="BR254" s="174"/>
      <x:c r="BS254" s="174"/>
      <x:c r="BT254" s="174"/>
      <x:c r="BU254" s="174"/>
      <x:c r="BV254" s="174"/>
      <x:c r="BW254" s="174"/>
      <x:c r="BX254" s="174"/>
      <x:c r="BY254" s="174"/>
      <x:c r="BZ254" s="174"/>
      <x:c r="CA254" s="174"/>
      <x:c r="CB254" s="174"/>
      <x:c r="CC254" s="174"/>
      <x:c r="CD254" s="174"/>
      <x:c r="CE254" s="174"/>
      <x:c r="CF254" s="174"/>
      <x:c r="CG254" s="174"/>
      <x:c r="CH254" s="174"/>
      <x:c r="CI254" s="179"/>
      <x:c r="CJ254" s="174"/>
      <x:c r="CK254" s="174"/>
      <x:c r="CL254" s="174"/>
      <x:c r="CM254" s="174"/>
      <x:c r="CN254" s="174"/>
      <x:c r="CO254" s="177"/>
      <x:c r="CP254" s="174"/>
      <x:c r="CQ254" s="174"/>
      <x:c r="CR254" s="174"/>
      <x:c r="CS254" s="174"/>
      <x:c r="CT254" s="174"/>
      <x:c r="CU254" s="176"/>
      <x:c r="CV254" s="176"/>
      <x:c r="CW254" s="176"/>
      <x:c r="CX254" s="176"/>
      <x:c r="CY254" s="176"/>
      <x:c r="CZ254" s="176"/>
      <x:c r="DA254" s="176"/>
      <x:c r="DB254" s="175" t="str">
        <x:f>IF(L254="","",IF(COUNT(CU254:DA254)&lt;7,"",SUM(CU254:DA254)))</x:f>
      </x:c>
      <x:c r="DC254" s="180" t="str">
        <x:f>IF(DB254="","",ROUND(DB254/14*10,1))</x:f>
      </x:c>
      <x:c r="DD254" s="174"/>
      <x:c r="DE254" s="175" t="str">
        <x:f>IF(L254="","",IF(DC254="","Pending",IF(DD254="Yes","CONDITIONAL — safety override",IF(DC254&gt;=8,"HIGH",IF(DC254&gt;=5,"CONDITIONAL","LOW")))))</x:f>
      </x:c>
      <x:c r="DF254" s="174"/>
      <x:c r="DG254" s="174"/>
      <x:c r="DH254" s="174"/>
      <x:c r="DI254" s="174"/>
      <x:c r="DJ254" s="174"/>
      <x:c r="DK254" s="174"/>
      <x:c r="DL254" s="174"/>
      <x:c r="DM254" s="174"/>
      <x:c r="DN254" s="174"/>
      <x:c r="DO254" s="174"/>
      <x:c r="DP254" s="174"/>
      <x:c r="DQ254" s="174"/>
      <x:c r="DR254" s="174"/>
      <x:c r="DS254" s="174"/>
      <x:c r="DT254" s="174"/>
      <x:c r="DU254" s="174"/>
      <x:c r="DV254" s="174"/>
      <x:c r="DW254" s="174"/>
      <x:c r="DX254" s="174"/>
      <x:c r="DY254" s="174"/>
      <x:c r="DZ254" s="174"/>
      <x:c r="EA254" s="174"/>
      <x:c r="EB254" s="175" t="str">
        <x:f>IF(L254="","",IF(AND(F254="Claim-ready",CJ254="Yes",CL254="Yes",DZ254&lt;&gt;""),"Yes","No / Pending"))</x:f>
      </x:c>
      <x:c r="EC254" s="174"/>
      <x:c r="ED254" s="174"/>
      <x:c r="EE254" s="174"/>
      <x:c r="EF254" s="174"/>
      <x:c r="EG254" s="174"/>
      <x:c r="EH254" s="177"/>
      <x:c r="EI254" s="174"/>
      <x:c r="EJ254" s="174"/>
      <x:c r="EK254" s="174"/>
      <x:c r="EL254" s="177"/>
      <x:c r="EM254" s="174"/>
      <x:c r="EN254" s="181" t="str">
        <x:f>IF(L254="","",(IF(N254&lt;&gt;"",1,0)+IF(O254&lt;&gt;"",1,0)+IF(AJ254&lt;&gt;"",1,0)+IF(AU254&lt;&gt;"",1,0)+IF(BE254&lt;&gt;"",1,0)+IF(CF254&lt;&gt;"",1,0)+IF(CJ254="Yes",1,0)+IF(CL254="Yes",1,0)+IF(DE254&lt;&gt;"Pending",1,0)+IF(F254&lt;&gt;"",1,0)+IF(DZ254&lt;&gt;"",1,0)+IF(EI254&lt;&gt;"",1,0))/12)</x:f>
      </x:c>
    </x:row>
    <x:row r="255">
      <x:c r="A255" s="175" t="str">
        <x:f>IF(L255="","","EV-"&amp;TEXT(ROW()-3,"0000"))</x:f>
      </x:c>
      <x:c r="B255" s="174"/>
      <x:c r="C255" s="175" t="str">
        <x:f>IF(L255="","",IF(OR(CM255="Retracted",CN255="Retracted",F255="Not used"),"🔴 Do not use for conclusion",IF(OR(R255="Official / Institutional",I255="Official / contextual"),"🔵 Official / contextual",IF(OR(I255="Definition",I255="Framework",I255="Paradigm shift"),"🟣 Conceptual key source",IF(AND(CJ255="Yes",CL255="Yes",OR(CG255="High",CG255="Moderate"),CH255&lt;&gt;"High",CH255&lt;&gt;"Critical",F255="Claim-ready"),"🟢 Claim-ready","🟡 Caution / context")))))</x:f>
      </x:c>
      <x:c r="D255" s="174"/>
      <x:c r="E255" s="174"/>
      <x:c r="F255" s="174"/>
      <x:c r="G255" s="174"/>
      <x:c r="H255" s="174"/>
      <x:c r="I255" s="174"/>
      <x:c r="J255" s="174"/>
      <x:c r="K255" s="174"/>
      <x:c r="L255" s="174"/>
      <x:c r="M255" s="174"/>
      <x:c r="N255" s="174"/>
      <x:c r="O255" s="176"/>
      <x:c r="P255" s="174"/>
      <x:c r="Q255" s="174"/>
      <x:c r="R255" s="174"/>
      <x:c r="S255" s="174"/>
      <x:c r="T255" s="174"/>
      <x:c r="U255" s="174"/>
      <x:c r="V255" s="174"/>
      <x:c r="W255" s="175" t="str">
        <x:f>IF(V255="","",LOWER(SUBSTITUTE(SUBSTITUTE(SUBSTITUTE(SUBSTITUTE(TRIM(V255),"https://doi.org/",""),"http://doi.org/",""),"https://dx.doi.org/",""),"doi:","")))</x:f>
      </x:c>
      <x:c r="X255" s="174"/>
      <x:c r="Y255" s="174"/>
      <x:c r="Z255" s="174"/>
      <x:c r="AA255" s="174"/>
      <x:c r="AB255" s="174"/>
      <x:c r="AC255" s="174"/>
      <x:c r="AD255" s="177"/>
      <x:c r="AE255" s="177"/>
      <x:c r="AF255" s="174"/>
      <x:c r="AG255" s="174"/>
      <x:c r="AH255" s="174"/>
      <x:c r="AI255" s="174"/>
      <x:c r="AJ255" s="174"/>
      <x:c r="AK255" s="175" t="str">
        <x:f>IF(AJ255="","",IF(OR(LOWER(AJ255)="brazil",LOWER(AJ255)="brasil"),"Yes","No"))</x:f>
      </x:c>
      <x:c r="AL255" s="174"/>
      <x:c r="AM255" s="174"/>
      <x:c r="AN255" s="174"/>
      <x:c r="AO255" s="178"/>
      <x:c r="AP255" s="174"/>
      <x:c r="AQ255" s="174"/>
      <x:c r="AR255" s="174"/>
      <x:c r="AS255" s="174"/>
      <x:c r="AT255" s="174"/>
      <x:c r="AU255" s="174"/>
      <x:c r="AV255" s="174"/>
      <x:c r="AW255" s="174"/>
      <x:c r="AX255" s="174"/>
      <x:c r="AY255" s="174"/>
      <x:c r="AZ255" s="174"/>
      <x:c r="BA255" s="174"/>
      <x:c r="BB255" s="174"/>
      <x:c r="BC255" s="174"/>
      <x:c r="BD255" s="174"/>
      <x:c r="BE255" s="174"/>
      <x:c r="BF255" s="174"/>
      <x:c r="BG255" s="174"/>
      <x:c r="BH255" s="174"/>
      <x:c r="BI255" s="174"/>
      <x:c r="BJ255" s="174"/>
      <x:c r="BK255" s="174"/>
      <x:c r="BL255" s="174"/>
      <x:c r="BM255" s="174"/>
      <x:c r="BN255" s="174"/>
      <x:c r="BO255" s="174"/>
      <x:c r="BP255" s="174"/>
      <x:c r="BQ255" s="174"/>
      <x:c r="BR255" s="174"/>
      <x:c r="BS255" s="174"/>
      <x:c r="BT255" s="174"/>
      <x:c r="BU255" s="174"/>
      <x:c r="BV255" s="174"/>
      <x:c r="BW255" s="174"/>
      <x:c r="BX255" s="174"/>
      <x:c r="BY255" s="174"/>
      <x:c r="BZ255" s="174"/>
      <x:c r="CA255" s="174"/>
      <x:c r="CB255" s="174"/>
      <x:c r="CC255" s="174"/>
      <x:c r="CD255" s="174"/>
      <x:c r="CE255" s="174"/>
      <x:c r="CF255" s="174"/>
      <x:c r="CG255" s="174"/>
      <x:c r="CH255" s="174"/>
      <x:c r="CI255" s="179"/>
      <x:c r="CJ255" s="174"/>
      <x:c r="CK255" s="174"/>
      <x:c r="CL255" s="174"/>
      <x:c r="CM255" s="174"/>
      <x:c r="CN255" s="174"/>
      <x:c r="CO255" s="177"/>
      <x:c r="CP255" s="174"/>
      <x:c r="CQ255" s="174"/>
      <x:c r="CR255" s="174"/>
      <x:c r="CS255" s="174"/>
      <x:c r="CT255" s="174"/>
      <x:c r="CU255" s="176"/>
      <x:c r="CV255" s="176"/>
      <x:c r="CW255" s="176"/>
      <x:c r="CX255" s="176"/>
      <x:c r="CY255" s="176"/>
      <x:c r="CZ255" s="176"/>
      <x:c r="DA255" s="176"/>
      <x:c r="DB255" s="175" t="str">
        <x:f>IF(L255="","",IF(COUNT(CU255:DA255)&lt;7,"",SUM(CU255:DA255)))</x:f>
      </x:c>
      <x:c r="DC255" s="180" t="str">
        <x:f>IF(DB255="","",ROUND(DB255/14*10,1))</x:f>
      </x:c>
      <x:c r="DD255" s="174"/>
      <x:c r="DE255" s="175" t="str">
        <x:f>IF(L255="","",IF(DC255="","Pending",IF(DD255="Yes","CONDITIONAL — safety override",IF(DC255&gt;=8,"HIGH",IF(DC255&gt;=5,"CONDITIONAL","LOW")))))</x:f>
      </x:c>
      <x:c r="DF255" s="174"/>
      <x:c r="DG255" s="174"/>
      <x:c r="DH255" s="174"/>
      <x:c r="DI255" s="174"/>
      <x:c r="DJ255" s="174"/>
      <x:c r="DK255" s="174"/>
      <x:c r="DL255" s="174"/>
      <x:c r="DM255" s="174"/>
      <x:c r="DN255" s="174"/>
      <x:c r="DO255" s="174"/>
      <x:c r="DP255" s="174"/>
      <x:c r="DQ255" s="174"/>
      <x:c r="DR255" s="174"/>
      <x:c r="DS255" s="174"/>
      <x:c r="DT255" s="174"/>
      <x:c r="DU255" s="174"/>
      <x:c r="DV255" s="174"/>
      <x:c r="DW255" s="174"/>
      <x:c r="DX255" s="174"/>
      <x:c r="DY255" s="174"/>
      <x:c r="DZ255" s="174"/>
      <x:c r="EA255" s="174"/>
      <x:c r="EB255" s="175" t="str">
        <x:f>IF(L255="","",IF(AND(F255="Claim-ready",CJ255="Yes",CL255="Yes",DZ255&lt;&gt;""),"Yes","No / Pending"))</x:f>
      </x:c>
      <x:c r="EC255" s="174"/>
      <x:c r="ED255" s="174"/>
      <x:c r="EE255" s="174"/>
      <x:c r="EF255" s="174"/>
      <x:c r="EG255" s="174"/>
      <x:c r="EH255" s="177"/>
      <x:c r="EI255" s="174"/>
      <x:c r="EJ255" s="174"/>
      <x:c r="EK255" s="174"/>
      <x:c r="EL255" s="177"/>
      <x:c r="EM255" s="174"/>
      <x:c r="EN255" s="181" t="str">
        <x:f>IF(L255="","",(IF(N255&lt;&gt;"",1,0)+IF(O255&lt;&gt;"",1,0)+IF(AJ255&lt;&gt;"",1,0)+IF(AU255&lt;&gt;"",1,0)+IF(BE255&lt;&gt;"",1,0)+IF(CF255&lt;&gt;"",1,0)+IF(CJ255="Yes",1,0)+IF(CL255="Yes",1,0)+IF(DE255&lt;&gt;"Pending",1,0)+IF(F255&lt;&gt;"",1,0)+IF(DZ255&lt;&gt;"",1,0)+IF(EI255&lt;&gt;"",1,0))/12)</x:f>
      </x:c>
    </x:row>
    <x:row r="256">
      <x:c r="A256" s="175" t="str">
        <x:f>IF(L256="","","EV-"&amp;TEXT(ROW()-3,"0000"))</x:f>
      </x:c>
      <x:c r="B256" s="174"/>
      <x:c r="C256" s="175" t="str">
        <x:f>IF(L256="","",IF(OR(CM256="Retracted",CN256="Retracted",F256="Not used"),"🔴 Do not use for conclusion",IF(OR(R256="Official / Institutional",I256="Official / contextual"),"🔵 Official / contextual",IF(OR(I256="Definition",I256="Framework",I256="Paradigm shift"),"🟣 Conceptual key source",IF(AND(CJ256="Yes",CL256="Yes",OR(CG256="High",CG256="Moderate"),CH256&lt;&gt;"High",CH256&lt;&gt;"Critical",F256="Claim-ready"),"🟢 Claim-ready","🟡 Caution / context")))))</x:f>
      </x:c>
      <x:c r="D256" s="174"/>
      <x:c r="E256" s="174"/>
      <x:c r="F256" s="174"/>
      <x:c r="G256" s="174"/>
      <x:c r="H256" s="174"/>
      <x:c r="I256" s="174"/>
      <x:c r="J256" s="174"/>
      <x:c r="K256" s="174"/>
      <x:c r="L256" s="174"/>
      <x:c r="M256" s="174"/>
      <x:c r="N256" s="174"/>
      <x:c r="O256" s="176"/>
      <x:c r="P256" s="174"/>
      <x:c r="Q256" s="174"/>
      <x:c r="R256" s="174"/>
      <x:c r="S256" s="174"/>
      <x:c r="T256" s="174"/>
      <x:c r="U256" s="174"/>
      <x:c r="V256" s="174"/>
      <x:c r="W256" s="175" t="str">
        <x:f>IF(V256="","",LOWER(SUBSTITUTE(SUBSTITUTE(SUBSTITUTE(SUBSTITUTE(TRIM(V256),"https://doi.org/",""),"http://doi.org/",""),"https://dx.doi.org/",""),"doi:","")))</x:f>
      </x:c>
      <x:c r="X256" s="174"/>
      <x:c r="Y256" s="174"/>
      <x:c r="Z256" s="174"/>
      <x:c r="AA256" s="174"/>
      <x:c r="AB256" s="174"/>
      <x:c r="AC256" s="174"/>
      <x:c r="AD256" s="177"/>
      <x:c r="AE256" s="177"/>
      <x:c r="AF256" s="174"/>
      <x:c r="AG256" s="174"/>
      <x:c r="AH256" s="174"/>
      <x:c r="AI256" s="174"/>
      <x:c r="AJ256" s="174"/>
      <x:c r="AK256" s="175" t="str">
        <x:f>IF(AJ256="","",IF(OR(LOWER(AJ256)="brazil",LOWER(AJ256)="brasil"),"Yes","No"))</x:f>
      </x:c>
      <x:c r="AL256" s="174"/>
      <x:c r="AM256" s="174"/>
      <x:c r="AN256" s="174"/>
      <x:c r="AO256" s="178"/>
      <x:c r="AP256" s="174"/>
      <x:c r="AQ256" s="174"/>
      <x:c r="AR256" s="174"/>
      <x:c r="AS256" s="174"/>
      <x:c r="AT256" s="174"/>
      <x:c r="AU256" s="174"/>
      <x:c r="AV256" s="174"/>
      <x:c r="AW256" s="174"/>
      <x:c r="AX256" s="174"/>
      <x:c r="AY256" s="174"/>
      <x:c r="AZ256" s="174"/>
      <x:c r="BA256" s="174"/>
      <x:c r="BB256" s="174"/>
      <x:c r="BC256" s="174"/>
      <x:c r="BD256" s="174"/>
      <x:c r="BE256" s="174"/>
      <x:c r="BF256" s="174"/>
      <x:c r="BG256" s="174"/>
      <x:c r="BH256" s="174"/>
      <x:c r="BI256" s="174"/>
      <x:c r="BJ256" s="174"/>
      <x:c r="BK256" s="174"/>
      <x:c r="BL256" s="174"/>
      <x:c r="BM256" s="174"/>
      <x:c r="BN256" s="174"/>
      <x:c r="BO256" s="174"/>
      <x:c r="BP256" s="174"/>
      <x:c r="BQ256" s="174"/>
      <x:c r="BR256" s="174"/>
      <x:c r="BS256" s="174"/>
      <x:c r="BT256" s="174"/>
      <x:c r="BU256" s="174"/>
      <x:c r="BV256" s="174"/>
      <x:c r="BW256" s="174"/>
      <x:c r="BX256" s="174"/>
      <x:c r="BY256" s="174"/>
      <x:c r="BZ256" s="174"/>
      <x:c r="CA256" s="174"/>
      <x:c r="CB256" s="174"/>
      <x:c r="CC256" s="174"/>
      <x:c r="CD256" s="174"/>
      <x:c r="CE256" s="174"/>
      <x:c r="CF256" s="174"/>
      <x:c r="CG256" s="174"/>
      <x:c r="CH256" s="174"/>
      <x:c r="CI256" s="179"/>
      <x:c r="CJ256" s="174"/>
      <x:c r="CK256" s="174"/>
      <x:c r="CL256" s="174"/>
      <x:c r="CM256" s="174"/>
      <x:c r="CN256" s="174"/>
      <x:c r="CO256" s="177"/>
      <x:c r="CP256" s="174"/>
      <x:c r="CQ256" s="174"/>
      <x:c r="CR256" s="174"/>
      <x:c r="CS256" s="174"/>
      <x:c r="CT256" s="174"/>
      <x:c r="CU256" s="176"/>
      <x:c r="CV256" s="176"/>
      <x:c r="CW256" s="176"/>
      <x:c r="CX256" s="176"/>
      <x:c r="CY256" s="176"/>
      <x:c r="CZ256" s="176"/>
      <x:c r="DA256" s="176"/>
      <x:c r="DB256" s="175" t="str">
        <x:f>IF(L256="","",IF(COUNT(CU256:DA256)&lt;7,"",SUM(CU256:DA256)))</x:f>
      </x:c>
      <x:c r="DC256" s="180" t="str">
        <x:f>IF(DB256="","",ROUND(DB256/14*10,1))</x:f>
      </x:c>
      <x:c r="DD256" s="174"/>
      <x:c r="DE256" s="175" t="str">
        <x:f>IF(L256="","",IF(DC256="","Pending",IF(DD256="Yes","CONDITIONAL — safety override",IF(DC256&gt;=8,"HIGH",IF(DC256&gt;=5,"CONDITIONAL","LOW")))))</x:f>
      </x:c>
      <x:c r="DF256" s="174"/>
      <x:c r="DG256" s="174"/>
      <x:c r="DH256" s="174"/>
      <x:c r="DI256" s="174"/>
      <x:c r="DJ256" s="174"/>
      <x:c r="DK256" s="174"/>
      <x:c r="DL256" s="174"/>
      <x:c r="DM256" s="174"/>
      <x:c r="DN256" s="174"/>
      <x:c r="DO256" s="174"/>
      <x:c r="DP256" s="174"/>
      <x:c r="DQ256" s="174"/>
      <x:c r="DR256" s="174"/>
      <x:c r="DS256" s="174"/>
      <x:c r="DT256" s="174"/>
      <x:c r="DU256" s="174"/>
      <x:c r="DV256" s="174"/>
      <x:c r="DW256" s="174"/>
      <x:c r="DX256" s="174"/>
      <x:c r="DY256" s="174"/>
      <x:c r="DZ256" s="174"/>
      <x:c r="EA256" s="174"/>
      <x:c r="EB256" s="175" t="str">
        <x:f>IF(L256="","",IF(AND(F256="Claim-ready",CJ256="Yes",CL256="Yes",DZ256&lt;&gt;""),"Yes","No / Pending"))</x:f>
      </x:c>
      <x:c r="EC256" s="174"/>
      <x:c r="ED256" s="174"/>
      <x:c r="EE256" s="174"/>
      <x:c r="EF256" s="174"/>
      <x:c r="EG256" s="174"/>
      <x:c r="EH256" s="177"/>
      <x:c r="EI256" s="174"/>
      <x:c r="EJ256" s="174"/>
      <x:c r="EK256" s="174"/>
      <x:c r="EL256" s="177"/>
      <x:c r="EM256" s="174"/>
      <x:c r="EN256" s="181" t="str">
        <x:f>IF(L256="","",(IF(N256&lt;&gt;"",1,0)+IF(O256&lt;&gt;"",1,0)+IF(AJ256&lt;&gt;"",1,0)+IF(AU256&lt;&gt;"",1,0)+IF(BE256&lt;&gt;"",1,0)+IF(CF256&lt;&gt;"",1,0)+IF(CJ256="Yes",1,0)+IF(CL256="Yes",1,0)+IF(DE256&lt;&gt;"Pending",1,0)+IF(F256&lt;&gt;"",1,0)+IF(DZ256&lt;&gt;"",1,0)+IF(EI256&lt;&gt;"",1,0))/12)</x:f>
      </x:c>
    </x:row>
    <x:row r="257">
      <x:c r="A257" s="175" t="str">
        <x:f>IF(L257="","","EV-"&amp;TEXT(ROW()-3,"0000"))</x:f>
      </x:c>
      <x:c r="B257" s="174"/>
      <x:c r="C257" s="175" t="str">
        <x:f>IF(L257="","",IF(OR(CM257="Retracted",CN257="Retracted",F257="Not used"),"🔴 Do not use for conclusion",IF(OR(R257="Official / Institutional",I257="Official / contextual"),"🔵 Official / contextual",IF(OR(I257="Definition",I257="Framework",I257="Paradigm shift"),"🟣 Conceptual key source",IF(AND(CJ257="Yes",CL257="Yes",OR(CG257="High",CG257="Moderate"),CH257&lt;&gt;"High",CH257&lt;&gt;"Critical",F257="Claim-ready"),"🟢 Claim-ready","🟡 Caution / context")))))</x:f>
      </x:c>
      <x:c r="D257" s="174"/>
      <x:c r="E257" s="174"/>
      <x:c r="F257" s="174"/>
      <x:c r="G257" s="174"/>
      <x:c r="H257" s="174"/>
      <x:c r="I257" s="174"/>
      <x:c r="J257" s="174"/>
      <x:c r="K257" s="174"/>
      <x:c r="L257" s="174"/>
      <x:c r="M257" s="174"/>
      <x:c r="N257" s="174"/>
      <x:c r="O257" s="176"/>
      <x:c r="P257" s="174"/>
      <x:c r="Q257" s="174"/>
      <x:c r="R257" s="174"/>
      <x:c r="S257" s="174"/>
      <x:c r="T257" s="174"/>
      <x:c r="U257" s="174"/>
      <x:c r="V257" s="174"/>
      <x:c r="W257" s="175" t="str">
        <x:f>IF(V257="","",LOWER(SUBSTITUTE(SUBSTITUTE(SUBSTITUTE(SUBSTITUTE(TRIM(V257),"https://doi.org/",""),"http://doi.org/",""),"https://dx.doi.org/",""),"doi:","")))</x:f>
      </x:c>
      <x:c r="X257" s="174"/>
      <x:c r="Y257" s="174"/>
      <x:c r="Z257" s="174"/>
      <x:c r="AA257" s="174"/>
      <x:c r="AB257" s="174"/>
      <x:c r="AC257" s="174"/>
      <x:c r="AD257" s="177"/>
      <x:c r="AE257" s="177"/>
      <x:c r="AF257" s="174"/>
      <x:c r="AG257" s="174"/>
      <x:c r="AH257" s="174"/>
      <x:c r="AI257" s="174"/>
      <x:c r="AJ257" s="174"/>
      <x:c r="AK257" s="175" t="str">
        <x:f>IF(AJ257="","",IF(OR(LOWER(AJ257)="brazil",LOWER(AJ257)="brasil"),"Yes","No"))</x:f>
      </x:c>
      <x:c r="AL257" s="174"/>
      <x:c r="AM257" s="174"/>
      <x:c r="AN257" s="174"/>
      <x:c r="AO257" s="178"/>
      <x:c r="AP257" s="174"/>
      <x:c r="AQ257" s="174"/>
      <x:c r="AR257" s="174"/>
      <x:c r="AS257" s="174"/>
      <x:c r="AT257" s="174"/>
      <x:c r="AU257" s="174"/>
      <x:c r="AV257" s="174"/>
      <x:c r="AW257" s="174"/>
      <x:c r="AX257" s="174"/>
      <x:c r="AY257" s="174"/>
      <x:c r="AZ257" s="174"/>
      <x:c r="BA257" s="174"/>
      <x:c r="BB257" s="174"/>
      <x:c r="BC257" s="174"/>
      <x:c r="BD257" s="174"/>
      <x:c r="BE257" s="174"/>
      <x:c r="BF257" s="174"/>
      <x:c r="BG257" s="174"/>
      <x:c r="BH257" s="174"/>
      <x:c r="BI257" s="174"/>
      <x:c r="BJ257" s="174"/>
      <x:c r="BK257" s="174"/>
      <x:c r="BL257" s="174"/>
      <x:c r="BM257" s="174"/>
      <x:c r="BN257" s="174"/>
      <x:c r="BO257" s="174"/>
      <x:c r="BP257" s="174"/>
      <x:c r="BQ257" s="174"/>
      <x:c r="BR257" s="174"/>
      <x:c r="BS257" s="174"/>
      <x:c r="BT257" s="174"/>
      <x:c r="BU257" s="174"/>
      <x:c r="BV257" s="174"/>
      <x:c r="BW257" s="174"/>
      <x:c r="BX257" s="174"/>
      <x:c r="BY257" s="174"/>
      <x:c r="BZ257" s="174"/>
      <x:c r="CA257" s="174"/>
      <x:c r="CB257" s="174"/>
      <x:c r="CC257" s="174"/>
      <x:c r="CD257" s="174"/>
      <x:c r="CE257" s="174"/>
      <x:c r="CF257" s="174"/>
      <x:c r="CG257" s="174"/>
      <x:c r="CH257" s="174"/>
      <x:c r="CI257" s="179"/>
      <x:c r="CJ257" s="174"/>
      <x:c r="CK257" s="174"/>
      <x:c r="CL257" s="174"/>
      <x:c r="CM257" s="174"/>
      <x:c r="CN257" s="174"/>
      <x:c r="CO257" s="177"/>
      <x:c r="CP257" s="174"/>
      <x:c r="CQ257" s="174"/>
      <x:c r="CR257" s="174"/>
      <x:c r="CS257" s="174"/>
      <x:c r="CT257" s="174"/>
      <x:c r="CU257" s="176"/>
      <x:c r="CV257" s="176"/>
      <x:c r="CW257" s="176"/>
      <x:c r="CX257" s="176"/>
      <x:c r="CY257" s="176"/>
      <x:c r="CZ257" s="176"/>
      <x:c r="DA257" s="176"/>
      <x:c r="DB257" s="175" t="str">
        <x:f>IF(L257="","",IF(COUNT(CU257:DA257)&lt;7,"",SUM(CU257:DA257)))</x:f>
      </x:c>
      <x:c r="DC257" s="180" t="str">
        <x:f>IF(DB257="","",ROUND(DB257/14*10,1))</x:f>
      </x:c>
      <x:c r="DD257" s="174"/>
      <x:c r="DE257" s="175" t="str">
        <x:f>IF(L257="","",IF(DC257="","Pending",IF(DD257="Yes","CONDITIONAL — safety override",IF(DC257&gt;=8,"HIGH",IF(DC257&gt;=5,"CONDITIONAL","LOW")))))</x:f>
      </x:c>
      <x:c r="DF257" s="174"/>
      <x:c r="DG257" s="174"/>
      <x:c r="DH257" s="174"/>
      <x:c r="DI257" s="174"/>
      <x:c r="DJ257" s="174"/>
      <x:c r="DK257" s="174"/>
      <x:c r="DL257" s="174"/>
      <x:c r="DM257" s="174"/>
      <x:c r="DN257" s="174"/>
      <x:c r="DO257" s="174"/>
      <x:c r="DP257" s="174"/>
      <x:c r="DQ257" s="174"/>
      <x:c r="DR257" s="174"/>
      <x:c r="DS257" s="174"/>
      <x:c r="DT257" s="174"/>
      <x:c r="DU257" s="174"/>
      <x:c r="DV257" s="174"/>
      <x:c r="DW257" s="174"/>
      <x:c r="DX257" s="174"/>
      <x:c r="DY257" s="174"/>
      <x:c r="DZ257" s="174"/>
      <x:c r="EA257" s="174"/>
      <x:c r="EB257" s="175" t="str">
        <x:f>IF(L257="","",IF(AND(F257="Claim-ready",CJ257="Yes",CL257="Yes",DZ257&lt;&gt;""),"Yes","No / Pending"))</x:f>
      </x:c>
      <x:c r="EC257" s="174"/>
      <x:c r="ED257" s="174"/>
      <x:c r="EE257" s="174"/>
      <x:c r="EF257" s="174"/>
      <x:c r="EG257" s="174"/>
      <x:c r="EH257" s="177"/>
      <x:c r="EI257" s="174"/>
      <x:c r="EJ257" s="174"/>
      <x:c r="EK257" s="174"/>
      <x:c r="EL257" s="177"/>
      <x:c r="EM257" s="174"/>
      <x:c r="EN257" s="181" t="str">
        <x:f>IF(L257="","",(IF(N257&lt;&gt;"",1,0)+IF(O257&lt;&gt;"",1,0)+IF(AJ257&lt;&gt;"",1,0)+IF(AU257&lt;&gt;"",1,0)+IF(BE257&lt;&gt;"",1,0)+IF(CF257&lt;&gt;"",1,0)+IF(CJ257="Yes",1,0)+IF(CL257="Yes",1,0)+IF(DE257&lt;&gt;"Pending",1,0)+IF(F257&lt;&gt;"",1,0)+IF(DZ257&lt;&gt;"",1,0)+IF(EI257&lt;&gt;"",1,0))/12)</x:f>
      </x:c>
    </x:row>
    <x:row r="258">
      <x:c r="A258" s="175" t="str">
        <x:f>IF(L258="","","EV-"&amp;TEXT(ROW()-3,"0000"))</x:f>
      </x:c>
      <x:c r="B258" s="174"/>
      <x:c r="C258" s="175" t="str">
        <x:f>IF(L258="","",IF(OR(CM258="Retracted",CN258="Retracted",F258="Not used"),"🔴 Do not use for conclusion",IF(OR(R258="Official / Institutional",I258="Official / contextual"),"🔵 Official / contextual",IF(OR(I258="Definition",I258="Framework",I258="Paradigm shift"),"🟣 Conceptual key source",IF(AND(CJ258="Yes",CL258="Yes",OR(CG258="High",CG258="Moderate"),CH258&lt;&gt;"High",CH258&lt;&gt;"Critical",F258="Claim-ready"),"🟢 Claim-ready","🟡 Caution / context")))))</x:f>
      </x:c>
      <x:c r="D258" s="174"/>
      <x:c r="E258" s="174"/>
      <x:c r="F258" s="174"/>
      <x:c r="G258" s="174"/>
      <x:c r="H258" s="174"/>
      <x:c r="I258" s="174"/>
      <x:c r="J258" s="174"/>
      <x:c r="K258" s="174"/>
      <x:c r="L258" s="174"/>
      <x:c r="M258" s="174"/>
      <x:c r="N258" s="174"/>
      <x:c r="O258" s="176"/>
      <x:c r="P258" s="174"/>
      <x:c r="Q258" s="174"/>
      <x:c r="R258" s="174"/>
      <x:c r="S258" s="174"/>
      <x:c r="T258" s="174"/>
      <x:c r="U258" s="174"/>
      <x:c r="V258" s="174"/>
      <x:c r="W258" s="175" t="str">
        <x:f>IF(V258="","",LOWER(SUBSTITUTE(SUBSTITUTE(SUBSTITUTE(SUBSTITUTE(TRIM(V258),"https://doi.org/",""),"http://doi.org/",""),"https://dx.doi.org/",""),"doi:","")))</x:f>
      </x:c>
      <x:c r="X258" s="174"/>
      <x:c r="Y258" s="174"/>
      <x:c r="Z258" s="174"/>
      <x:c r="AA258" s="174"/>
      <x:c r="AB258" s="174"/>
      <x:c r="AC258" s="174"/>
      <x:c r="AD258" s="177"/>
      <x:c r="AE258" s="177"/>
      <x:c r="AF258" s="174"/>
      <x:c r="AG258" s="174"/>
      <x:c r="AH258" s="174"/>
      <x:c r="AI258" s="174"/>
      <x:c r="AJ258" s="174"/>
      <x:c r="AK258" s="175" t="str">
        <x:f>IF(AJ258="","",IF(OR(LOWER(AJ258)="brazil",LOWER(AJ258)="brasil"),"Yes","No"))</x:f>
      </x:c>
      <x:c r="AL258" s="174"/>
      <x:c r="AM258" s="174"/>
      <x:c r="AN258" s="174"/>
      <x:c r="AO258" s="178"/>
      <x:c r="AP258" s="174"/>
      <x:c r="AQ258" s="174"/>
      <x:c r="AR258" s="174"/>
      <x:c r="AS258" s="174"/>
      <x:c r="AT258" s="174"/>
      <x:c r="AU258" s="174"/>
      <x:c r="AV258" s="174"/>
      <x:c r="AW258" s="174"/>
      <x:c r="AX258" s="174"/>
      <x:c r="AY258" s="174"/>
      <x:c r="AZ258" s="174"/>
      <x:c r="BA258" s="174"/>
      <x:c r="BB258" s="174"/>
      <x:c r="BC258" s="174"/>
      <x:c r="BD258" s="174"/>
      <x:c r="BE258" s="174"/>
      <x:c r="BF258" s="174"/>
      <x:c r="BG258" s="174"/>
      <x:c r="BH258" s="174"/>
      <x:c r="BI258" s="174"/>
      <x:c r="BJ258" s="174"/>
      <x:c r="BK258" s="174"/>
      <x:c r="BL258" s="174"/>
      <x:c r="BM258" s="174"/>
      <x:c r="BN258" s="174"/>
      <x:c r="BO258" s="174"/>
      <x:c r="BP258" s="174"/>
      <x:c r="BQ258" s="174"/>
      <x:c r="BR258" s="174"/>
      <x:c r="BS258" s="174"/>
      <x:c r="BT258" s="174"/>
      <x:c r="BU258" s="174"/>
      <x:c r="BV258" s="174"/>
      <x:c r="BW258" s="174"/>
      <x:c r="BX258" s="174"/>
      <x:c r="BY258" s="174"/>
      <x:c r="BZ258" s="174"/>
      <x:c r="CA258" s="174"/>
      <x:c r="CB258" s="174"/>
      <x:c r="CC258" s="174"/>
      <x:c r="CD258" s="174"/>
      <x:c r="CE258" s="174"/>
      <x:c r="CF258" s="174"/>
      <x:c r="CG258" s="174"/>
      <x:c r="CH258" s="174"/>
      <x:c r="CI258" s="179"/>
      <x:c r="CJ258" s="174"/>
      <x:c r="CK258" s="174"/>
      <x:c r="CL258" s="174"/>
      <x:c r="CM258" s="174"/>
      <x:c r="CN258" s="174"/>
      <x:c r="CO258" s="177"/>
      <x:c r="CP258" s="174"/>
      <x:c r="CQ258" s="174"/>
      <x:c r="CR258" s="174"/>
      <x:c r="CS258" s="174"/>
      <x:c r="CT258" s="174"/>
      <x:c r="CU258" s="176"/>
      <x:c r="CV258" s="176"/>
      <x:c r="CW258" s="176"/>
      <x:c r="CX258" s="176"/>
      <x:c r="CY258" s="176"/>
      <x:c r="CZ258" s="176"/>
      <x:c r="DA258" s="176"/>
      <x:c r="DB258" s="175" t="str">
        <x:f>IF(L258="","",IF(COUNT(CU258:DA258)&lt;7,"",SUM(CU258:DA258)))</x:f>
      </x:c>
      <x:c r="DC258" s="180" t="str">
        <x:f>IF(DB258="","",ROUND(DB258/14*10,1))</x:f>
      </x:c>
      <x:c r="DD258" s="174"/>
      <x:c r="DE258" s="175" t="str">
        <x:f>IF(L258="","",IF(DC258="","Pending",IF(DD258="Yes","CONDITIONAL — safety override",IF(DC258&gt;=8,"HIGH",IF(DC258&gt;=5,"CONDITIONAL","LOW")))))</x:f>
      </x:c>
      <x:c r="DF258" s="174"/>
      <x:c r="DG258" s="174"/>
      <x:c r="DH258" s="174"/>
      <x:c r="DI258" s="174"/>
      <x:c r="DJ258" s="174"/>
      <x:c r="DK258" s="174"/>
      <x:c r="DL258" s="174"/>
      <x:c r="DM258" s="174"/>
      <x:c r="DN258" s="174"/>
      <x:c r="DO258" s="174"/>
      <x:c r="DP258" s="174"/>
      <x:c r="DQ258" s="174"/>
      <x:c r="DR258" s="174"/>
      <x:c r="DS258" s="174"/>
      <x:c r="DT258" s="174"/>
      <x:c r="DU258" s="174"/>
      <x:c r="DV258" s="174"/>
      <x:c r="DW258" s="174"/>
      <x:c r="DX258" s="174"/>
      <x:c r="DY258" s="174"/>
      <x:c r="DZ258" s="174"/>
      <x:c r="EA258" s="174"/>
      <x:c r="EB258" s="175" t="str">
        <x:f>IF(L258="","",IF(AND(F258="Claim-ready",CJ258="Yes",CL258="Yes",DZ258&lt;&gt;""),"Yes","No / Pending"))</x:f>
      </x:c>
      <x:c r="EC258" s="174"/>
      <x:c r="ED258" s="174"/>
      <x:c r="EE258" s="174"/>
      <x:c r="EF258" s="174"/>
      <x:c r="EG258" s="174"/>
      <x:c r="EH258" s="177"/>
      <x:c r="EI258" s="174"/>
      <x:c r="EJ258" s="174"/>
      <x:c r="EK258" s="174"/>
      <x:c r="EL258" s="177"/>
      <x:c r="EM258" s="174"/>
      <x:c r="EN258" s="181" t="str">
        <x:f>IF(L258="","",(IF(N258&lt;&gt;"",1,0)+IF(O258&lt;&gt;"",1,0)+IF(AJ258&lt;&gt;"",1,0)+IF(AU258&lt;&gt;"",1,0)+IF(BE258&lt;&gt;"",1,0)+IF(CF258&lt;&gt;"",1,0)+IF(CJ258="Yes",1,0)+IF(CL258="Yes",1,0)+IF(DE258&lt;&gt;"Pending",1,0)+IF(F258&lt;&gt;"",1,0)+IF(DZ258&lt;&gt;"",1,0)+IF(EI258&lt;&gt;"",1,0))/12)</x:f>
      </x:c>
    </x:row>
    <x:row r="259">
      <x:c r="A259" s="175" t="str">
        <x:f>IF(L259="","","EV-"&amp;TEXT(ROW()-3,"0000"))</x:f>
      </x:c>
      <x:c r="B259" s="174"/>
      <x:c r="C259" s="175" t="str">
        <x:f>IF(L259="","",IF(OR(CM259="Retracted",CN259="Retracted",F259="Not used"),"🔴 Do not use for conclusion",IF(OR(R259="Official / Institutional",I259="Official / contextual"),"🔵 Official / contextual",IF(OR(I259="Definition",I259="Framework",I259="Paradigm shift"),"🟣 Conceptual key source",IF(AND(CJ259="Yes",CL259="Yes",OR(CG259="High",CG259="Moderate"),CH259&lt;&gt;"High",CH259&lt;&gt;"Critical",F259="Claim-ready"),"🟢 Claim-ready","🟡 Caution / context")))))</x:f>
      </x:c>
      <x:c r="D259" s="174"/>
      <x:c r="E259" s="174"/>
      <x:c r="F259" s="174"/>
      <x:c r="G259" s="174"/>
      <x:c r="H259" s="174"/>
      <x:c r="I259" s="174"/>
      <x:c r="J259" s="174"/>
      <x:c r="K259" s="174"/>
      <x:c r="L259" s="174"/>
      <x:c r="M259" s="174"/>
      <x:c r="N259" s="174"/>
      <x:c r="O259" s="176"/>
      <x:c r="P259" s="174"/>
      <x:c r="Q259" s="174"/>
      <x:c r="R259" s="174"/>
      <x:c r="S259" s="174"/>
      <x:c r="T259" s="174"/>
      <x:c r="U259" s="174"/>
      <x:c r="V259" s="174"/>
      <x:c r="W259" s="175" t="str">
        <x:f>IF(V259="","",LOWER(SUBSTITUTE(SUBSTITUTE(SUBSTITUTE(SUBSTITUTE(TRIM(V259),"https://doi.org/",""),"http://doi.org/",""),"https://dx.doi.org/",""),"doi:","")))</x:f>
      </x:c>
      <x:c r="X259" s="174"/>
      <x:c r="Y259" s="174"/>
      <x:c r="Z259" s="174"/>
      <x:c r="AA259" s="174"/>
      <x:c r="AB259" s="174"/>
      <x:c r="AC259" s="174"/>
      <x:c r="AD259" s="177"/>
      <x:c r="AE259" s="177"/>
      <x:c r="AF259" s="174"/>
      <x:c r="AG259" s="174"/>
      <x:c r="AH259" s="174"/>
      <x:c r="AI259" s="174"/>
      <x:c r="AJ259" s="174"/>
      <x:c r="AK259" s="175" t="str">
        <x:f>IF(AJ259="","",IF(OR(LOWER(AJ259)="brazil",LOWER(AJ259)="brasil"),"Yes","No"))</x:f>
      </x:c>
      <x:c r="AL259" s="174"/>
      <x:c r="AM259" s="174"/>
      <x:c r="AN259" s="174"/>
      <x:c r="AO259" s="178"/>
      <x:c r="AP259" s="174"/>
      <x:c r="AQ259" s="174"/>
      <x:c r="AR259" s="174"/>
      <x:c r="AS259" s="174"/>
      <x:c r="AT259" s="174"/>
      <x:c r="AU259" s="174"/>
      <x:c r="AV259" s="174"/>
      <x:c r="AW259" s="174"/>
      <x:c r="AX259" s="174"/>
      <x:c r="AY259" s="174"/>
      <x:c r="AZ259" s="174"/>
      <x:c r="BA259" s="174"/>
      <x:c r="BB259" s="174"/>
      <x:c r="BC259" s="174"/>
      <x:c r="BD259" s="174"/>
      <x:c r="BE259" s="174"/>
      <x:c r="BF259" s="174"/>
      <x:c r="BG259" s="174"/>
      <x:c r="BH259" s="174"/>
      <x:c r="BI259" s="174"/>
      <x:c r="BJ259" s="174"/>
      <x:c r="BK259" s="174"/>
      <x:c r="BL259" s="174"/>
      <x:c r="BM259" s="174"/>
      <x:c r="BN259" s="174"/>
      <x:c r="BO259" s="174"/>
      <x:c r="BP259" s="174"/>
      <x:c r="BQ259" s="174"/>
      <x:c r="BR259" s="174"/>
      <x:c r="BS259" s="174"/>
      <x:c r="BT259" s="174"/>
      <x:c r="BU259" s="174"/>
      <x:c r="BV259" s="174"/>
      <x:c r="BW259" s="174"/>
      <x:c r="BX259" s="174"/>
      <x:c r="BY259" s="174"/>
      <x:c r="BZ259" s="174"/>
      <x:c r="CA259" s="174"/>
      <x:c r="CB259" s="174"/>
      <x:c r="CC259" s="174"/>
      <x:c r="CD259" s="174"/>
      <x:c r="CE259" s="174"/>
      <x:c r="CF259" s="174"/>
      <x:c r="CG259" s="174"/>
      <x:c r="CH259" s="174"/>
      <x:c r="CI259" s="179"/>
      <x:c r="CJ259" s="174"/>
      <x:c r="CK259" s="174"/>
      <x:c r="CL259" s="174"/>
      <x:c r="CM259" s="174"/>
      <x:c r="CN259" s="174"/>
      <x:c r="CO259" s="177"/>
      <x:c r="CP259" s="174"/>
      <x:c r="CQ259" s="174"/>
      <x:c r="CR259" s="174"/>
      <x:c r="CS259" s="174"/>
      <x:c r="CT259" s="174"/>
      <x:c r="CU259" s="176"/>
      <x:c r="CV259" s="176"/>
      <x:c r="CW259" s="176"/>
      <x:c r="CX259" s="176"/>
      <x:c r="CY259" s="176"/>
      <x:c r="CZ259" s="176"/>
      <x:c r="DA259" s="176"/>
      <x:c r="DB259" s="175" t="str">
        <x:f>IF(L259="","",IF(COUNT(CU259:DA259)&lt;7,"",SUM(CU259:DA259)))</x:f>
      </x:c>
      <x:c r="DC259" s="180" t="str">
        <x:f>IF(DB259="","",ROUND(DB259/14*10,1))</x:f>
      </x:c>
      <x:c r="DD259" s="174"/>
      <x:c r="DE259" s="175" t="str">
        <x:f>IF(L259="","",IF(DC259="","Pending",IF(DD259="Yes","CONDITIONAL — safety override",IF(DC259&gt;=8,"HIGH",IF(DC259&gt;=5,"CONDITIONAL","LOW")))))</x:f>
      </x:c>
      <x:c r="DF259" s="174"/>
      <x:c r="DG259" s="174"/>
      <x:c r="DH259" s="174"/>
      <x:c r="DI259" s="174"/>
      <x:c r="DJ259" s="174"/>
      <x:c r="DK259" s="174"/>
      <x:c r="DL259" s="174"/>
      <x:c r="DM259" s="174"/>
      <x:c r="DN259" s="174"/>
      <x:c r="DO259" s="174"/>
      <x:c r="DP259" s="174"/>
      <x:c r="DQ259" s="174"/>
      <x:c r="DR259" s="174"/>
      <x:c r="DS259" s="174"/>
      <x:c r="DT259" s="174"/>
      <x:c r="DU259" s="174"/>
      <x:c r="DV259" s="174"/>
      <x:c r="DW259" s="174"/>
      <x:c r="DX259" s="174"/>
      <x:c r="DY259" s="174"/>
      <x:c r="DZ259" s="174"/>
      <x:c r="EA259" s="174"/>
      <x:c r="EB259" s="175" t="str">
        <x:f>IF(L259="","",IF(AND(F259="Claim-ready",CJ259="Yes",CL259="Yes",DZ259&lt;&gt;""),"Yes","No / Pending"))</x:f>
      </x:c>
      <x:c r="EC259" s="174"/>
      <x:c r="ED259" s="174"/>
      <x:c r="EE259" s="174"/>
      <x:c r="EF259" s="174"/>
      <x:c r="EG259" s="174"/>
      <x:c r="EH259" s="177"/>
      <x:c r="EI259" s="174"/>
      <x:c r="EJ259" s="174"/>
      <x:c r="EK259" s="174"/>
      <x:c r="EL259" s="177"/>
      <x:c r="EM259" s="174"/>
      <x:c r="EN259" s="181" t="str">
        <x:f>IF(L259="","",(IF(N259&lt;&gt;"",1,0)+IF(O259&lt;&gt;"",1,0)+IF(AJ259&lt;&gt;"",1,0)+IF(AU259&lt;&gt;"",1,0)+IF(BE259&lt;&gt;"",1,0)+IF(CF259&lt;&gt;"",1,0)+IF(CJ259="Yes",1,0)+IF(CL259="Yes",1,0)+IF(DE259&lt;&gt;"Pending",1,0)+IF(F259&lt;&gt;"",1,0)+IF(DZ259&lt;&gt;"",1,0)+IF(EI259&lt;&gt;"",1,0))/12)</x:f>
      </x:c>
    </x:row>
    <x:row r="260">
      <x:c r="A260" s="175" t="str">
        <x:f>IF(L260="","","EV-"&amp;TEXT(ROW()-3,"0000"))</x:f>
      </x:c>
      <x:c r="B260" s="174"/>
      <x:c r="C260" s="175" t="str">
        <x:f>IF(L260="","",IF(OR(CM260="Retracted",CN260="Retracted",F260="Not used"),"🔴 Do not use for conclusion",IF(OR(R260="Official / Institutional",I260="Official / contextual"),"🔵 Official / contextual",IF(OR(I260="Definition",I260="Framework",I260="Paradigm shift"),"🟣 Conceptual key source",IF(AND(CJ260="Yes",CL260="Yes",OR(CG260="High",CG260="Moderate"),CH260&lt;&gt;"High",CH260&lt;&gt;"Critical",F260="Claim-ready"),"🟢 Claim-ready","🟡 Caution / context")))))</x:f>
      </x:c>
      <x:c r="D260" s="174"/>
      <x:c r="E260" s="174"/>
      <x:c r="F260" s="174"/>
      <x:c r="G260" s="174"/>
      <x:c r="H260" s="174"/>
      <x:c r="I260" s="174"/>
      <x:c r="J260" s="174"/>
      <x:c r="K260" s="174"/>
      <x:c r="L260" s="174"/>
      <x:c r="M260" s="174"/>
      <x:c r="N260" s="174"/>
      <x:c r="O260" s="176"/>
      <x:c r="P260" s="174"/>
      <x:c r="Q260" s="174"/>
      <x:c r="R260" s="174"/>
      <x:c r="S260" s="174"/>
      <x:c r="T260" s="174"/>
      <x:c r="U260" s="174"/>
      <x:c r="V260" s="174"/>
      <x:c r="W260" s="175" t="str">
        <x:f>IF(V260="","",LOWER(SUBSTITUTE(SUBSTITUTE(SUBSTITUTE(SUBSTITUTE(TRIM(V260),"https://doi.org/",""),"http://doi.org/",""),"https://dx.doi.org/",""),"doi:","")))</x:f>
      </x:c>
      <x:c r="X260" s="174"/>
      <x:c r="Y260" s="174"/>
      <x:c r="Z260" s="174"/>
      <x:c r="AA260" s="174"/>
      <x:c r="AB260" s="174"/>
      <x:c r="AC260" s="174"/>
      <x:c r="AD260" s="177"/>
      <x:c r="AE260" s="177"/>
      <x:c r="AF260" s="174"/>
      <x:c r="AG260" s="174"/>
      <x:c r="AH260" s="174"/>
      <x:c r="AI260" s="174"/>
      <x:c r="AJ260" s="174"/>
      <x:c r="AK260" s="175" t="str">
        <x:f>IF(AJ260="","",IF(OR(LOWER(AJ260)="brazil",LOWER(AJ260)="brasil"),"Yes","No"))</x:f>
      </x:c>
      <x:c r="AL260" s="174"/>
      <x:c r="AM260" s="174"/>
      <x:c r="AN260" s="174"/>
      <x:c r="AO260" s="178"/>
      <x:c r="AP260" s="174"/>
      <x:c r="AQ260" s="174"/>
      <x:c r="AR260" s="174"/>
      <x:c r="AS260" s="174"/>
      <x:c r="AT260" s="174"/>
      <x:c r="AU260" s="174"/>
      <x:c r="AV260" s="174"/>
      <x:c r="AW260" s="174"/>
      <x:c r="AX260" s="174"/>
      <x:c r="AY260" s="174"/>
      <x:c r="AZ260" s="174"/>
      <x:c r="BA260" s="174"/>
      <x:c r="BB260" s="174"/>
      <x:c r="BC260" s="174"/>
      <x:c r="BD260" s="174"/>
      <x:c r="BE260" s="174"/>
      <x:c r="BF260" s="174"/>
      <x:c r="BG260" s="174"/>
      <x:c r="BH260" s="174"/>
      <x:c r="BI260" s="174"/>
      <x:c r="BJ260" s="174"/>
      <x:c r="BK260" s="174"/>
      <x:c r="BL260" s="174"/>
      <x:c r="BM260" s="174"/>
      <x:c r="BN260" s="174"/>
      <x:c r="BO260" s="174"/>
      <x:c r="BP260" s="174"/>
      <x:c r="BQ260" s="174"/>
      <x:c r="BR260" s="174"/>
      <x:c r="BS260" s="174"/>
      <x:c r="BT260" s="174"/>
      <x:c r="BU260" s="174"/>
      <x:c r="BV260" s="174"/>
      <x:c r="BW260" s="174"/>
      <x:c r="BX260" s="174"/>
      <x:c r="BY260" s="174"/>
      <x:c r="BZ260" s="174"/>
      <x:c r="CA260" s="174"/>
      <x:c r="CB260" s="174"/>
      <x:c r="CC260" s="174"/>
      <x:c r="CD260" s="174"/>
      <x:c r="CE260" s="174"/>
      <x:c r="CF260" s="174"/>
      <x:c r="CG260" s="174"/>
      <x:c r="CH260" s="174"/>
      <x:c r="CI260" s="179"/>
      <x:c r="CJ260" s="174"/>
      <x:c r="CK260" s="174"/>
      <x:c r="CL260" s="174"/>
      <x:c r="CM260" s="174"/>
      <x:c r="CN260" s="174"/>
      <x:c r="CO260" s="177"/>
      <x:c r="CP260" s="174"/>
      <x:c r="CQ260" s="174"/>
      <x:c r="CR260" s="174"/>
      <x:c r="CS260" s="174"/>
      <x:c r="CT260" s="174"/>
      <x:c r="CU260" s="176"/>
      <x:c r="CV260" s="176"/>
      <x:c r="CW260" s="176"/>
      <x:c r="CX260" s="176"/>
      <x:c r="CY260" s="176"/>
      <x:c r="CZ260" s="176"/>
      <x:c r="DA260" s="176"/>
      <x:c r="DB260" s="175" t="str">
        <x:f>IF(L260="","",IF(COUNT(CU260:DA260)&lt;7,"",SUM(CU260:DA260)))</x:f>
      </x:c>
      <x:c r="DC260" s="180" t="str">
        <x:f>IF(DB260="","",ROUND(DB260/14*10,1))</x:f>
      </x:c>
      <x:c r="DD260" s="174"/>
      <x:c r="DE260" s="175" t="str">
        <x:f>IF(L260="","",IF(DC260="","Pending",IF(DD260="Yes","CONDITIONAL — safety override",IF(DC260&gt;=8,"HIGH",IF(DC260&gt;=5,"CONDITIONAL","LOW")))))</x:f>
      </x:c>
      <x:c r="DF260" s="174"/>
      <x:c r="DG260" s="174"/>
      <x:c r="DH260" s="174"/>
      <x:c r="DI260" s="174"/>
      <x:c r="DJ260" s="174"/>
      <x:c r="DK260" s="174"/>
      <x:c r="DL260" s="174"/>
      <x:c r="DM260" s="174"/>
      <x:c r="DN260" s="174"/>
      <x:c r="DO260" s="174"/>
      <x:c r="DP260" s="174"/>
      <x:c r="DQ260" s="174"/>
      <x:c r="DR260" s="174"/>
      <x:c r="DS260" s="174"/>
      <x:c r="DT260" s="174"/>
      <x:c r="DU260" s="174"/>
      <x:c r="DV260" s="174"/>
      <x:c r="DW260" s="174"/>
      <x:c r="DX260" s="174"/>
      <x:c r="DY260" s="174"/>
      <x:c r="DZ260" s="174"/>
      <x:c r="EA260" s="174"/>
      <x:c r="EB260" s="175" t="str">
        <x:f>IF(L260="","",IF(AND(F260="Claim-ready",CJ260="Yes",CL260="Yes",DZ260&lt;&gt;""),"Yes","No / Pending"))</x:f>
      </x:c>
      <x:c r="EC260" s="174"/>
      <x:c r="ED260" s="174"/>
      <x:c r="EE260" s="174"/>
      <x:c r="EF260" s="174"/>
      <x:c r="EG260" s="174"/>
      <x:c r="EH260" s="177"/>
      <x:c r="EI260" s="174"/>
      <x:c r="EJ260" s="174"/>
      <x:c r="EK260" s="174"/>
      <x:c r="EL260" s="177"/>
      <x:c r="EM260" s="174"/>
      <x:c r="EN260" s="181" t="str">
        <x:f>IF(L260="","",(IF(N260&lt;&gt;"",1,0)+IF(O260&lt;&gt;"",1,0)+IF(AJ260&lt;&gt;"",1,0)+IF(AU260&lt;&gt;"",1,0)+IF(BE260&lt;&gt;"",1,0)+IF(CF260&lt;&gt;"",1,0)+IF(CJ260="Yes",1,0)+IF(CL260="Yes",1,0)+IF(DE260&lt;&gt;"Pending",1,0)+IF(F260&lt;&gt;"",1,0)+IF(DZ260&lt;&gt;"",1,0)+IF(EI260&lt;&gt;"",1,0))/12)</x:f>
      </x:c>
    </x:row>
    <x:row r="261">
      <x:c r="A261" s="175" t="str">
        <x:f>IF(L261="","","EV-"&amp;TEXT(ROW()-3,"0000"))</x:f>
      </x:c>
      <x:c r="B261" s="174"/>
      <x:c r="C261" s="175" t="str">
        <x:f>IF(L261="","",IF(OR(CM261="Retracted",CN261="Retracted",F261="Not used"),"🔴 Do not use for conclusion",IF(OR(R261="Official / Institutional",I261="Official / contextual"),"🔵 Official / contextual",IF(OR(I261="Definition",I261="Framework",I261="Paradigm shift"),"🟣 Conceptual key source",IF(AND(CJ261="Yes",CL261="Yes",OR(CG261="High",CG261="Moderate"),CH261&lt;&gt;"High",CH261&lt;&gt;"Critical",F261="Claim-ready"),"🟢 Claim-ready","🟡 Caution / context")))))</x:f>
      </x:c>
      <x:c r="D261" s="174"/>
      <x:c r="E261" s="174"/>
      <x:c r="F261" s="174"/>
      <x:c r="G261" s="174"/>
      <x:c r="H261" s="174"/>
      <x:c r="I261" s="174"/>
      <x:c r="J261" s="174"/>
      <x:c r="K261" s="174"/>
      <x:c r="L261" s="174"/>
      <x:c r="M261" s="174"/>
      <x:c r="N261" s="174"/>
      <x:c r="O261" s="176"/>
      <x:c r="P261" s="174"/>
      <x:c r="Q261" s="174"/>
      <x:c r="R261" s="174"/>
      <x:c r="S261" s="174"/>
      <x:c r="T261" s="174"/>
      <x:c r="U261" s="174"/>
      <x:c r="V261" s="174"/>
      <x:c r="W261" s="175" t="str">
        <x:f>IF(V261="","",LOWER(SUBSTITUTE(SUBSTITUTE(SUBSTITUTE(SUBSTITUTE(TRIM(V261),"https://doi.org/",""),"http://doi.org/",""),"https://dx.doi.org/",""),"doi:","")))</x:f>
      </x:c>
      <x:c r="X261" s="174"/>
      <x:c r="Y261" s="174"/>
      <x:c r="Z261" s="174"/>
      <x:c r="AA261" s="174"/>
      <x:c r="AB261" s="174"/>
      <x:c r="AC261" s="174"/>
      <x:c r="AD261" s="177"/>
      <x:c r="AE261" s="177"/>
      <x:c r="AF261" s="174"/>
      <x:c r="AG261" s="174"/>
      <x:c r="AH261" s="174"/>
      <x:c r="AI261" s="174"/>
      <x:c r="AJ261" s="174"/>
      <x:c r="AK261" s="175" t="str">
        <x:f>IF(AJ261="","",IF(OR(LOWER(AJ261)="brazil",LOWER(AJ261)="brasil"),"Yes","No"))</x:f>
      </x:c>
      <x:c r="AL261" s="174"/>
      <x:c r="AM261" s="174"/>
      <x:c r="AN261" s="174"/>
      <x:c r="AO261" s="178"/>
      <x:c r="AP261" s="174"/>
      <x:c r="AQ261" s="174"/>
      <x:c r="AR261" s="174"/>
      <x:c r="AS261" s="174"/>
      <x:c r="AT261" s="174"/>
      <x:c r="AU261" s="174"/>
      <x:c r="AV261" s="174"/>
      <x:c r="AW261" s="174"/>
      <x:c r="AX261" s="174"/>
      <x:c r="AY261" s="174"/>
      <x:c r="AZ261" s="174"/>
      <x:c r="BA261" s="174"/>
      <x:c r="BB261" s="174"/>
      <x:c r="BC261" s="174"/>
      <x:c r="BD261" s="174"/>
      <x:c r="BE261" s="174"/>
      <x:c r="BF261" s="174"/>
      <x:c r="BG261" s="174"/>
      <x:c r="BH261" s="174"/>
      <x:c r="BI261" s="174"/>
      <x:c r="BJ261" s="174"/>
      <x:c r="BK261" s="174"/>
      <x:c r="BL261" s="174"/>
      <x:c r="BM261" s="174"/>
      <x:c r="BN261" s="174"/>
      <x:c r="BO261" s="174"/>
      <x:c r="BP261" s="174"/>
      <x:c r="BQ261" s="174"/>
      <x:c r="BR261" s="174"/>
      <x:c r="BS261" s="174"/>
      <x:c r="BT261" s="174"/>
      <x:c r="BU261" s="174"/>
      <x:c r="BV261" s="174"/>
      <x:c r="BW261" s="174"/>
      <x:c r="BX261" s="174"/>
      <x:c r="BY261" s="174"/>
      <x:c r="BZ261" s="174"/>
      <x:c r="CA261" s="174"/>
      <x:c r="CB261" s="174"/>
      <x:c r="CC261" s="174"/>
      <x:c r="CD261" s="174"/>
      <x:c r="CE261" s="174"/>
      <x:c r="CF261" s="174"/>
      <x:c r="CG261" s="174"/>
      <x:c r="CH261" s="174"/>
      <x:c r="CI261" s="179"/>
      <x:c r="CJ261" s="174"/>
      <x:c r="CK261" s="174"/>
      <x:c r="CL261" s="174"/>
      <x:c r="CM261" s="174"/>
      <x:c r="CN261" s="174"/>
      <x:c r="CO261" s="177"/>
      <x:c r="CP261" s="174"/>
      <x:c r="CQ261" s="174"/>
      <x:c r="CR261" s="174"/>
      <x:c r="CS261" s="174"/>
      <x:c r="CT261" s="174"/>
      <x:c r="CU261" s="176"/>
      <x:c r="CV261" s="176"/>
      <x:c r="CW261" s="176"/>
      <x:c r="CX261" s="176"/>
      <x:c r="CY261" s="176"/>
      <x:c r="CZ261" s="176"/>
      <x:c r="DA261" s="176"/>
      <x:c r="DB261" s="175" t="str">
        <x:f>IF(L261="","",IF(COUNT(CU261:DA261)&lt;7,"",SUM(CU261:DA261)))</x:f>
      </x:c>
      <x:c r="DC261" s="180" t="str">
        <x:f>IF(DB261="","",ROUND(DB261/14*10,1))</x:f>
      </x:c>
      <x:c r="DD261" s="174"/>
      <x:c r="DE261" s="175" t="str">
        <x:f>IF(L261="","",IF(DC261="","Pending",IF(DD261="Yes","CONDITIONAL — safety override",IF(DC261&gt;=8,"HIGH",IF(DC261&gt;=5,"CONDITIONAL","LOW")))))</x:f>
      </x:c>
      <x:c r="DF261" s="174"/>
      <x:c r="DG261" s="174"/>
      <x:c r="DH261" s="174"/>
      <x:c r="DI261" s="174"/>
      <x:c r="DJ261" s="174"/>
      <x:c r="DK261" s="174"/>
      <x:c r="DL261" s="174"/>
      <x:c r="DM261" s="174"/>
      <x:c r="DN261" s="174"/>
      <x:c r="DO261" s="174"/>
      <x:c r="DP261" s="174"/>
      <x:c r="DQ261" s="174"/>
      <x:c r="DR261" s="174"/>
      <x:c r="DS261" s="174"/>
      <x:c r="DT261" s="174"/>
      <x:c r="DU261" s="174"/>
      <x:c r="DV261" s="174"/>
      <x:c r="DW261" s="174"/>
      <x:c r="DX261" s="174"/>
      <x:c r="DY261" s="174"/>
      <x:c r="DZ261" s="174"/>
      <x:c r="EA261" s="174"/>
      <x:c r="EB261" s="175" t="str">
        <x:f>IF(L261="","",IF(AND(F261="Claim-ready",CJ261="Yes",CL261="Yes",DZ261&lt;&gt;""),"Yes","No / Pending"))</x:f>
      </x:c>
      <x:c r="EC261" s="174"/>
      <x:c r="ED261" s="174"/>
      <x:c r="EE261" s="174"/>
      <x:c r="EF261" s="174"/>
      <x:c r="EG261" s="174"/>
      <x:c r="EH261" s="177"/>
      <x:c r="EI261" s="174"/>
      <x:c r="EJ261" s="174"/>
      <x:c r="EK261" s="174"/>
      <x:c r="EL261" s="177"/>
      <x:c r="EM261" s="174"/>
      <x:c r="EN261" s="181" t="str">
        <x:f>IF(L261="","",(IF(N261&lt;&gt;"",1,0)+IF(O261&lt;&gt;"",1,0)+IF(AJ261&lt;&gt;"",1,0)+IF(AU261&lt;&gt;"",1,0)+IF(BE261&lt;&gt;"",1,0)+IF(CF261&lt;&gt;"",1,0)+IF(CJ261="Yes",1,0)+IF(CL261="Yes",1,0)+IF(DE261&lt;&gt;"Pending",1,0)+IF(F261&lt;&gt;"",1,0)+IF(DZ261&lt;&gt;"",1,0)+IF(EI261&lt;&gt;"",1,0))/12)</x:f>
      </x:c>
    </x:row>
    <x:row r="262">
      <x:c r="A262" s="175" t="str">
        <x:f>IF(L262="","","EV-"&amp;TEXT(ROW()-3,"0000"))</x:f>
      </x:c>
      <x:c r="B262" s="174"/>
      <x:c r="C262" s="175" t="str">
        <x:f>IF(L262="","",IF(OR(CM262="Retracted",CN262="Retracted",F262="Not used"),"🔴 Do not use for conclusion",IF(OR(R262="Official / Institutional",I262="Official / contextual"),"🔵 Official / contextual",IF(OR(I262="Definition",I262="Framework",I262="Paradigm shift"),"🟣 Conceptual key source",IF(AND(CJ262="Yes",CL262="Yes",OR(CG262="High",CG262="Moderate"),CH262&lt;&gt;"High",CH262&lt;&gt;"Critical",F262="Claim-ready"),"🟢 Claim-ready","🟡 Caution / context")))))</x:f>
      </x:c>
      <x:c r="D262" s="174"/>
      <x:c r="E262" s="174"/>
      <x:c r="F262" s="174"/>
      <x:c r="G262" s="174"/>
      <x:c r="H262" s="174"/>
      <x:c r="I262" s="174"/>
      <x:c r="J262" s="174"/>
      <x:c r="K262" s="174"/>
      <x:c r="L262" s="174"/>
      <x:c r="M262" s="174"/>
      <x:c r="N262" s="174"/>
      <x:c r="O262" s="176"/>
      <x:c r="P262" s="174"/>
      <x:c r="Q262" s="174"/>
      <x:c r="R262" s="174"/>
      <x:c r="S262" s="174"/>
      <x:c r="T262" s="174"/>
      <x:c r="U262" s="174"/>
      <x:c r="V262" s="174"/>
      <x:c r="W262" s="175" t="str">
        <x:f>IF(V262="","",LOWER(SUBSTITUTE(SUBSTITUTE(SUBSTITUTE(SUBSTITUTE(TRIM(V262),"https://doi.org/",""),"http://doi.org/",""),"https://dx.doi.org/",""),"doi:","")))</x:f>
      </x:c>
      <x:c r="X262" s="174"/>
      <x:c r="Y262" s="174"/>
      <x:c r="Z262" s="174"/>
      <x:c r="AA262" s="174"/>
      <x:c r="AB262" s="174"/>
      <x:c r="AC262" s="174"/>
      <x:c r="AD262" s="177"/>
      <x:c r="AE262" s="177"/>
      <x:c r="AF262" s="174"/>
      <x:c r="AG262" s="174"/>
      <x:c r="AH262" s="174"/>
      <x:c r="AI262" s="174"/>
      <x:c r="AJ262" s="174"/>
      <x:c r="AK262" s="175" t="str">
        <x:f>IF(AJ262="","",IF(OR(LOWER(AJ262)="brazil",LOWER(AJ262)="brasil"),"Yes","No"))</x:f>
      </x:c>
      <x:c r="AL262" s="174"/>
      <x:c r="AM262" s="174"/>
      <x:c r="AN262" s="174"/>
      <x:c r="AO262" s="178"/>
      <x:c r="AP262" s="174"/>
      <x:c r="AQ262" s="174"/>
      <x:c r="AR262" s="174"/>
      <x:c r="AS262" s="174"/>
      <x:c r="AT262" s="174"/>
      <x:c r="AU262" s="174"/>
      <x:c r="AV262" s="174"/>
      <x:c r="AW262" s="174"/>
      <x:c r="AX262" s="174"/>
      <x:c r="AY262" s="174"/>
      <x:c r="AZ262" s="174"/>
      <x:c r="BA262" s="174"/>
      <x:c r="BB262" s="174"/>
      <x:c r="BC262" s="174"/>
      <x:c r="BD262" s="174"/>
      <x:c r="BE262" s="174"/>
      <x:c r="BF262" s="174"/>
      <x:c r="BG262" s="174"/>
      <x:c r="BH262" s="174"/>
      <x:c r="BI262" s="174"/>
      <x:c r="BJ262" s="174"/>
      <x:c r="BK262" s="174"/>
      <x:c r="BL262" s="174"/>
      <x:c r="BM262" s="174"/>
      <x:c r="BN262" s="174"/>
      <x:c r="BO262" s="174"/>
      <x:c r="BP262" s="174"/>
      <x:c r="BQ262" s="174"/>
      <x:c r="BR262" s="174"/>
      <x:c r="BS262" s="174"/>
      <x:c r="BT262" s="174"/>
      <x:c r="BU262" s="174"/>
      <x:c r="BV262" s="174"/>
      <x:c r="BW262" s="174"/>
      <x:c r="BX262" s="174"/>
      <x:c r="BY262" s="174"/>
      <x:c r="BZ262" s="174"/>
      <x:c r="CA262" s="174"/>
      <x:c r="CB262" s="174"/>
      <x:c r="CC262" s="174"/>
      <x:c r="CD262" s="174"/>
      <x:c r="CE262" s="174"/>
      <x:c r="CF262" s="174"/>
      <x:c r="CG262" s="174"/>
      <x:c r="CH262" s="174"/>
      <x:c r="CI262" s="179"/>
      <x:c r="CJ262" s="174"/>
      <x:c r="CK262" s="174"/>
      <x:c r="CL262" s="174"/>
      <x:c r="CM262" s="174"/>
      <x:c r="CN262" s="174"/>
      <x:c r="CO262" s="177"/>
      <x:c r="CP262" s="174"/>
      <x:c r="CQ262" s="174"/>
      <x:c r="CR262" s="174"/>
      <x:c r="CS262" s="174"/>
      <x:c r="CT262" s="174"/>
      <x:c r="CU262" s="176"/>
      <x:c r="CV262" s="176"/>
      <x:c r="CW262" s="176"/>
      <x:c r="CX262" s="176"/>
      <x:c r="CY262" s="176"/>
      <x:c r="CZ262" s="176"/>
      <x:c r="DA262" s="176"/>
      <x:c r="DB262" s="175" t="str">
        <x:f>IF(L262="","",IF(COUNT(CU262:DA262)&lt;7,"",SUM(CU262:DA262)))</x:f>
      </x:c>
      <x:c r="DC262" s="180" t="str">
        <x:f>IF(DB262="","",ROUND(DB262/14*10,1))</x:f>
      </x:c>
      <x:c r="DD262" s="174"/>
      <x:c r="DE262" s="175" t="str">
        <x:f>IF(L262="","",IF(DC262="","Pending",IF(DD262="Yes","CONDITIONAL — safety override",IF(DC262&gt;=8,"HIGH",IF(DC262&gt;=5,"CONDITIONAL","LOW")))))</x:f>
      </x:c>
      <x:c r="DF262" s="174"/>
      <x:c r="DG262" s="174"/>
      <x:c r="DH262" s="174"/>
      <x:c r="DI262" s="174"/>
      <x:c r="DJ262" s="174"/>
      <x:c r="DK262" s="174"/>
      <x:c r="DL262" s="174"/>
      <x:c r="DM262" s="174"/>
      <x:c r="DN262" s="174"/>
      <x:c r="DO262" s="174"/>
      <x:c r="DP262" s="174"/>
      <x:c r="DQ262" s="174"/>
      <x:c r="DR262" s="174"/>
      <x:c r="DS262" s="174"/>
      <x:c r="DT262" s="174"/>
      <x:c r="DU262" s="174"/>
      <x:c r="DV262" s="174"/>
      <x:c r="DW262" s="174"/>
      <x:c r="DX262" s="174"/>
      <x:c r="DY262" s="174"/>
      <x:c r="DZ262" s="174"/>
      <x:c r="EA262" s="174"/>
      <x:c r="EB262" s="175" t="str">
        <x:f>IF(L262="","",IF(AND(F262="Claim-ready",CJ262="Yes",CL262="Yes",DZ262&lt;&gt;""),"Yes","No / Pending"))</x:f>
      </x:c>
      <x:c r="EC262" s="174"/>
      <x:c r="ED262" s="174"/>
      <x:c r="EE262" s="174"/>
      <x:c r="EF262" s="174"/>
      <x:c r="EG262" s="174"/>
      <x:c r="EH262" s="177"/>
      <x:c r="EI262" s="174"/>
      <x:c r="EJ262" s="174"/>
      <x:c r="EK262" s="174"/>
      <x:c r="EL262" s="177"/>
      <x:c r="EM262" s="174"/>
      <x:c r="EN262" s="181" t="str">
        <x:f>IF(L262="","",(IF(N262&lt;&gt;"",1,0)+IF(O262&lt;&gt;"",1,0)+IF(AJ262&lt;&gt;"",1,0)+IF(AU262&lt;&gt;"",1,0)+IF(BE262&lt;&gt;"",1,0)+IF(CF262&lt;&gt;"",1,0)+IF(CJ262="Yes",1,0)+IF(CL262="Yes",1,0)+IF(DE262&lt;&gt;"Pending",1,0)+IF(F262&lt;&gt;"",1,0)+IF(DZ262&lt;&gt;"",1,0)+IF(EI262&lt;&gt;"",1,0))/12)</x:f>
      </x:c>
    </x:row>
    <x:row r="263">
      <x:c r="A263" s="175" t="str">
        <x:f>IF(L263="","","EV-"&amp;TEXT(ROW()-3,"0000"))</x:f>
      </x:c>
      <x:c r="B263" s="174"/>
      <x:c r="C263" s="175" t="str">
        <x:f>IF(L263="","",IF(OR(CM263="Retracted",CN263="Retracted",F263="Not used"),"🔴 Do not use for conclusion",IF(OR(R263="Official / Institutional",I263="Official / contextual"),"🔵 Official / contextual",IF(OR(I263="Definition",I263="Framework",I263="Paradigm shift"),"🟣 Conceptual key source",IF(AND(CJ263="Yes",CL263="Yes",OR(CG263="High",CG263="Moderate"),CH263&lt;&gt;"High",CH263&lt;&gt;"Critical",F263="Claim-ready"),"🟢 Claim-ready","🟡 Caution / context")))))</x:f>
      </x:c>
      <x:c r="D263" s="174"/>
      <x:c r="E263" s="174"/>
      <x:c r="F263" s="174"/>
      <x:c r="G263" s="174"/>
      <x:c r="H263" s="174"/>
      <x:c r="I263" s="174"/>
      <x:c r="J263" s="174"/>
      <x:c r="K263" s="174"/>
      <x:c r="L263" s="174"/>
      <x:c r="M263" s="174"/>
      <x:c r="N263" s="174"/>
      <x:c r="O263" s="176"/>
      <x:c r="P263" s="174"/>
      <x:c r="Q263" s="174"/>
      <x:c r="R263" s="174"/>
      <x:c r="S263" s="174"/>
      <x:c r="T263" s="174"/>
      <x:c r="U263" s="174"/>
      <x:c r="V263" s="174"/>
      <x:c r="W263" s="175" t="str">
        <x:f>IF(V263="","",LOWER(SUBSTITUTE(SUBSTITUTE(SUBSTITUTE(SUBSTITUTE(TRIM(V263),"https://doi.org/",""),"http://doi.org/",""),"https://dx.doi.org/",""),"doi:","")))</x:f>
      </x:c>
      <x:c r="X263" s="174"/>
      <x:c r="Y263" s="174"/>
      <x:c r="Z263" s="174"/>
      <x:c r="AA263" s="174"/>
      <x:c r="AB263" s="174"/>
      <x:c r="AC263" s="174"/>
      <x:c r="AD263" s="177"/>
      <x:c r="AE263" s="177"/>
      <x:c r="AF263" s="174"/>
      <x:c r="AG263" s="174"/>
      <x:c r="AH263" s="174"/>
      <x:c r="AI263" s="174"/>
      <x:c r="AJ263" s="174"/>
      <x:c r="AK263" s="175" t="str">
        <x:f>IF(AJ263="","",IF(OR(LOWER(AJ263)="brazil",LOWER(AJ263)="brasil"),"Yes","No"))</x:f>
      </x:c>
      <x:c r="AL263" s="174"/>
      <x:c r="AM263" s="174"/>
      <x:c r="AN263" s="174"/>
      <x:c r="AO263" s="178"/>
      <x:c r="AP263" s="174"/>
      <x:c r="AQ263" s="174"/>
      <x:c r="AR263" s="174"/>
      <x:c r="AS263" s="174"/>
      <x:c r="AT263" s="174"/>
      <x:c r="AU263" s="174"/>
      <x:c r="AV263" s="174"/>
      <x:c r="AW263" s="174"/>
      <x:c r="AX263" s="174"/>
      <x:c r="AY263" s="174"/>
      <x:c r="AZ263" s="174"/>
      <x:c r="BA263" s="174"/>
      <x:c r="BB263" s="174"/>
      <x:c r="BC263" s="174"/>
      <x:c r="BD263" s="174"/>
      <x:c r="BE263" s="174"/>
      <x:c r="BF263" s="174"/>
      <x:c r="BG263" s="174"/>
      <x:c r="BH263" s="174"/>
      <x:c r="BI263" s="174"/>
      <x:c r="BJ263" s="174"/>
      <x:c r="BK263" s="174"/>
      <x:c r="BL263" s="174"/>
      <x:c r="BM263" s="174"/>
      <x:c r="BN263" s="174"/>
      <x:c r="BO263" s="174"/>
      <x:c r="BP263" s="174"/>
      <x:c r="BQ263" s="174"/>
      <x:c r="BR263" s="174"/>
      <x:c r="BS263" s="174"/>
      <x:c r="BT263" s="174"/>
      <x:c r="BU263" s="174"/>
      <x:c r="BV263" s="174"/>
      <x:c r="BW263" s="174"/>
      <x:c r="BX263" s="174"/>
      <x:c r="BY263" s="174"/>
      <x:c r="BZ263" s="174"/>
      <x:c r="CA263" s="174"/>
      <x:c r="CB263" s="174"/>
      <x:c r="CC263" s="174"/>
      <x:c r="CD263" s="174"/>
      <x:c r="CE263" s="174"/>
      <x:c r="CF263" s="174"/>
      <x:c r="CG263" s="174"/>
      <x:c r="CH263" s="174"/>
      <x:c r="CI263" s="179"/>
      <x:c r="CJ263" s="174"/>
      <x:c r="CK263" s="174"/>
      <x:c r="CL263" s="174"/>
      <x:c r="CM263" s="174"/>
      <x:c r="CN263" s="174"/>
      <x:c r="CO263" s="177"/>
      <x:c r="CP263" s="174"/>
      <x:c r="CQ263" s="174"/>
      <x:c r="CR263" s="174"/>
      <x:c r="CS263" s="174"/>
      <x:c r="CT263" s="174"/>
      <x:c r="CU263" s="176"/>
      <x:c r="CV263" s="176"/>
      <x:c r="CW263" s="176"/>
      <x:c r="CX263" s="176"/>
      <x:c r="CY263" s="176"/>
      <x:c r="CZ263" s="176"/>
      <x:c r="DA263" s="176"/>
      <x:c r="DB263" s="175" t="str">
        <x:f>IF(L263="","",IF(COUNT(CU263:DA263)&lt;7,"",SUM(CU263:DA263)))</x:f>
      </x:c>
      <x:c r="DC263" s="180" t="str">
        <x:f>IF(DB263="","",ROUND(DB263/14*10,1))</x:f>
      </x:c>
      <x:c r="DD263" s="174"/>
      <x:c r="DE263" s="175" t="str">
        <x:f>IF(L263="","",IF(DC263="","Pending",IF(DD263="Yes","CONDITIONAL — safety override",IF(DC263&gt;=8,"HIGH",IF(DC263&gt;=5,"CONDITIONAL","LOW")))))</x:f>
      </x:c>
      <x:c r="DF263" s="174"/>
      <x:c r="DG263" s="174"/>
      <x:c r="DH263" s="174"/>
      <x:c r="DI263" s="174"/>
      <x:c r="DJ263" s="174"/>
      <x:c r="DK263" s="174"/>
      <x:c r="DL263" s="174"/>
      <x:c r="DM263" s="174"/>
      <x:c r="DN263" s="174"/>
      <x:c r="DO263" s="174"/>
      <x:c r="DP263" s="174"/>
      <x:c r="DQ263" s="174"/>
      <x:c r="DR263" s="174"/>
      <x:c r="DS263" s="174"/>
      <x:c r="DT263" s="174"/>
      <x:c r="DU263" s="174"/>
      <x:c r="DV263" s="174"/>
      <x:c r="DW263" s="174"/>
      <x:c r="DX263" s="174"/>
      <x:c r="DY263" s="174"/>
      <x:c r="DZ263" s="174"/>
      <x:c r="EA263" s="174"/>
      <x:c r="EB263" s="175" t="str">
        <x:f>IF(L263="","",IF(AND(F263="Claim-ready",CJ263="Yes",CL263="Yes",DZ263&lt;&gt;""),"Yes","No / Pending"))</x:f>
      </x:c>
      <x:c r="EC263" s="174"/>
      <x:c r="ED263" s="174"/>
      <x:c r="EE263" s="174"/>
      <x:c r="EF263" s="174"/>
      <x:c r="EG263" s="174"/>
      <x:c r="EH263" s="177"/>
      <x:c r="EI263" s="174"/>
      <x:c r="EJ263" s="174"/>
      <x:c r="EK263" s="174"/>
      <x:c r="EL263" s="177"/>
      <x:c r="EM263" s="174"/>
      <x:c r="EN263" s="181" t="str">
        <x:f>IF(L263="","",(IF(N263&lt;&gt;"",1,0)+IF(O263&lt;&gt;"",1,0)+IF(AJ263&lt;&gt;"",1,0)+IF(AU263&lt;&gt;"",1,0)+IF(BE263&lt;&gt;"",1,0)+IF(CF263&lt;&gt;"",1,0)+IF(CJ263="Yes",1,0)+IF(CL263="Yes",1,0)+IF(DE263&lt;&gt;"Pending",1,0)+IF(F263&lt;&gt;"",1,0)+IF(DZ263&lt;&gt;"",1,0)+IF(EI263&lt;&gt;"",1,0))/12)</x:f>
      </x:c>
    </x:row>
    <x:row r="264">
      <x:c r="A264" s="175" t="str">
        <x:f>IF(L264="","","EV-"&amp;TEXT(ROW()-3,"0000"))</x:f>
      </x:c>
      <x:c r="B264" s="174"/>
      <x:c r="C264" s="175" t="str">
        <x:f>IF(L264="","",IF(OR(CM264="Retracted",CN264="Retracted",F264="Not used"),"🔴 Do not use for conclusion",IF(OR(R264="Official / Institutional",I264="Official / contextual"),"🔵 Official / contextual",IF(OR(I264="Definition",I264="Framework",I264="Paradigm shift"),"🟣 Conceptual key source",IF(AND(CJ264="Yes",CL264="Yes",OR(CG264="High",CG264="Moderate"),CH264&lt;&gt;"High",CH264&lt;&gt;"Critical",F264="Claim-ready"),"🟢 Claim-ready","🟡 Caution / context")))))</x:f>
      </x:c>
      <x:c r="D264" s="174"/>
      <x:c r="E264" s="174"/>
      <x:c r="F264" s="174"/>
      <x:c r="G264" s="174"/>
      <x:c r="H264" s="174"/>
      <x:c r="I264" s="174"/>
      <x:c r="J264" s="174"/>
      <x:c r="K264" s="174"/>
      <x:c r="L264" s="174"/>
      <x:c r="M264" s="174"/>
      <x:c r="N264" s="174"/>
      <x:c r="O264" s="176"/>
      <x:c r="P264" s="174"/>
      <x:c r="Q264" s="174"/>
      <x:c r="R264" s="174"/>
      <x:c r="S264" s="174"/>
      <x:c r="T264" s="174"/>
      <x:c r="U264" s="174"/>
      <x:c r="V264" s="174"/>
      <x:c r="W264" s="175" t="str">
        <x:f>IF(V264="","",LOWER(SUBSTITUTE(SUBSTITUTE(SUBSTITUTE(SUBSTITUTE(TRIM(V264),"https://doi.org/",""),"http://doi.org/",""),"https://dx.doi.org/",""),"doi:","")))</x:f>
      </x:c>
      <x:c r="X264" s="174"/>
      <x:c r="Y264" s="174"/>
      <x:c r="Z264" s="174"/>
      <x:c r="AA264" s="174"/>
      <x:c r="AB264" s="174"/>
      <x:c r="AC264" s="174"/>
      <x:c r="AD264" s="177"/>
      <x:c r="AE264" s="177"/>
      <x:c r="AF264" s="174"/>
      <x:c r="AG264" s="174"/>
      <x:c r="AH264" s="174"/>
      <x:c r="AI264" s="174"/>
      <x:c r="AJ264" s="174"/>
      <x:c r="AK264" s="175" t="str">
        <x:f>IF(AJ264="","",IF(OR(LOWER(AJ264)="brazil",LOWER(AJ264)="brasil"),"Yes","No"))</x:f>
      </x:c>
      <x:c r="AL264" s="174"/>
      <x:c r="AM264" s="174"/>
      <x:c r="AN264" s="174"/>
      <x:c r="AO264" s="178"/>
      <x:c r="AP264" s="174"/>
      <x:c r="AQ264" s="174"/>
      <x:c r="AR264" s="174"/>
      <x:c r="AS264" s="174"/>
      <x:c r="AT264" s="174"/>
      <x:c r="AU264" s="174"/>
      <x:c r="AV264" s="174"/>
      <x:c r="AW264" s="174"/>
      <x:c r="AX264" s="174"/>
      <x:c r="AY264" s="174"/>
      <x:c r="AZ264" s="174"/>
      <x:c r="BA264" s="174"/>
      <x:c r="BB264" s="174"/>
      <x:c r="BC264" s="174"/>
      <x:c r="BD264" s="174"/>
      <x:c r="BE264" s="174"/>
      <x:c r="BF264" s="174"/>
      <x:c r="BG264" s="174"/>
      <x:c r="BH264" s="174"/>
      <x:c r="BI264" s="174"/>
      <x:c r="BJ264" s="174"/>
      <x:c r="BK264" s="174"/>
      <x:c r="BL264" s="174"/>
      <x:c r="BM264" s="174"/>
      <x:c r="BN264" s="174"/>
      <x:c r="BO264" s="174"/>
      <x:c r="BP264" s="174"/>
      <x:c r="BQ264" s="174"/>
      <x:c r="BR264" s="174"/>
      <x:c r="BS264" s="174"/>
      <x:c r="BT264" s="174"/>
      <x:c r="BU264" s="174"/>
      <x:c r="BV264" s="174"/>
      <x:c r="BW264" s="174"/>
      <x:c r="BX264" s="174"/>
      <x:c r="BY264" s="174"/>
      <x:c r="BZ264" s="174"/>
      <x:c r="CA264" s="174"/>
      <x:c r="CB264" s="174"/>
      <x:c r="CC264" s="174"/>
      <x:c r="CD264" s="174"/>
      <x:c r="CE264" s="174"/>
      <x:c r="CF264" s="174"/>
      <x:c r="CG264" s="174"/>
      <x:c r="CH264" s="174"/>
      <x:c r="CI264" s="179"/>
      <x:c r="CJ264" s="174"/>
      <x:c r="CK264" s="174"/>
      <x:c r="CL264" s="174"/>
      <x:c r="CM264" s="174"/>
      <x:c r="CN264" s="174"/>
      <x:c r="CO264" s="177"/>
      <x:c r="CP264" s="174"/>
      <x:c r="CQ264" s="174"/>
      <x:c r="CR264" s="174"/>
      <x:c r="CS264" s="174"/>
      <x:c r="CT264" s="174"/>
      <x:c r="CU264" s="176"/>
      <x:c r="CV264" s="176"/>
      <x:c r="CW264" s="176"/>
      <x:c r="CX264" s="176"/>
      <x:c r="CY264" s="176"/>
      <x:c r="CZ264" s="176"/>
      <x:c r="DA264" s="176"/>
      <x:c r="DB264" s="175" t="str">
        <x:f>IF(L264="","",IF(COUNT(CU264:DA264)&lt;7,"",SUM(CU264:DA264)))</x:f>
      </x:c>
      <x:c r="DC264" s="180" t="str">
        <x:f>IF(DB264="","",ROUND(DB264/14*10,1))</x:f>
      </x:c>
      <x:c r="DD264" s="174"/>
      <x:c r="DE264" s="175" t="str">
        <x:f>IF(L264="","",IF(DC264="","Pending",IF(DD264="Yes","CONDITIONAL — safety override",IF(DC264&gt;=8,"HIGH",IF(DC264&gt;=5,"CONDITIONAL","LOW")))))</x:f>
      </x:c>
      <x:c r="DF264" s="174"/>
      <x:c r="DG264" s="174"/>
      <x:c r="DH264" s="174"/>
      <x:c r="DI264" s="174"/>
      <x:c r="DJ264" s="174"/>
      <x:c r="DK264" s="174"/>
      <x:c r="DL264" s="174"/>
      <x:c r="DM264" s="174"/>
      <x:c r="DN264" s="174"/>
      <x:c r="DO264" s="174"/>
      <x:c r="DP264" s="174"/>
      <x:c r="DQ264" s="174"/>
      <x:c r="DR264" s="174"/>
      <x:c r="DS264" s="174"/>
      <x:c r="DT264" s="174"/>
      <x:c r="DU264" s="174"/>
      <x:c r="DV264" s="174"/>
      <x:c r="DW264" s="174"/>
      <x:c r="DX264" s="174"/>
      <x:c r="DY264" s="174"/>
      <x:c r="DZ264" s="174"/>
      <x:c r="EA264" s="174"/>
      <x:c r="EB264" s="175" t="str">
        <x:f>IF(L264="","",IF(AND(F264="Claim-ready",CJ264="Yes",CL264="Yes",DZ264&lt;&gt;""),"Yes","No / Pending"))</x:f>
      </x:c>
      <x:c r="EC264" s="174"/>
      <x:c r="ED264" s="174"/>
      <x:c r="EE264" s="174"/>
      <x:c r="EF264" s="174"/>
      <x:c r="EG264" s="174"/>
      <x:c r="EH264" s="177"/>
      <x:c r="EI264" s="174"/>
      <x:c r="EJ264" s="174"/>
      <x:c r="EK264" s="174"/>
      <x:c r="EL264" s="177"/>
      <x:c r="EM264" s="174"/>
      <x:c r="EN264" s="181" t="str">
        <x:f>IF(L264="","",(IF(N264&lt;&gt;"",1,0)+IF(O264&lt;&gt;"",1,0)+IF(AJ264&lt;&gt;"",1,0)+IF(AU264&lt;&gt;"",1,0)+IF(BE264&lt;&gt;"",1,0)+IF(CF264&lt;&gt;"",1,0)+IF(CJ264="Yes",1,0)+IF(CL264="Yes",1,0)+IF(DE264&lt;&gt;"Pending",1,0)+IF(F264&lt;&gt;"",1,0)+IF(DZ264&lt;&gt;"",1,0)+IF(EI264&lt;&gt;"",1,0))/12)</x:f>
      </x:c>
    </x:row>
    <x:row r="265">
      <x:c r="A265" s="175" t="str">
        <x:f>IF(L265="","","EV-"&amp;TEXT(ROW()-3,"0000"))</x:f>
      </x:c>
      <x:c r="B265" s="174"/>
      <x:c r="C265" s="175" t="str">
        <x:f>IF(L265="","",IF(OR(CM265="Retracted",CN265="Retracted",F265="Not used"),"🔴 Do not use for conclusion",IF(OR(R265="Official / Institutional",I265="Official / contextual"),"🔵 Official / contextual",IF(OR(I265="Definition",I265="Framework",I265="Paradigm shift"),"🟣 Conceptual key source",IF(AND(CJ265="Yes",CL265="Yes",OR(CG265="High",CG265="Moderate"),CH265&lt;&gt;"High",CH265&lt;&gt;"Critical",F265="Claim-ready"),"🟢 Claim-ready","🟡 Caution / context")))))</x:f>
      </x:c>
      <x:c r="D265" s="174"/>
      <x:c r="E265" s="174"/>
      <x:c r="F265" s="174"/>
      <x:c r="G265" s="174"/>
      <x:c r="H265" s="174"/>
      <x:c r="I265" s="174"/>
      <x:c r="J265" s="174"/>
      <x:c r="K265" s="174"/>
      <x:c r="L265" s="174"/>
      <x:c r="M265" s="174"/>
      <x:c r="N265" s="174"/>
      <x:c r="O265" s="176"/>
      <x:c r="P265" s="174"/>
      <x:c r="Q265" s="174"/>
      <x:c r="R265" s="174"/>
      <x:c r="S265" s="174"/>
      <x:c r="T265" s="174"/>
      <x:c r="U265" s="174"/>
      <x:c r="V265" s="174"/>
      <x:c r="W265" s="175" t="str">
        <x:f>IF(V265="","",LOWER(SUBSTITUTE(SUBSTITUTE(SUBSTITUTE(SUBSTITUTE(TRIM(V265),"https://doi.org/",""),"http://doi.org/",""),"https://dx.doi.org/",""),"doi:","")))</x:f>
      </x:c>
      <x:c r="X265" s="174"/>
      <x:c r="Y265" s="174"/>
      <x:c r="Z265" s="174"/>
      <x:c r="AA265" s="174"/>
      <x:c r="AB265" s="174"/>
      <x:c r="AC265" s="174"/>
      <x:c r="AD265" s="177"/>
      <x:c r="AE265" s="177"/>
      <x:c r="AF265" s="174"/>
      <x:c r="AG265" s="174"/>
      <x:c r="AH265" s="174"/>
      <x:c r="AI265" s="174"/>
      <x:c r="AJ265" s="174"/>
      <x:c r="AK265" s="175" t="str">
        <x:f>IF(AJ265="","",IF(OR(LOWER(AJ265)="brazil",LOWER(AJ265)="brasil"),"Yes","No"))</x:f>
      </x:c>
      <x:c r="AL265" s="174"/>
      <x:c r="AM265" s="174"/>
      <x:c r="AN265" s="174"/>
      <x:c r="AO265" s="178"/>
      <x:c r="AP265" s="174"/>
      <x:c r="AQ265" s="174"/>
      <x:c r="AR265" s="174"/>
      <x:c r="AS265" s="174"/>
      <x:c r="AT265" s="174"/>
      <x:c r="AU265" s="174"/>
      <x:c r="AV265" s="174"/>
      <x:c r="AW265" s="174"/>
      <x:c r="AX265" s="174"/>
      <x:c r="AY265" s="174"/>
      <x:c r="AZ265" s="174"/>
      <x:c r="BA265" s="174"/>
      <x:c r="BB265" s="174"/>
      <x:c r="BC265" s="174"/>
      <x:c r="BD265" s="174"/>
      <x:c r="BE265" s="174"/>
      <x:c r="BF265" s="174"/>
      <x:c r="BG265" s="174"/>
      <x:c r="BH265" s="174"/>
      <x:c r="BI265" s="174"/>
      <x:c r="BJ265" s="174"/>
      <x:c r="BK265" s="174"/>
      <x:c r="BL265" s="174"/>
      <x:c r="BM265" s="174"/>
      <x:c r="BN265" s="174"/>
      <x:c r="BO265" s="174"/>
      <x:c r="BP265" s="174"/>
      <x:c r="BQ265" s="174"/>
      <x:c r="BR265" s="174"/>
      <x:c r="BS265" s="174"/>
      <x:c r="BT265" s="174"/>
      <x:c r="BU265" s="174"/>
      <x:c r="BV265" s="174"/>
      <x:c r="BW265" s="174"/>
      <x:c r="BX265" s="174"/>
      <x:c r="BY265" s="174"/>
      <x:c r="BZ265" s="174"/>
      <x:c r="CA265" s="174"/>
      <x:c r="CB265" s="174"/>
      <x:c r="CC265" s="174"/>
      <x:c r="CD265" s="174"/>
      <x:c r="CE265" s="174"/>
      <x:c r="CF265" s="174"/>
      <x:c r="CG265" s="174"/>
      <x:c r="CH265" s="174"/>
      <x:c r="CI265" s="179"/>
      <x:c r="CJ265" s="174"/>
      <x:c r="CK265" s="174"/>
      <x:c r="CL265" s="174"/>
      <x:c r="CM265" s="174"/>
      <x:c r="CN265" s="174"/>
      <x:c r="CO265" s="177"/>
      <x:c r="CP265" s="174"/>
      <x:c r="CQ265" s="174"/>
      <x:c r="CR265" s="174"/>
      <x:c r="CS265" s="174"/>
      <x:c r="CT265" s="174"/>
      <x:c r="CU265" s="176"/>
      <x:c r="CV265" s="176"/>
      <x:c r="CW265" s="176"/>
      <x:c r="CX265" s="176"/>
      <x:c r="CY265" s="176"/>
      <x:c r="CZ265" s="176"/>
      <x:c r="DA265" s="176"/>
      <x:c r="DB265" s="175" t="str">
        <x:f>IF(L265="","",IF(COUNT(CU265:DA265)&lt;7,"",SUM(CU265:DA265)))</x:f>
      </x:c>
      <x:c r="DC265" s="180" t="str">
        <x:f>IF(DB265="","",ROUND(DB265/14*10,1))</x:f>
      </x:c>
      <x:c r="DD265" s="174"/>
      <x:c r="DE265" s="175" t="str">
        <x:f>IF(L265="","",IF(DC265="","Pending",IF(DD265="Yes","CONDITIONAL — safety override",IF(DC265&gt;=8,"HIGH",IF(DC265&gt;=5,"CONDITIONAL","LOW")))))</x:f>
      </x:c>
      <x:c r="DF265" s="174"/>
      <x:c r="DG265" s="174"/>
      <x:c r="DH265" s="174"/>
      <x:c r="DI265" s="174"/>
      <x:c r="DJ265" s="174"/>
      <x:c r="DK265" s="174"/>
      <x:c r="DL265" s="174"/>
      <x:c r="DM265" s="174"/>
      <x:c r="DN265" s="174"/>
      <x:c r="DO265" s="174"/>
      <x:c r="DP265" s="174"/>
      <x:c r="DQ265" s="174"/>
      <x:c r="DR265" s="174"/>
      <x:c r="DS265" s="174"/>
      <x:c r="DT265" s="174"/>
      <x:c r="DU265" s="174"/>
      <x:c r="DV265" s="174"/>
      <x:c r="DW265" s="174"/>
      <x:c r="DX265" s="174"/>
      <x:c r="DY265" s="174"/>
      <x:c r="DZ265" s="174"/>
      <x:c r="EA265" s="174"/>
      <x:c r="EB265" s="175" t="str">
        <x:f>IF(L265="","",IF(AND(F265="Claim-ready",CJ265="Yes",CL265="Yes",DZ265&lt;&gt;""),"Yes","No / Pending"))</x:f>
      </x:c>
      <x:c r="EC265" s="174"/>
      <x:c r="ED265" s="174"/>
      <x:c r="EE265" s="174"/>
      <x:c r="EF265" s="174"/>
      <x:c r="EG265" s="174"/>
      <x:c r="EH265" s="177"/>
      <x:c r="EI265" s="174"/>
      <x:c r="EJ265" s="174"/>
      <x:c r="EK265" s="174"/>
      <x:c r="EL265" s="177"/>
      <x:c r="EM265" s="174"/>
      <x:c r="EN265" s="181" t="str">
        <x:f>IF(L265="","",(IF(N265&lt;&gt;"",1,0)+IF(O265&lt;&gt;"",1,0)+IF(AJ265&lt;&gt;"",1,0)+IF(AU265&lt;&gt;"",1,0)+IF(BE265&lt;&gt;"",1,0)+IF(CF265&lt;&gt;"",1,0)+IF(CJ265="Yes",1,0)+IF(CL265="Yes",1,0)+IF(DE265&lt;&gt;"Pending",1,0)+IF(F265&lt;&gt;"",1,0)+IF(DZ265&lt;&gt;"",1,0)+IF(EI265&lt;&gt;"",1,0))/12)</x:f>
      </x:c>
    </x:row>
    <x:row r="266">
      <x:c r="A266" s="175" t="str">
        <x:f>IF(L266="","","EV-"&amp;TEXT(ROW()-3,"0000"))</x:f>
      </x:c>
      <x:c r="B266" s="174"/>
      <x:c r="C266" s="175" t="str">
        <x:f>IF(L266="","",IF(OR(CM266="Retracted",CN266="Retracted",F266="Not used"),"🔴 Do not use for conclusion",IF(OR(R266="Official / Institutional",I266="Official / contextual"),"🔵 Official / contextual",IF(OR(I266="Definition",I266="Framework",I266="Paradigm shift"),"🟣 Conceptual key source",IF(AND(CJ266="Yes",CL266="Yes",OR(CG266="High",CG266="Moderate"),CH266&lt;&gt;"High",CH266&lt;&gt;"Critical",F266="Claim-ready"),"🟢 Claim-ready","🟡 Caution / context")))))</x:f>
      </x:c>
      <x:c r="D266" s="174"/>
      <x:c r="E266" s="174"/>
      <x:c r="F266" s="174"/>
      <x:c r="G266" s="174"/>
      <x:c r="H266" s="174"/>
      <x:c r="I266" s="174"/>
      <x:c r="J266" s="174"/>
      <x:c r="K266" s="174"/>
      <x:c r="L266" s="174"/>
      <x:c r="M266" s="174"/>
      <x:c r="N266" s="174"/>
      <x:c r="O266" s="176"/>
      <x:c r="P266" s="174"/>
      <x:c r="Q266" s="174"/>
      <x:c r="R266" s="174"/>
      <x:c r="S266" s="174"/>
      <x:c r="T266" s="174"/>
      <x:c r="U266" s="174"/>
      <x:c r="V266" s="174"/>
      <x:c r="W266" s="175" t="str">
        <x:f>IF(V266="","",LOWER(SUBSTITUTE(SUBSTITUTE(SUBSTITUTE(SUBSTITUTE(TRIM(V266),"https://doi.org/",""),"http://doi.org/",""),"https://dx.doi.org/",""),"doi:","")))</x:f>
      </x:c>
      <x:c r="X266" s="174"/>
      <x:c r="Y266" s="174"/>
      <x:c r="Z266" s="174"/>
      <x:c r="AA266" s="174"/>
      <x:c r="AB266" s="174"/>
      <x:c r="AC266" s="174"/>
      <x:c r="AD266" s="177"/>
      <x:c r="AE266" s="177"/>
      <x:c r="AF266" s="174"/>
      <x:c r="AG266" s="174"/>
      <x:c r="AH266" s="174"/>
      <x:c r="AI266" s="174"/>
      <x:c r="AJ266" s="174"/>
      <x:c r="AK266" s="175" t="str">
        <x:f>IF(AJ266="","",IF(OR(LOWER(AJ266)="brazil",LOWER(AJ266)="brasil"),"Yes","No"))</x:f>
      </x:c>
      <x:c r="AL266" s="174"/>
      <x:c r="AM266" s="174"/>
      <x:c r="AN266" s="174"/>
      <x:c r="AO266" s="178"/>
      <x:c r="AP266" s="174"/>
      <x:c r="AQ266" s="174"/>
      <x:c r="AR266" s="174"/>
      <x:c r="AS266" s="174"/>
      <x:c r="AT266" s="174"/>
      <x:c r="AU266" s="174"/>
      <x:c r="AV266" s="174"/>
      <x:c r="AW266" s="174"/>
      <x:c r="AX266" s="174"/>
      <x:c r="AY266" s="174"/>
      <x:c r="AZ266" s="174"/>
      <x:c r="BA266" s="174"/>
      <x:c r="BB266" s="174"/>
      <x:c r="BC266" s="174"/>
      <x:c r="BD266" s="174"/>
      <x:c r="BE266" s="174"/>
      <x:c r="BF266" s="174"/>
      <x:c r="BG266" s="174"/>
      <x:c r="BH266" s="174"/>
      <x:c r="BI266" s="174"/>
      <x:c r="BJ266" s="174"/>
      <x:c r="BK266" s="174"/>
      <x:c r="BL266" s="174"/>
      <x:c r="BM266" s="174"/>
      <x:c r="BN266" s="174"/>
      <x:c r="BO266" s="174"/>
      <x:c r="BP266" s="174"/>
      <x:c r="BQ266" s="174"/>
      <x:c r="BR266" s="174"/>
      <x:c r="BS266" s="174"/>
      <x:c r="BT266" s="174"/>
      <x:c r="BU266" s="174"/>
      <x:c r="BV266" s="174"/>
      <x:c r="BW266" s="174"/>
      <x:c r="BX266" s="174"/>
      <x:c r="BY266" s="174"/>
      <x:c r="BZ266" s="174"/>
      <x:c r="CA266" s="174"/>
      <x:c r="CB266" s="174"/>
      <x:c r="CC266" s="174"/>
      <x:c r="CD266" s="174"/>
      <x:c r="CE266" s="174"/>
      <x:c r="CF266" s="174"/>
      <x:c r="CG266" s="174"/>
      <x:c r="CH266" s="174"/>
      <x:c r="CI266" s="179"/>
      <x:c r="CJ266" s="174"/>
      <x:c r="CK266" s="174"/>
      <x:c r="CL266" s="174"/>
      <x:c r="CM266" s="174"/>
      <x:c r="CN266" s="174"/>
      <x:c r="CO266" s="177"/>
      <x:c r="CP266" s="174"/>
      <x:c r="CQ266" s="174"/>
      <x:c r="CR266" s="174"/>
      <x:c r="CS266" s="174"/>
      <x:c r="CT266" s="174"/>
      <x:c r="CU266" s="176"/>
      <x:c r="CV266" s="176"/>
      <x:c r="CW266" s="176"/>
      <x:c r="CX266" s="176"/>
      <x:c r="CY266" s="176"/>
      <x:c r="CZ266" s="176"/>
      <x:c r="DA266" s="176"/>
      <x:c r="DB266" s="175" t="str">
        <x:f>IF(L266="","",IF(COUNT(CU266:DA266)&lt;7,"",SUM(CU266:DA266)))</x:f>
      </x:c>
      <x:c r="DC266" s="180" t="str">
        <x:f>IF(DB266="","",ROUND(DB266/14*10,1))</x:f>
      </x:c>
      <x:c r="DD266" s="174"/>
      <x:c r="DE266" s="175" t="str">
        <x:f>IF(L266="","",IF(DC266="","Pending",IF(DD266="Yes","CONDITIONAL — safety override",IF(DC266&gt;=8,"HIGH",IF(DC266&gt;=5,"CONDITIONAL","LOW")))))</x:f>
      </x:c>
      <x:c r="DF266" s="174"/>
      <x:c r="DG266" s="174"/>
      <x:c r="DH266" s="174"/>
      <x:c r="DI266" s="174"/>
      <x:c r="DJ266" s="174"/>
      <x:c r="DK266" s="174"/>
      <x:c r="DL266" s="174"/>
      <x:c r="DM266" s="174"/>
      <x:c r="DN266" s="174"/>
      <x:c r="DO266" s="174"/>
      <x:c r="DP266" s="174"/>
      <x:c r="DQ266" s="174"/>
      <x:c r="DR266" s="174"/>
      <x:c r="DS266" s="174"/>
      <x:c r="DT266" s="174"/>
      <x:c r="DU266" s="174"/>
      <x:c r="DV266" s="174"/>
      <x:c r="DW266" s="174"/>
      <x:c r="DX266" s="174"/>
      <x:c r="DY266" s="174"/>
      <x:c r="DZ266" s="174"/>
      <x:c r="EA266" s="174"/>
      <x:c r="EB266" s="175" t="str">
        <x:f>IF(L266="","",IF(AND(F266="Claim-ready",CJ266="Yes",CL266="Yes",DZ266&lt;&gt;""),"Yes","No / Pending"))</x:f>
      </x:c>
      <x:c r="EC266" s="174"/>
      <x:c r="ED266" s="174"/>
      <x:c r="EE266" s="174"/>
      <x:c r="EF266" s="174"/>
      <x:c r="EG266" s="174"/>
      <x:c r="EH266" s="177"/>
      <x:c r="EI266" s="174"/>
      <x:c r="EJ266" s="174"/>
      <x:c r="EK266" s="174"/>
      <x:c r="EL266" s="177"/>
      <x:c r="EM266" s="174"/>
      <x:c r="EN266" s="181" t="str">
        <x:f>IF(L266="","",(IF(N266&lt;&gt;"",1,0)+IF(O266&lt;&gt;"",1,0)+IF(AJ266&lt;&gt;"",1,0)+IF(AU266&lt;&gt;"",1,0)+IF(BE266&lt;&gt;"",1,0)+IF(CF266&lt;&gt;"",1,0)+IF(CJ266="Yes",1,0)+IF(CL266="Yes",1,0)+IF(DE266&lt;&gt;"Pending",1,0)+IF(F266&lt;&gt;"",1,0)+IF(DZ266&lt;&gt;"",1,0)+IF(EI266&lt;&gt;"",1,0))/12)</x:f>
      </x:c>
    </x:row>
    <x:row r="267">
      <x:c r="A267" s="175" t="str">
        <x:f>IF(L267="","","EV-"&amp;TEXT(ROW()-3,"0000"))</x:f>
      </x:c>
      <x:c r="B267" s="174"/>
      <x:c r="C267" s="175" t="str">
        <x:f>IF(L267="","",IF(OR(CM267="Retracted",CN267="Retracted",F267="Not used"),"🔴 Do not use for conclusion",IF(OR(R267="Official / Institutional",I267="Official / contextual"),"🔵 Official / contextual",IF(OR(I267="Definition",I267="Framework",I267="Paradigm shift"),"🟣 Conceptual key source",IF(AND(CJ267="Yes",CL267="Yes",OR(CG267="High",CG267="Moderate"),CH267&lt;&gt;"High",CH267&lt;&gt;"Critical",F267="Claim-ready"),"🟢 Claim-ready","🟡 Caution / context")))))</x:f>
      </x:c>
      <x:c r="D267" s="174"/>
      <x:c r="E267" s="174"/>
      <x:c r="F267" s="174"/>
      <x:c r="G267" s="174"/>
      <x:c r="H267" s="174"/>
      <x:c r="I267" s="174"/>
      <x:c r="J267" s="174"/>
      <x:c r="K267" s="174"/>
      <x:c r="L267" s="174"/>
      <x:c r="M267" s="174"/>
      <x:c r="N267" s="174"/>
      <x:c r="O267" s="176"/>
      <x:c r="P267" s="174"/>
      <x:c r="Q267" s="174"/>
      <x:c r="R267" s="174"/>
      <x:c r="S267" s="174"/>
      <x:c r="T267" s="174"/>
      <x:c r="U267" s="174"/>
      <x:c r="V267" s="174"/>
      <x:c r="W267" s="175" t="str">
        <x:f>IF(V267="","",LOWER(SUBSTITUTE(SUBSTITUTE(SUBSTITUTE(SUBSTITUTE(TRIM(V267),"https://doi.org/",""),"http://doi.org/",""),"https://dx.doi.org/",""),"doi:","")))</x:f>
      </x:c>
      <x:c r="X267" s="174"/>
      <x:c r="Y267" s="174"/>
      <x:c r="Z267" s="174"/>
      <x:c r="AA267" s="174"/>
      <x:c r="AB267" s="174"/>
      <x:c r="AC267" s="174"/>
      <x:c r="AD267" s="177"/>
      <x:c r="AE267" s="177"/>
      <x:c r="AF267" s="174"/>
      <x:c r="AG267" s="174"/>
      <x:c r="AH267" s="174"/>
      <x:c r="AI267" s="174"/>
      <x:c r="AJ267" s="174"/>
      <x:c r="AK267" s="175" t="str">
        <x:f>IF(AJ267="","",IF(OR(LOWER(AJ267)="brazil",LOWER(AJ267)="brasil"),"Yes","No"))</x:f>
      </x:c>
      <x:c r="AL267" s="174"/>
      <x:c r="AM267" s="174"/>
      <x:c r="AN267" s="174"/>
      <x:c r="AO267" s="178"/>
      <x:c r="AP267" s="174"/>
      <x:c r="AQ267" s="174"/>
      <x:c r="AR267" s="174"/>
      <x:c r="AS267" s="174"/>
      <x:c r="AT267" s="174"/>
      <x:c r="AU267" s="174"/>
      <x:c r="AV267" s="174"/>
      <x:c r="AW267" s="174"/>
      <x:c r="AX267" s="174"/>
      <x:c r="AY267" s="174"/>
      <x:c r="AZ267" s="174"/>
      <x:c r="BA267" s="174"/>
      <x:c r="BB267" s="174"/>
      <x:c r="BC267" s="174"/>
      <x:c r="BD267" s="174"/>
      <x:c r="BE267" s="174"/>
      <x:c r="BF267" s="174"/>
      <x:c r="BG267" s="174"/>
      <x:c r="BH267" s="174"/>
      <x:c r="BI267" s="174"/>
      <x:c r="BJ267" s="174"/>
      <x:c r="BK267" s="174"/>
      <x:c r="BL267" s="174"/>
      <x:c r="BM267" s="174"/>
      <x:c r="BN267" s="174"/>
      <x:c r="BO267" s="174"/>
      <x:c r="BP267" s="174"/>
      <x:c r="BQ267" s="174"/>
      <x:c r="BR267" s="174"/>
      <x:c r="BS267" s="174"/>
      <x:c r="BT267" s="174"/>
      <x:c r="BU267" s="174"/>
      <x:c r="BV267" s="174"/>
      <x:c r="BW267" s="174"/>
      <x:c r="BX267" s="174"/>
      <x:c r="BY267" s="174"/>
      <x:c r="BZ267" s="174"/>
      <x:c r="CA267" s="174"/>
      <x:c r="CB267" s="174"/>
      <x:c r="CC267" s="174"/>
      <x:c r="CD267" s="174"/>
      <x:c r="CE267" s="174"/>
      <x:c r="CF267" s="174"/>
      <x:c r="CG267" s="174"/>
      <x:c r="CH267" s="174"/>
      <x:c r="CI267" s="179"/>
      <x:c r="CJ267" s="174"/>
      <x:c r="CK267" s="174"/>
      <x:c r="CL267" s="174"/>
      <x:c r="CM267" s="174"/>
      <x:c r="CN267" s="174"/>
      <x:c r="CO267" s="177"/>
      <x:c r="CP267" s="174"/>
      <x:c r="CQ267" s="174"/>
      <x:c r="CR267" s="174"/>
      <x:c r="CS267" s="174"/>
      <x:c r="CT267" s="174"/>
      <x:c r="CU267" s="176"/>
      <x:c r="CV267" s="176"/>
      <x:c r="CW267" s="176"/>
      <x:c r="CX267" s="176"/>
      <x:c r="CY267" s="176"/>
      <x:c r="CZ267" s="176"/>
      <x:c r="DA267" s="176"/>
      <x:c r="DB267" s="175" t="str">
        <x:f>IF(L267="","",IF(COUNT(CU267:DA267)&lt;7,"",SUM(CU267:DA267)))</x:f>
      </x:c>
      <x:c r="DC267" s="180" t="str">
        <x:f>IF(DB267="","",ROUND(DB267/14*10,1))</x:f>
      </x:c>
      <x:c r="DD267" s="174"/>
      <x:c r="DE267" s="175" t="str">
        <x:f>IF(L267="","",IF(DC267="","Pending",IF(DD267="Yes","CONDITIONAL — safety override",IF(DC267&gt;=8,"HIGH",IF(DC267&gt;=5,"CONDITIONAL","LOW")))))</x:f>
      </x:c>
      <x:c r="DF267" s="174"/>
      <x:c r="DG267" s="174"/>
      <x:c r="DH267" s="174"/>
      <x:c r="DI267" s="174"/>
      <x:c r="DJ267" s="174"/>
      <x:c r="DK267" s="174"/>
      <x:c r="DL267" s="174"/>
      <x:c r="DM267" s="174"/>
      <x:c r="DN267" s="174"/>
      <x:c r="DO267" s="174"/>
      <x:c r="DP267" s="174"/>
      <x:c r="DQ267" s="174"/>
      <x:c r="DR267" s="174"/>
      <x:c r="DS267" s="174"/>
      <x:c r="DT267" s="174"/>
      <x:c r="DU267" s="174"/>
      <x:c r="DV267" s="174"/>
      <x:c r="DW267" s="174"/>
      <x:c r="DX267" s="174"/>
      <x:c r="DY267" s="174"/>
      <x:c r="DZ267" s="174"/>
      <x:c r="EA267" s="174"/>
      <x:c r="EB267" s="175" t="str">
        <x:f>IF(L267="","",IF(AND(F267="Claim-ready",CJ267="Yes",CL267="Yes",DZ267&lt;&gt;""),"Yes","No / Pending"))</x:f>
      </x:c>
      <x:c r="EC267" s="174"/>
      <x:c r="ED267" s="174"/>
      <x:c r="EE267" s="174"/>
      <x:c r="EF267" s="174"/>
      <x:c r="EG267" s="174"/>
      <x:c r="EH267" s="177"/>
      <x:c r="EI267" s="174"/>
      <x:c r="EJ267" s="174"/>
      <x:c r="EK267" s="174"/>
      <x:c r="EL267" s="177"/>
      <x:c r="EM267" s="174"/>
      <x:c r="EN267" s="181" t="str">
        <x:f>IF(L267="","",(IF(N267&lt;&gt;"",1,0)+IF(O267&lt;&gt;"",1,0)+IF(AJ267&lt;&gt;"",1,0)+IF(AU267&lt;&gt;"",1,0)+IF(BE267&lt;&gt;"",1,0)+IF(CF267&lt;&gt;"",1,0)+IF(CJ267="Yes",1,0)+IF(CL267="Yes",1,0)+IF(DE267&lt;&gt;"Pending",1,0)+IF(F267&lt;&gt;"",1,0)+IF(DZ267&lt;&gt;"",1,0)+IF(EI267&lt;&gt;"",1,0))/12)</x:f>
      </x:c>
    </x:row>
    <x:row r="268">
      <x:c r="A268" s="175" t="str">
        <x:f>IF(L268="","","EV-"&amp;TEXT(ROW()-3,"0000"))</x:f>
      </x:c>
      <x:c r="B268" s="174"/>
      <x:c r="C268" s="175" t="str">
        <x:f>IF(L268="","",IF(OR(CM268="Retracted",CN268="Retracted",F268="Not used"),"🔴 Do not use for conclusion",IF(OR(R268="Official / Institutional",I268="Official / contextual"),"🔵 Official / contextual",IF(OR(I268="Definition",I268="Framework",I268="Paradigm shift"),"🟣 Conceptual key source",IF(AND(CJ268="Yes",CL268="Yes",OR(CG268="High",CG268="Moderate"),CH268&lt;&gt;"High",CH268&lt;&gt;"Critical",F268="Claim-ready"),"🟢 Claim-ready","🟡 Caution / context")))))</x:f>
      </x:c>
      <x:c r="D268" s="174"/>
      <x:c r="E268" s="174"/>
      <x:c r="F268" s="174"/>
      <x:c r="G268" s="174"/>
      <x:c r="H268" s="174"/>
      <x:c r="I268" s="174"/>
      <x:c r="J268" s="174"/>
      <x:c r="K268" s="174"/>
      <x:c r="L268" s="174"/>
      <x:c r="M268" s="174"/>
      <x:c r="N268" s="174"/>
      <x:c r="O268" s="176"/>
      <x:c r="P268" s="174"/>
      <x:c r="Q268" s="174"/>
      <x:c r="R268" s="174"/>
      <x:c r="S268" s="174"/>
      <x:c r="T268" s="174"/>
      <x:c r="U268" s="174"/>
      <x:c r="V268" s="174"/>
      <x:c r="W268" s="175" t="str">
        <x:f>IF(V268="","",LOWER(SUBSTITUTE(SUBSTITUTE(SUBSTITUTE(SUBSTITUTE(TRIM(V268),"https://doi.org/",""),"http://doi.org/",""),"https://dx.doi.org/",""),"doi:","")))</x:f>
      </x:c>
      <x:c r="X268" s="174"/>
      <x:c r="Y268" s="174"/>
      <x:c r="Z268" s="174"/>
      <x:c r="AA268" s="174"/>
      <x:c r="AB268" s="174"/>
      <x:c r="AC268" s="174"/>
      <x:c r="AD268" s="177"/>
      <x:c r="AE268" s="177"/>
      <x:c r="AF268" s="174"/>
      <x:c r="AG268" s="174"/>
      <x:c r="AH268" s="174"/>
      <x:c r="AI268" s="174"/>
      <x:c r="AJ268" s="174"/>
      <x:c r="AK268" s="175" t="str">
        <x:f>IF(AJ268="","",IF(OR(LOWER(AJ268)="brazil",LOWER(AJ268)="brasil"),"Yes","No"))</x:f>
      </x:c>
      <x:c r="AL268" s="174"/>
      <x:c r="AM268" s="174"/>
      <x:c r="AN268" s="174"/>
      <x:c r="AO268" s="178"/>
      <x:c r="AP268" s="174"/>
      <x:c r="AQ268" s="174"/>
      <x:c r="AR268" s="174"/>
      <x:c r="AS268" s="174"/>
      <x:c r="AT268" s="174"/>
      <x:c r="AU268" s="174"/>
      <x:c r="AV268" s="174"/>
      <x:c r="AW268" s="174"/>
      <x:c r="AX268" s="174"/>
      <x:c r="AY268" s="174"/>
      <x:c r="AZ268" s="174"/>
      <x:c r="BA268" s="174"/>
      <x:c r="BB268" s="174"/>
      <x:c r="BC268" s="174"/>
      <x:c r="BD268" s="174"/>
      <x:c r="BE268" s="174"/>
      <x:c r="BF268" s="174"/>
      <x:c r="BG268" s="174"/>
      <x:c r="BH268" s="174"/>
      <x:c r="BI268" s="174"/>
      <x:c r="BJ268" s="174"/>
      <x:c r="BK268" s="174"/>
      <x:c r="BL268" s="174"/>
      <x:c r="BM268" s="174"/>
      <x:c r="BN268" s="174"/>
      <x:c r="BO268" s="174"/>
      <x:c r="BP268" s="174"/>
      <x:c r="BQ268" s="174"/>
      <x:c r="BR268" s="174"/>
      <x:c r="BS268" s="174"/>
      <x:c r="BT268" s="174"/>
      <x:c r="BU268" s="174"/>
      <x:c r="BV268" s="174"/>
      <x:c r="BW268" s="174"/>
      <x:c r="BX268" s="174"/>
      <x:c r="BY268" s="174"/>
      <x:c r="BZ268" s="174"/>
      <x:c r="CA268" s="174"/>
      <x:c r="CB268" s="174"/>
      <x:c r="CC268" s="174"/>
      <x:c r="CD268" s="174"/>
      <x:c r="CE268" s="174"/>
      <x:c r="CF268" s="174"/>
      <x:c r="CG268" s="174"/>
      <x:c r="CH268" s="174"/>
      <x:c r="CI268" s="179"/>
      <x:c r="CJ268" s="174"/>
      <x:c r="CK268" s="174"/>
      <x:c r="CL268" s="174"/>
      <x:c r="CM268" s="174"/>
      <x:c r="CN268" s="174"/>
      <x:c r="CO268" s="177"/>
      <x:c r="CP268" s="174"/>
      <x:c r="CQ268" s="174"/>
      <x:c r="CR268" s="174"/>
      <x:c r="CS268" s="174"/>
      <x:c r="CT268" s="174"/>
      <x:c r="CU268" s="176"/>
      <x:c r="CV268" s="176"/>
      <x:c r="CW268" s="176"/>
      <x:c r="CX268" s="176"/>
      <x:c r="CY268" s="176"/>
      <x:c r="CZ268" s="176"/>
      <x:c r="DA268" s="176"/>
      <x:c r="DB268" s="175" t="str">
        <x:f>IF(L268="","",IF(COUNT(CU268:DA268)&lt;7,"",SUM(CU268:DA268)))</x:f>
      </x:c>
      <x:c r="DC268" s="180" t="str">
        <x:f>IF(DB268="","",ROUND(DB268/14*10,1))</x:f>
      </x:c>
      <x:c r="DD268" s="174"/>
      <x:c r="DE268" s="175" t="str">
        <x:f>IF(L268="","",IF(DC268="","Pending",IF(DD268="Yes","CONDITIONAL — safety override",IF(DC268&gt;=8,"HIGH",IF(DC268&gt;=5,"CONDITIONAL","LOW")))))</x:f>
      </x:c>
      <x:c r="DF268" s="174"/>
      <x:c r="DG268" s="174"/>
      <x:c r="DH268" s="174"/>
      <x:c r="DI268" s="174"/>
      <x:c r="DJ268" s="174"/>
      <x:c r="DK268" s="174"/>
      <x:c r="DL268" s="174"/>
      <x:c r="DM268" s="174"/>
      <x:c r="DN268" s="174"/>
      <x:c r="DO268" s="174"/>
      <x:c r="DP268" s="174"/>
      <x:c r="DQ268" s="174"/>
      <x:c r="DR268" s="174"/>
      <x:c r="DS268" s="174"/>
      <x:c r="DT268" s="174"/>
      <x:c r="DU268" s="174"/>
      <x:c r="DV268" s="174"/>
      <x:c r="DW268" s="174"/>
      <x:c r="DX268" s="174"/>
      <x:c r="DY268" s="174"/>
      <x:c r="DZ268" s="174"/>
      <x:c r="EA268" s="174"/>
      <x:c r="EB268" s="175" t="str">
        <x:f>IF(L268="","",IF(AND(F268="Claim-ready",CJ268="Yes",CL268="Yes",DZ268&lt;&gt;""),"Yes","No / Pending"))</x:f>
      </x:c>
      <x:c r="EC268" s="174"/>
      <x:c r="ED268" s="174"/>
      <x:c r="EE268" s="174"/>
      <x:c r="EF268" s="174"/>
      <x:c r="EG268" s="174"/>
      <x:c r="EH268" s="177"/>
      <x:c r="EI268" s="174"/>
      <x:c r="EJ268" s="174"/>
      <x:c r="EK268" s="174"/>
      <x:c r="EL268" s="177"/>
      <x:c r="EM268" s="174"/>
      <x:c r="EN268" s="181" t="str">
        <x:f>IF(L268="","",(IF(N268&lt;&gt;"",1,0)+IF(O268&lt;&gt;"",1,0)+IF(AJ268&lt;&gt;"",1,0)+IF(AU268&lt;&gt;"",1,0)+IF(BE268&lt;&gt;"",1,0)+IF(CF268&lt;&gt;"",1,0)+IF(CJ268="Yes",1,0)+IF(CL268="Yes",1,0)+IF(DE268&lt;&gt;"Pending",1,0)+IF(F268&lt;&gt;"",1,0)+IF(DZ268&lt;&gt;"",1,0)+IF(EI268&lt;&gt;"",1,0))/12)</x:f>
      </x:c>
    </x:row>
    <x:row r="269">
      <x:c r="A269" s="175" t="str">
        <x:f>IF(L269="","","EV-"&amp;TEXT(ROW()-3,"0000"))</x:f>
      </x:c>
      <x:c r="B269" s="174"/>
      <x:c r="C269" s="175" t="str">
        <x:f>IF(L269="","",IF(OR(CM269="Retracted",CN269="Retracted",F269="Not used"),"🔴 Do not use for conclusion",IF(OR(R269="Official / Institutional",I269="Official / contextual"),"🔵 Official / contextual",IF(OR(I269="Definition",I269="Framework",I269="Paradigm shift"),"🟣 Conceptual key source",IF(AND(CJ269="Yes",CL269="Yes",OR(CG269="High",CG269="Moderate"),CH269&lt;&gt;"High",CH269&lt;&gt;"Critical",F269="Claim-ready"),"🟢 Claim-ready","🟡 Caution / context")))))</x:f>
      </x:c>
      <x:c r="D269" s="174"/>
      <x:c r="E269" s="174"/>
      <x:c r="F269" s="174"/>
      <x:c r="G269" s="174"/>
      <x:c r="H269" s="174"/>
      <x:c r="I269" s="174"/>
      <x:c r="J269" s="174"/>
      <x:c r="K269" s="174"/>
      <x:c r="L269" s="174"/>
      <x:c r="M269" s="174"/>
      <x:c r="N269" s="174"/>
      <x:c r="O269" s="176"/>
      <x:c r="P269" s="174"/>
      <x:c r="Q269" s="174"/>
      <x:c r="R269" s="174"/>
      <x:c r="S269" s="174"/>
      <x:c r="T269" s="174"/>
      <x:c r="U269" s="174"/>
      <x:c r="V269" s="174"/>
      <x:c r="W269" s="175" t="str">
        <x:f>IF(V269="","",LOWER(SUBSTITUTE(SUBSTITUTE(SUBSTITUTE(SUBSTITUTE(TRIM(V269),"https://doi.org/",""),"http://doi.org/",""),"https://dx.doi.org/",""),"doi:","")))</x:f>
      </x:c>
      <x:c r="X269" s="174"/>
      <x:c r="Y269" s="174"/>
      <x:c r="Z269" s="174"/>
      <x:c r="AA269" s="174"/>
      <x:c r="AB269" s="174"/>
      <x:c r="AC269" s="174"/>
      <x:c r="AD269" s="177"/>
      <x:c r="AE269" s="177"/>
      <x:c r="AF269" s="174"/>
      <x:c r="AG269" s="174"/>
      <x:c r="AH269" s="174"/>
      <x:c r="AI269" s="174"/>
      <x:c r="AJ269" s="174"/>
      <x:c r="AK269" s="175" t="str">
        <x:f>IF(AJ269="","",IF(OR(LOWER(AJ269)="brazil",LOWER(AJ269)="brasil"),"Yes","No"))</x:f>
      </x:c>
      <x:c r="AL269" s="174"/>
      <x:c r="AM269" s="174"/>
      <x:c r="AN269" s="174"/>
      <x:c r="AO269" s="178"/>
      <x:c r="AP269" s="174"/>
      <x:c r="AQ269" s="174"/>
      <x:c r="AR269" s="174"/>
      <x:c r="AS269" s="174"/>
      <x:c r="AT269" s="174"/>
      <x:c r="AU269" s="174"/>
      <x:c r="AV269" s="174"/>
      <x:c r="AW269" s="174"/>
      <x:c r="AX269" s="174"/>
      <x:c r="AY269" s="174"/>
      <x:c r="AZ269" s="174"/>
      <x:c r="BA269" s="174"/>
      <x:c r="BB269" s="174"/>
      <x:c r="BC269" s="174"/>
      <x:c r="BD269" s="174"/>
      <x:c r="BE269" s="174"/>
      <x:c r="BF269" s="174"/>
      <x:c r="BG269" s="174"/>
      <x:c r="BH269" s="174"/>
      <x:c r="BI269" s="174"/>
      <x:c r="BJ269" s="174"/>
      <x:c r="BK269" s="174"/>
      <x:c r="BL269" s="174"/>
      <x:c r="BM269" s="174"/>
      <x:c r="BN269" s="174"/>
      <x:c r="BO269" s="174"/>
      <x:c r="BP269" s="174"/>
      <x:c r="BQ269" s="174"/>
      <x:c r="BR269" s="174"/>
      <x:c r="BS269" s="174"/>
      <x:c r="BT269" s="174"/>
      <x:c r="BU269" s="174"/>
      <x:c r="BV269" s="174"/>
      <x:c r="BW269" s="174"/>
      <x:c r="BX269" s="174"/>
      <x:c r="BY269" s="174"/>
      <x:c r="BZ269" s="174"/>
      <x:c r="CA269" s="174"/>
      <x:c r="CB269" s="174"/>
      <x:c r="CC269" s="174"/>
      <x:c r="CD269" s="174"/>
      <x:c r="CE269" s="174"/>
      <x:c r="CF269" s="174"/>
      <x:c r="CG269" s="174"/>
      <x:c r="CH269" s="174"/>
      <x:c r="CI269" s="179"/>
      <x:c r="CJ269" s="174"/>
      <x:c r="CK269" s="174"/>
      <x:c r="CL269" s="174"/>
      <x:c r="CM269" s="174"/>
      <x:c r="CN269" s="174"/>
      <x:c r="CO269" s="177"/>
      <x:c r="CP269" s="174"/>
      <x:c r="CQ269" s="174"/>
      <x:c r="CR269" s="174"/>
      <x:c r="CS269" s="174"/>
      <x:c r="CT269" s="174"/>
      <x:c r="CU269" s="176"/>
      <x:c r="CV269" s="176"/>
      <x:c r="CW269" s="176"/>
      <x:c r="CX269" s="176"/>
      <x:c r="CY269" s="176"/>
      <x:c r="CZ269" s="176"/>
      <x:c r="DA269" s="176"/>
      <x:c r="DB269" s="175" t="str">
        <x:f>IF(L269="","",IF(COUNT(CU269:DA269)&lt;7,"",SUM(CU269:DA269)))</x:f>
      </x:c>
      <x:c r="DC269" s="180" t="str">
        <x:f>IF(DB269="","",ROUND(DB269/14*10,1))</x:f>
      </x:c>
      <x:c r="DD269" s="174"/>
      <x:c r="DE269" s="175" t="str">
        <x:f>IF(L269="","",IF(DC269="","Pending",IF(DD269="Yes","CONDITIONAL — safety override",IF(DC269&gt;=8,"HIGH",IF(DC269&gt;=5,"CONDITIONAL","LOW")))))</x:f>
      </x:c>
      <x:c r="DF269" s="174"/>
      <x:c r="DG269" s="174"/>
      <x:c r="DH269" s="174"/>
      <x:c r="DI269" s="174"/>
      <x:c r="DJ269" s="174"/>
      <x:c r="DK269" s="174"/>
      <x:c r="DL269" s="174"/>
      <x:c r="DM269" s="174"/>
      <x:c r="DN269" s="174"/>
      <x:c r="DO269" s="174"/>
      <x:c r="DP269" s="174"/>
      <x:c r="DQ269" s="174"/>
      <x:c r="DR269" s="174"/>
      <x:c r="DS269" s="174"/>
      <x:c r="DT269" s="174"/>
      <x:c r="DU269" s="174"/>
      <x:c r="DV269" s="174"/>
      <x:c r="DW269" s="174"/>
      <x:c r="DX269" s="174"/>
      <x:c r="DY269" s="174"/>
      <x:c r="DZ269" s="174"/>
      <x:c r="EA269" s="174"/>
      <x:c r="EB269" s="175" t="str">
        <x:f>IF(L269="","",IF(AND(F269="Claim-ready",CJ269="Yes",CL269="Yes",DZ269&lt;&gt;""),"Yes","No / Pending"))</x:f>
      </x:c>
      <x:c r="EC269" s="174"/>
      <x:c r="ED269" s="174"/>
      <x:c r="EE269" s="174"/>
      <x:c r="EF269" s="174"/>
      <x:c r="EG269" s="174"/>
      <x:c r="EH269" s="177"/>
      <x:c r="EI269" s="174"/>
      <x:c r="EJ269" s="174"/>
      <x:c r="EK269" s="174"/>
      <x:c r="EL269" s="177"/>
      <x:c r="EM269" s="174"/>
      <x:c r="EN269" s="181" t="str">
        <x:f>IF(L269="","",(IF(N269&lt;&gt;"",1,0)+IF(O269&lt;&gt;"",1,0)+IF(AJ269&lt;&gt;"",1,0)+IF(AU269&lt;&gt;"",1,0)+IF(BE269&lt;&gt;"",1,0)+IF(CF269&lt;&gt;"",1,0)+IF(CJ269="Yes",1,0)+IF(CL269="Yes",1,0)+IF(DE269&lt;&gt;"Pending",1,0)+IF(F269&lt;&gt;"",1,0)+IF(DZ269&lt;&gt;"",1,0)+IF(EI269&lt;&gt;"",1,0))/12)</x:f>
      </x:c>
    </x:row>
    <x:row r="270">
      <x:c r="A270" s="175" t="str">
        <x:f>IF(L270="","","EV-"&amp;TEXT(ROW()-3,"0000"))</x:f>
      </x:c>
      <x:c r="B270" s="174"/>
      <x:c r="C270" s="175" t="str">
        <x:f>IF(L270="","",IF(OR(CM270="Retracted",CN270="Retracted",F270="Not used"),"🔴 Do not use for conclusion",IF(OR(R270="Official / Institutional",I270="Official / contextual"),"🔵 Official / contextual",IF(OR(I270="Definition",I270="Framework",I270="Paradigm shift"),"🟣 Conceptual key source",IF(AND(CJ270="Yes",CL270="Yes",OR(CG270="High",CG270="Moderate"),CH270&lt;&gt;"High",CH270&lt;&gt;"Critical",F270="Claim-ready"),"🟢 Claim-ready","🟡 Caution / context")))))</x:f>
      </x:c>
      <x:c r="D270" s="174"/>
      <x:c r="E270" s="174"/>
      <x:c r="F270" s="174"/>
      <x:c r="G270" s="174"/>
      <x:c r="H270" s="174"/>
      <x:c r="I270" s="174"/>
      <x:c r="J270" s="174"/>
      <x:c r="K270" s="174"/>
      <x:c r="L270" s="174"/>
      <x:c r="M270" s="174"/>
      <x:c r="N270" s="174"/>
      <x:c r="O270" s="176"/>
      <x:c r="P270" s="174"/>
      <x:c r="Q270" s="174"/>
      <x:c r="R270" s="174"/>
      <x:c r="S270" s="174"/>
      <x:c r="T270" s="174"/>
      <x:c r="U270" s="174"/>
      <x:c r="V270" s="174"/>
      <x:c r="W270" s="175" t="str">
        <x:f>IF(V270="","",LOWER(SUBSTITUTE(SUBSTITUTE(SUBSTITUTE(SUBSTITUTE(TRIM(V270),"https://doi.org/",""),"http://doi.org/",""),"https://dx.doi.org/",""),"doi:","")))</x:f>
      </x:c>
      <x:c r="X270" s="174"/>
      <x:c r="Y270" s="174"/>
      <x:c r="Z270" s="174"/>
      <x:c r="AA270" s="174"/>
      <x:c r="AB270" s="174"/>
      <x:c r="AC270" s="174"/>
      <x:c r="AD270" s="177"/>
      <x:c r="AE270" s="177"/>
      <x:c r="AF270" s="174"/>
      <x:c r="AG270" s="174"/>
      <x:c r="AH270" s="174"/>
      <x:c r="AI270" s="174"/>
      <x:c r="AJ270" s="174"/>
      <x:c r="AK270" s="175" t="str">
        <x:f>IF(AJ270="","",IF(OR(LOWER(AJ270)="brazil",LOWER(AJ270)="brasil"),"Yes","No"))</x:f>
      </x:c>
      <x:c r="AL270" s="174"/>
      <x:c r="AM270" s="174"/>
      <x:c r="AN270" s="174"/>
      <x:c r="AO270" s="178"/>
      <x:c r="AP270" s="174"/>
      <x:c r="AQ270" s="174"/>
      <x:c r="AR270" s="174"/>
      <x:c r="AS270" s="174"/>
      <x:c r="AT270" s="174"/>
      <x:c r="AU270" s="174"/>
      <x:c r="AV270" s="174"/>
      <x:c r="AW270" s="174"/>
      <x:c r="AX270" s="174"/>
      <x:c r="AY270" s="174"/>
      <x:c r="AZ270" s="174"/>
      <x:c r="BA270" s="174"/>
      <x:c r="BB270" s="174"/>
      <x:c r="BC270" s="174"/>
      <x:c r="BD270" s="174"/>
      <x:c r="BE270" s="174"/>
      <x:c r="BF270" s="174"/>
      <x:c r="BG270" s="174"/>
      <x:c r="BH270" s="174"/>
      <x:c r="BI270" s="174"/>
      <x:c r="BJ270" s="174"/>
      <x:c r="BK270" s="174"/>
      <x:c r="BL270" s="174"/>
      <x:c r="BM270" s="174"/>
      <x:c r="BN270" s="174"/>
      <x:c r="BO270" s="174"/>
      <x:c r="BP270" s="174"/>
      <x:c r="BQ270" s="174"/>
      <x:c r="BR270" s="174"/>
      <x:c r="BS270" s="174"/>
      <x:c r="BT270" s="174"/>
      <x:c r="BU270" s="174"/>
      <x:c r="BV270" s="174"/>
      <x:c r="BW270" s="174"/>
      <x:c r="BX270" s="174"/>
      <x:c r="BY270" s="174"/>
      <x:c r="BZ270" s="174"/>
      <x:c r="CA270" s="174"/>
      <x:c r="CB270" s="174"/>
      <x:c r="CC270" s="174"/>
      <x:c r="CD270" s="174"/>
      <x:c r="CE270" s="174"/>
      <x:c r="CF270" s="174"/>
      <x:c r="CG270" s="174"/>
      <x:c r="CH270" s="174"/>
      <x:c r="CI270" s="179"/>
      <x:c r="CJ270" s="174"/>
      <x:c r="CK270" s="174"/>
      <x:c r="CL270" s="174"/>
      <x:c r="CM270" s="174"/>
      <x:c r="CN270" s="174"/>
      <x:c r="CO270" s="177"/>
      <x:c r="CP270" s="174"/>
      <x:c r="CQ270" s="174"/>
      <x:c r="CR270" s="174"/>
      <x:c r="CS270" s="174"/>
      <x:c r="CT270" s="174"/>
      <x:c r="CU270" s="176"/>
      <x:c r="CV270" s="176"/>
      <x:c r="CW270" s="176"/>
      <x:c r="CX270" s="176"/>
      <x:c r="CY270" s="176"/>
      <x:c r="CZ270" s="176"/>
      <x:c r="DA270" s="176"/>
      <x:c r="DB270" s="175" t="str">
        <x:f>IF(L270="","",IF(COUNT(CU270:DA270)&lt;7,"",SUM(CU270:DA270)))</x:f>
      </x:c>
      <x:c r="DC270" s="180" t="str">
        <x:f>IF(DB270="","",ROUND(DB270/14*10,1))</x:f>
      </x:c>
      <x:c r="DD270" s="174"/>
      <x:c r="DE270" s="175" t="str">
        <x:f>IF(L270="","",IF(DC270="","Pending",IF(DD270="Yes","CONDITIONAL — safety override",IF(DC270&gt;=8,"HIGH",IF(DC270&gt;=5,"CONDITIONAL","LOW")))))</x:f>
      </x:c>
      <x:c r="DF270" s="174"/>
      <x:c r="DG270" s="174"/>
      <x:c r="DH270" s="174"/>
      <x:c r="DI270" s="174"/>
      <x:c r="DJ270" s="174"/>
      <x:c r="DK270" s="174"/>
      <x:c r="DL270" s="174"/>
      <x:c r="DM270" s="174"/>
      <x:c r="DN270" s="174"/>
      <x:c r="DO270" s="174"/>
      <x:c r="DP270" s="174"/>
      <x:c r="DQ270" s="174"/>
      <x:c r="DR270" s="174"/>
      <x:c r="DS270" s="174"/>
      <x:c r="DT270" s="174"/>
      <x:c r="DU270" s="174"/>
      <x:c r="DV270" s="174"/>
      <x:c r="DW270" s="174"/>
      <x:c r="DX270" s="174"/>
      <x:c r="DY270" s="174"/>
      <x:c r="DZ270" s="174"/>
      <x:c r="EA270" s="174"/>
      <x:c r="EB270" s="175" t="str">
        <x:f>IF(L270="","",IF(AND(F270="Claim-ready",CJ270="Yes",CL270="Yes",DZ270&lt;&gt;""),"Yes","No / Pending"))</x:f>
      </x:c>
      <x:c r="EC270" s="174"/>
      <x:c r="ED270" s="174"/>
      <x:c r="EE270" s="174"/>
      <x:c r="EF270" s="174"/>
      <x:c r="EG270" s="174"/>
      <x:c r="EH270" s="177"/>
      <x:c r="EI270" s="174"/>
      <x:c r="EJ270" s="174"/>
      <x:c r="EK270" s="174"/>
      <x:c r="EL270" s="177"/>
      <x:c r="EM270" s="174"/>
      <x:c r="EN270" s="181" t="str">
        <x:f>IF(L270="","",(IF(N270&lt;&gt;"",1,0)+IF(O270&lt;&gt;"",1,0)+IF(AJ270&lt;&gt;"",1,0)+IF(AU270&lt;&gt;"",1,0)+IF(BE270&lt;&gt;"",1,0)+IF(CF270&lt;&gt;"",1,0)+IF(CJ270="Yes",1,0)+IF(CL270="Yes",1,0)+IF(DE270&lt;&gt;"Pending",1,0)+IF(F270&lt;&gt;"",1,0)+IF(DZ270&lt;&gt;"",1,0)+IF(EI270&lt;&gt;"",1,0))/12)</x:f>
      </x:c>
    </x:row>
    <x:row r="271">
      <x:c r="A271" s="175" t="str">
        <x:f>IF(L271="","","EV-"&amp;TEXT(ROW()-3,"0000"))</x:f>
      </x:c>
      <x:c r="B271" s="174"/>
      <x:c r="C271" s="175" t="str">
        <x:f>IF(L271="","",IF(OR(CM271="Retracted",CN271="Retracted",F271="Not used"),"🔴 Do not use for conclusion",IF(OR(R271="Official / Institutional",I271="Official / contextual"),"🔵 Official / contextual",IF(OR(I271="Definition",I271="Framework",I271="Paradigm shift"),"🟣 Conceptual key source",IF(AND(CJ271="Yes",CL271="Yes",OR(CG271="High",CG271="Moderate"),CH271&lt;&gt;"High",CH271&lt;&gt;"Critical",F271="Claim-ready"),"🟢 Claim-ready","🟡 Caution / context")))))</x:f>
      </x:c>
      <x:c r="D271" s="174"/>
      <x:c r="E271" s="174"/>
      <x:c r="F271" s="174"/>
      <x:c r="G271" s="174"/>
      <x:c r="H271" s="174"/>
      <x:c r="I271" s="174"/>
      <x:c r="J271" s="174"/>
      <x:c r="K271" s="174"/>
      <x:c r="L271" s="174"/>
      <x:c r="M271" s="174"/>
      <x:c r="N271" s="174"/>
      <x:c r="O271" s="176"/>
      <x:c r="P271" s="174"/>
      <x:c r="Q271" s="174"/>
      <x:c r="R271" s="174"/>
      <x:c r="S271" s="174"/>
      <x:c r="T271" s="174"/>
      <x:c r="U271" s="174"/>
      <x:c r="V271" s="174"/>
      <x:c r="W271" s="175" t="str">
        <x:f>IF(V271="","",LOWER(SUBSTITUTE(SUBSTITUTE(SUBSTITUTE(SUBSTITUTE(TRIM(V271),"https://doi.org/",""),"http://doi.org/",""),"https://dx.doi.org/",""),"doi:","")))</x:f>
      </x:c>
      <x:c r="X271" s="174"/>
      <x:c r="Y271" s="174"/>
      <x:c r="Z271" s="174"/>
      <x:c r="AA271" s="174"/>
      <x:c r="AB271" s="174"/>
      <x:c r="AC271" s="174"/>
      <x:c r="AD271" s="177"/>
      <x:c r="AE271" s="177"/>
      <x:c r="AF271" s="174"/>
      <x:c r="AG271" s="174"/>
      <x:c r="AH271" s="174"/>
      <x:c r="AI271" s="174"/>
      <x:c r="AJ271" s="174"/>
      <x:c r="AK271" s="175" t="str">
        <x:f>IF(AJ271="","",IF(OR(LOWER(AJ271)="brazil",LOWER(AJ271)="brasil"),"Yes","No"))</x:f>
      </x:c>
      <x:c r="AL271" s="174"/>
      <x:c r="AM271" s="174"/>
      <x:c r="AN271" s="174"/>
      <x:c r="AO271" s="178"/>
      <x:c r="AP271" s="174"/>
      <x:c r="AQ271" s="174"/>
      <x:c r="AR271" s="174"/>
      <x:c r="AS271" s="174"/>
      <x:c r="AT271" s="174"/>
      <x:c r="AU271" s="174"/>
      <x:c r="AV271" s="174"/>
      <x:c r="AW271" s="174"/>
      <x:c r="AX271" s="174"/>
      <x:c r="AY271" s="174"/>
      <x:c r="AZ271" s="174"/>
      <x:c r="BA271" s="174"/>
      <x:c r="BB271" s="174"/>
      <x:c r="BC271" s="174"/>
      <x:c r="BD271" s="174"/>
      <x:c r="BE271" s="174"/>
      <x:c r="BF271" s="174"/>
      <x:c r="BG271" s="174"/>
      <x:c r="BH271" s="174"/>
      <x:c r="BI271" s="174"/>
      <x:c r="BJ271" s="174"/>
      <x:c r="BK271" s="174"/>
      <x:c r="BL271" s="174"/>
      <x:c r="BM271" s="174"/>
      <x:c r="BN271" s="174"/>
      <x:c r="BO271" s="174"/>
      <x:c r="BP271" s="174"/>
      <x:c r="BQ271" s="174"/>
      <x:c r="BR271" s="174"/>
      <x:c r="BS271" s="174"/>
      <x:c r="BT271" s="174"/>
      <x:c r="BU271" s="174"/>
      <x:c r="BV271" s="174"/>
      <x:c r="BW271" s="174"/>
      <x:c r="BX271" s="174"/>
      <x:c r="BY271" s="174"/>
      <x:c r="BZ271" s="174"/>
      <x:c r="CA271" s="174"/>
      <x:c r="CB271" s="174"/>
      <x:c r="CC271" s="174"/>
      <x:c r="CD271" s="174"/>
      <x:c r="CE271" s="174"/>
      <x:c r="CF271" s="174"/>
      <x:c r="CG271" s="174"/>
      <x:c r="CH271" s="174"/>
      <x:c r="CI271" s="179"/>
      <x:c r="CJ271" s="174"/>
      <x:c r="CK271" s="174"/>
      <x:c r="CL271" s="174"/>
      <x:c r="CM271" s="174"/>
      <x:c r="CN271" s="174"/>
      <x:c r="CO271" s="177"/>
      <x:c r="CP271" s="174"/>
      <x:c r="CQ271" s="174"/>
      <x:c r="CR271" s="174"/>
      <x:c r="CS271" s="174"/>
      <x:c r="CT271" s="174"/>
      <x:c r="CU271" s="176"/>
      <x:c r="CV271" s="176"/>
      <x:c r="CW271" s="176"/>
      <x:c r="CX271" s="176"/>
      <x:c r="CY271" s="176"/>
      <x:c r="CZ271" s="176"/>
      <x:c r="DA271" s="176"/>
      <x:c r="DB271" s="175" t="str">
        <x:f>IF(L271="","",IF(COUNT(CU271:DA271)&lt;7,"",SUM(CU271:DA271)))</x:f>
      </x:c>
      <x:c r="DC271" s="180" t="str">
        <x:f>IF(DB271="","",ROUND(DB271/14*10,1))</x:f>
      </x:c>
      <x:c r="DD271" s="174"/>
      <x:c r="DE271" s="175" t="str">
        <x:f>IF(L271="","",IF(DC271="","Pending",IF(DD271="Yes","CONDITIONAL — safety override",IF(DC271&gt;=8,"HIGH",IF(DC271&gt;=5,"CONDITIONAL","LOW")))))</x:f>
      </x:c>
      <x:c r="DF271" s="174"/>
      <x:c r="DG271" s="174"/>
      <x:c r="DH271" s="174"/>
      <x:c r="DI271" s="174"/>
      <x:c r="DJ271" s="174"/>
      <x:c r="DK271" s="174"/>
      <x:c r="DL271" s="174"/>
      <x:c r="DM271" s="174"/>
      <x:c r="DN271" s="174"/>
      <x:c r="DO271" s="174"/>
      <x:c r="DP271" s="174"/>
      <x:c r="DQ271" s="174"/>
      <x:c r="DR271" s="174"/>
      <x:c r="DS271" s="174"/>
      <x:c r="DT271" s="174"/>
      <x:c r="DU271" s="174"/>
      <x:c r="DV271" s="174"/>
      <x:c r="DW271" s="174"/>
      <x:c r="DX271" s="174"/>
      <x:c r="DY271" s="174"/>
      <x:c r="DZ271" s="174"/>
      <x:c r="EA271" s="174"/>
      <x:c r="EB271" s="175" t="str">
        <x:f>IF(L271="","",IF(AND(F271="Claim-ready",CJ271="Yes",CL271="Yes",DZ271&lt;&gt;""),"Yes","No / Pending"))</x:f>
      </x:c>
      <x:c r="EC271" s="174"/>
      <x:c r="ED271" s="174"/>
      <x:c r="EE271" s="174"/>
      <x:c r="EF271" s="174"/>
      <x:c r="EG271" s="174"/>
      <x:c r="EH271" s="177"/>
      <x:c r="EI271" s="174"/>
      <x:c r="EJ271" s="174"/>
      <x:c r="EK271" s="174"/>
      <x:c r="EL271" s="177"/>
      <x:c r="EM271" s="174"/>
      <x:c r="EN271" s="181" t="str">
        <x:f>IF(L271="","",(IF(N271&lt;&gt;"",1,0)+IF(O271&lt;&gt;"",1,0)+IF(AJ271&lt;&gt;"",1,0)+IF(AU271&lt;&gt;"",1,0)+IF(BE271&lt;&gt;"",1,0)+IF(CF271&lt;&gt;"",1,0)+IF(CJ271="Yes",1,0)+IF(CL271="Yes",1,0)+IF(DE271&lt;&gt;"Pending",1,0)+IF(F271&lt;&gt;"",1,0)+IF(DZ271&lt;&gt;"",1,0)+IF(EI271&lt;&gt;"",1,0))/12)</x:f>
      </x:c>
    </x:row>
    <x:row r="272">
      <x:c r="A272" s="175" t="str">
        <x:f>IF(L272="","","EV-"&amp;TEXT(ROW()-3,"0000"))</x:f>
      </x:c>
      <x:c r="B272" s="174"/>
      <x:c r="C272" s="175" t="str">
        <x:f>IF(L272="","",IF(OR(CM272="Retracted",CN272="Retracted",F272="Not used"),"🔴 Do not use for conclusion",IF(OR(R272="Official / Institutional",I272="Official / contextual"),"🔵 Official / contextual",IF(OR(I272="Definition",I272="Framework",I272="Paradigm shift"),"🟣 Conceptual key source",IF(AND(CJ272="Yes",CL272="Yes",OR(CG272="High",CG272="Moderate"),CH272&lt;&gt;"High",CH272&lt;&gt;"Critical",F272="Claim-ready"),"🟢 Claim-ready","🟡 Caution / context")))))</x:f>
      </x:c>
      <x:c r="D272" s="174"/>
      <x:c r="E272" s="174"/>
      <x:c r="F272" s="174"/>
      <x:c r="G272" s="174"/>
      <x:c r="H272" s="174"/>
      <x:c r="I272" s="174"/>
      <x:c r="J272" s="174"/>
      <x:c r="K272" s="174"/>
      <x:c r="L272" s="174"/>
      <x:c r="M272" s="174"/>
      <x:c r="N272" s="174"/>
      <x:c r="O272" s="176"/>
      <x:c r="P272" s="174"/>
      <x:c r="Q272" s="174"/>
      <x:c r="R272" s="174"/>
      <x:c r="S272" s="174"/>
      <x:c r="T272" s="174"/>
      <x:c r="U272" s="174"/>
      <x:c r="V272" s="174"/>
      <x:c r="W272" s="175" t="str">
        <x:f>IF(V272="","",LOWER(SUBSTITUTE(SUBSTITUTE(SUBSTITUTE(SUBSTITUTE(TRIM(V272),"https://doi.org/",""),"http://doi.org/",""),"https://dx.doi.org/",""),"doi:","")))</x:f>
      </x:c>
      <x:c r="X272" s="174"/>
      <x:c r="Y272" s="174"/>
      <x:c r="Z272" s="174"/>
      <x:c r="AA272" s="174"/>
      <x:c r="AB272" s="174"/>
      <x:c r="AC272" s="174"/>
      <x:c r="AD272" s="177"/>
      <x:c r="AE272" s="177"/>
      <x:c r="AF272" s="174"/>
      <x:c r="AG272" s="174"/>
      <x:c r="AH272" s="174"/>
      <x:c r="AI272" s="174"/>
      <x:c r="AJ272" s="174"/>
      <x:c r="AK272" s="175" t="str">
        <x:f>IF(AJ272="","",IF(OR(LOWER(AJ272)="brazil",LOWER(AJ272)="brasil"),"Yes","No"))</x:f>
      </x:c>
      <x:c r="AL272" s="174"/>
      <x:c r="AM272" s="174"/>
      <x:c r="AN272" s="174"/>
      <x:c r="AO272" s="178"/>
      <x:c r="AP272" s="174"/>
      <x:c r="AQ272" s="174"/>
      <x:c r="AR272" s="174"/>
      <x:c r="AS272" s="174"/>
      <x:c r="AT272" s="174"/>
      <x:c r="AU272" s="174"/>
      <x:c r="AV272" s="174"/>
      <x:c r="AW272" s="174"/>
      <x:c r="AX272" s="174"/>
      <x:c r="AY272" s="174"/>
      <x:c r="AZ272" s="174"/>
      <x:c r="BA272" s="174"/>
      <x:c r="BB272" s="174"/>
      <x:c r="BC272" s="174"/>
      <x:c r="BD272" s="174"/>
      <x:c r="BE272" s="174"/>
      <x:c r="BF272" s="174"/>
      <x:c r="BG272" s="174"/>
      <x:c r="BH272" s="174"/>
      <x:c r="BI272" s="174"/>
      <x:c r="BJ272" s="174"/>
      <x:c r="BK272" s="174"/>
      <x:c r="BL272" s="174"/>
      <x:c r="BM272" s="174"/>
      <x:c r="BN272" s="174"/>
      <x:c r="BO272" s="174"/>
      <x:c r="BP272" s="174"/>
      <x:c r="BQ272" s="174"/>
      <x:c r="BR272" s="174"/>
      <x:c r="BS272" s="174"/>
      <x:c r="BT272" s="174"/>
      <x:c r="BU272" s="174"/>
      <x:c r="BV272" s="174"/>
      <x:c r="BW272" s="174"/>
      <x:c r="BX272" s="174"/>
      <x:c r="BY272" s="174"/>
      <x:c r="BZ272" s="174"/>
      <x:c r="CA272" s="174"/>
      <x:c r="CB272" s="174"/>
      <x:c r="CC272" s="174"/>
      <x:c r="CD272" s="174"/>
      <x:c r="CE272" s="174"/>
      <x:c r="CF272" s="174"/>
      <x:c r="CG272" s="174"/>
      <x:c r="CH272" s="174"/>
      <x:c r="CI272" s="179"/>
      <x:c r="CJ272" s="174"/>
      <x:c r="CK272" s="174"/>
      <x:c r="CL272" s="174"/>
      <x:c r="CM272" s="174"/>
      <x:c r="CN272" s="174"/>
      <x:c r="CO272" s="177"/>
      <x:c r="CP272" s="174"/>
      <x:c r="CQ272" s="174"/>
      <x:c r="CR272" s="174"/>
      <x:c r="CS272" s="174"/>
      <x:c r="CT272" s="174"/>
      <x:c r="CU272" s="176"/>
      <x:c r="CV272" s="176"/>
      <x:c r="CW272" s="176"/>
      <x:c r="CX272" s="176"/>
      <x:c r="CY272" s="176"/>
      <x:c r="CZ272" s="176"/>
      <x:c r="DA272" s="176"/>
      <x:c r="DB272" s="175" t="str">
        <x:f>IF(L272="","",IF(COUNT(CU272:DA272)&lt;7,"",SUM(CU272:DA272)))</x:f>
      </x:c>
      <x:c r="DC272" s="180" t="str">
        <x:f>IF(DB272="","",ROUND(DB272/14*10,1))</x:f>
      </x:c>
      <x:c r="DD272" s="174"/>
      <x:c r="DE272" s="175" t="str">
        <x:f>IF(L272="","",IF(DC272="","Pending",IF(DD272="Yes","CONDITIONAL — safety override",IF(DC272&gt;=8,"HIGH",IF(DC272&gt;=5,"CONDITIONAL","LOW")))))</x:f>
      </x:c>
      <x:c r="DF272" s="174"/>
      <x:c r="DG272" s="174"/>
      <x:c r="DH272" s="174"/>
      <x:c r="DI272" s="174"/>
      <x:c r="DJ272" s="174"/>
      <x:c r="DK272" s="174"/>
      <x:c r="DL272" s="174"/>
      <x:c r="DM272" s="174"/>
      <x:c r="DN272" s="174"/>
      <x:c r="DO272" s="174"/>
      <x:c r="DP272" s="174"/>
      <x:c r="DQ272" s="174"/>
      <x:c r="DR272" s="174"/>
      <x:c r="DS272" s="174"/>
      <x:c r="DT272" s="174"/>
      <x:c r="DU272" s="174"/>
      <x:c r="DV272" s="174"/>
      <x:c r="DW272" s="174"/>
      <x:c r="DX272" s="174"/>
      <x:c r="DY272" s="174"/>
      <x:c r="DZ272" s="174"/>
      <x:c r="EA272" s="174"/>
      <x:c r="EB272" s="175" t="str">
        <x:f>IF(L272="","",IF(AND(F272="Claim-ready",CJ272="Yes",CL272="Yes",DZ272&lt;&gt;""),"Yes","No / Pending"))</x:f>
      </x:c>
      <x:c r="EC272" s="174"/>
      <x:c r="ED272" s="174"/>
      <x:c r="EE272" s="174"/>
      <x:c r="EF272" s="174"/>
      <x:c r="EG272" s="174"/>
      <x:c r="EH272" s="177"/>
      <x:c r="EI272" s="174"/>
      <x:c r="EJ272" s="174"/>
      <x:c r="EK272" s="174"/>
      <x:c r="EL272" s="177"/>
      <x:c r="EM272" s="174"/>
      <x:c r="EN272" s="181" t="str">
        <x:f>IF(L272="","",(IF(N272&lt;&gt;"",1,0)+IF(O272&lt;&gt;"",1,0)+IF(AJ272&lt;&gt;"",1,0)+IF(AU272&lt;&gt;"",1,0)+IF(BE272&lt;&gt;"",1,0)+IF(CF272&lt;&gt;"",1,0)+IF(CJ272="Yes",1,0)+IF(CL272="Yes",1,0)+IF(DE272&lt;&gt;"Pending",1,0)+IF(F272&lt;&gt;"",1,0)+IF(DZ272&lt;&gt;"",1,0)+IF(EI272&lt;&gt;"",1,0))/12)</x:f>
      </x:c>
    </x:row>
    <x:row r="273">
      <x:c r="A273" s="175" t="str">
        <x:f>IF(L273="","","EV-"&amp;TEXT(ROW()-3,"0000"))</x:f>
      </x:c>
      <x:c r="B273" s="174"/>
      <x:c r="C273" s="175" t="str">
        <x:f>IF(L273="","",IF(OR(CM273="Retracted",CN273="Retracted",F273="Not used"),"🔴 Do not use for conclusion",IF(OR(R273="Official / Institutional",I273="Official / contextual"),"🔵 Official / contextual",IF(OR(I273="Definition",I273="Framework",I273="Paradigm shift"),"🟣 Conceptual key source",IF(AND(CJ273="Yes",CL273="Yes",OR(CG273="High",CG273="Moderate"),CH273&lt;&gt;"High",CH273&lt;&gt;"Critical",F273="Claim-ready"),"🟢 Claim-ready","🟡 Caution / context")))))</x:f>
      </x:c>
      <x:c r="D273" s="174"/>
      <x:c r="E273" s="174"/>
      <x:c r="F273" s="174"/>
      <x:c r="G273" s="174"/>
      <x:c r="H273" s="174"/>
      <x:c r="I273" s="174"/>
      <x:c r="J273" s="174"/>
      <x:c r="K273" s="174"/>
      <x:c r="L273" s="174"/>
      <x:c r="M273" s="174"/>
      <x:c r="N273" s="174"/>
      <x:c r="O273" s="176"/>
      <x:c r="P273" s="174"/>
      <x:c r="Q273" s="174"/>
      <x:c r="R273" s="174"/>
      <x:c r="S273" s="174"/>
      <x:c r="T273" s="174"/>
      <x:c r="U273" s="174"/>
      <x:c r="V273" s="174"/>
      <x:c r="W273" s="175" t="str">
        <x:f>IF(V273="","",LOWER(SUBSTITUTE(SUBSTITUTE(SUBSTITUTE(SUBSTITUTE(TRIM(V273),"https://doi.org/",""),"http://doi.org/",""),"https://dx.doi.org/",""),"doi:","")))</x:f>
      </x:c>
      <x:c r="X273" s="174"/>
      <x:c r="Y273" s="174"/>
      <x:c r="Z273" s="174"/>
      <x:c r="AA273" s="174"/>
      <x:c r="AB273" s="174"/>
      <x:c r="AC273" s="174"/>
      <x:c r="AD273" s="177"/>
      <x:c r="AE273" s="177"/>
      <x:c r="AF273" s="174"/>
      <x:c r="AG273" s="174"/>
      <x:c r="AH273" s="174"/>
      <x:c r="AI273" s="174"/>
      <x:c r="AJ273" s="174"/>
      <x:c r="AK273" s="175" t="str">
        <x:f>IF(AJ273="","",IF(OR(LOWER(AJ273)="brazil",LOWER(AJ273)="brasil"),"Yes","No"))</x:f>
      </x:c>
      <x:c r="AL273" s="174"/>
      <x:c r="AM273" s="174"/>
      <x:c r="AN273" s="174"/>
      <x:c r="AO273" s="178"/>
      <x:c r="AP273" s="174"/>
      <x:c r="AQ273" s="174"/>
      <x:c r="AR273" s="174"/>
      <x:c r="AS273" s="174"/>
      <x:c r="AT273" s="174"/>
      <x:c r="AU273" s="174"/>
      <x:c r="AV273" s="174"/>
      <x:c r="AW273" s="174"/>
      <x:c r="AX273" s="174"/>
      <x:c r="AY273" s="174"/>
      <x:c r="AZ273" s="174"/>
      <x:c r="BA273" s="174"/>
      <x:c r="BB273" s="174"/>
      <x:c r="BC273" s="174"/>
      <x:c r="BD273" s="174"/>
      <x:c r="BE273" s="174"/>
      <x:c r="BF273" s="174"/>
      <x:c r="BG273" s="174"/>
      <x:c r="BH273" s="174"/>
      <x:c r="BI273" s="174"/>
      <x:c r="BJ273" s="174"/>
      <x:c r="BK273" s="174"/>
      <x:c r="BL273" s="174"/>
      <x:c r="BM273" s="174"/>
      <x:c r="BN273" s="174"/>
      <x:c r="BO273" s="174"/>
      <x:c r="BP273" s="174"/>
      <x:c r="BQ273" s="174"/>
      <x:c r="BR273" s="174"/>
      <x:c r="BS273" s="174"/>
      <x:c r="BT273" s="174"/>
      <x:c r="BU273" s="174"/>
      <x:c r="BV273" s="174"/>
      <x:c r="BW273" s="174"/>
      <x:c r="BX273" s="174"/>
      <x:c r="BY273" s="174"/>
      <x:c r="BZ273" s="174"/>
      <x:c r="CA273" s="174"/>
      <x:c r="CB273" s="174"/>
      <x:c r="CC273" s="174"/>
      <x:c r="CD273" s="174"/>
      <x:c r="CE273" s="174"/>
      <x:c r="CF273" s="174"/>
      <x:c r="CG273" s="174"/>
      <x:c r="CH273" s="174"/>
      <x:c r="CI273" s="179"/>
      <x:c r="CJ273" s="174"/>
      <x:c r="CK273" s="174"/>
      <x:c r="CL273" s="174"/>
      <x:c r="CM273" s="174"/>
      <x:c r="CN273" s="174"/>
      <x:c r="CO273" s="177"/>
      <x:c r="CP273" s="174"/>
      <x:c r="CQ273" s="174"/>
      <x:c r="CR273" s="174"/>
      <x:c r="CS273" s="174"/>
      <x:c r="CT273" s="174"/>
      <x:c r="CU273" s="176"/>
      <x:c r="CV273" s="176"/>
      <x:c r="CW273" s="176"/>
      <x:c r="CX273" s="176"/>
      <x:c r="CY273" s="176"/>
      <x:c r="CZ273" s="176"/>
      <x:c r="DA273" s="176"/>
      <x:c r="DB273" s="175" t="str">
        <x:f>IF(L273="","",IF(COUNT(CU273:DA273)&lt;7,"",SUM(CU273:DA273)))</x:f>
      </x:c>
      <x:c r="DC273" s="180" t="str">
        <x:f>IF(DB273="","",ROUND(DB273/14*10,1))</x:f>
      </x:c>
      <x:c r="DD273" s="174"/>
      <x:c r="DE273" s="175" t="str">
        <x:f>IF(L273="","",IF(DC273="","Pending",IF(DD273="Yes","CONDITIONAL — safety override",IF(DC273&gt;=8,"HIGH",IF(DC273&gt;=5,"CONDITIONAL","LOW")))))</x:f>
      </x:c>
      <x:c r="DF273" s="174"/>
      <x:c r="DG273" s="174"/>
      <x:c r="DH273" s="174"/>
      <x:c r="DI273" s="174"/>
      <x:c r="DJ273" s="174"/>
      <x:c r="DK273" s="174"/>
      <x:c r="DL273" s="174"/>
      <x:c r="DM273" s="174"/>
      <x:c r="DN273" s="174"/>
      <x:c r="DO273" s="174"/>
      <x:c r="DP273" s="174"/>
      <x:c r="DQ273" s="174"/>
      <x:c r="DR273" s="174"/>
      <x:c r="DS273" s="174"/>
      <x:c r="DT273" s="174"/>
      <x:c r="DU273" s="174"/>
      <x:c r="DV273" s="174"/>
      <x:c r="DW273" s="174"/>
      <x:c r="DX273" s="174"/>
      <x:c r="DY273" s="174"/>
      <x:c r="DZ273" s="174"/>
      <x:c r="EA273" s="174"/>
      <x:c r="EB273" s="175" t="str">
        <x:f>IF(L273="","",IF(AND(F273="Claim-ready",CJ273="Yes",CL273="Yes",DZ273&lt;&gt;""),"Yes","No / Pending"))</x:f>
      </x:c>
      <x:c r="EC273" s="174"/>
      <x:c r="ED273" s="174"/>
      <x:c r="EE273" s="174"/>
      <x:c r="EF273" s="174"/>
      <x:c r="EG273" s="174"/>
      <x:c r="EH273" s="177"/>
      <x:c r="EI273" s="174"/>
      <x:c r="EJ273" s="174"/>
      <x:c r="EK273" s="174"/>
      <x:c r="EL273" s="177"/>
      <x:c r="EM273" s="174"/>
      <x:c r="EN273" s="181" t="str">
        <x:f>IF(L273="","",(IF(N273&lt;&gt;"",1,0)+IF(O273&lt;&gt;"",1,0)+IF(AJ273&lt;&gt;"",1,0)+IF(AU273&lt;&gt;"",1,0)+IF(BE273&lt;&gt;"",1,0)+IF(CF273&lt;&gt;"",1,0)+IF(CJ273="Yes",1,0)+IF(CL273="Yes",1,0)+IF(DE273&lt;&gt;"Pending",1,0)+IF(F273&lt;&gt;"",1,0)+IF(DZ273&lt;&gt;"",1,0)+IF(EI273&lt;&gt;"",1,0))/12)</x:f>
      </x:c>
    </x:row>
    <x:row r="274">
      <x:c r="A274" s="175" t="str">
        <x:f>IF(L274="","","EV-"&amp;TEXT(ROW()-3,"0000"))</x:f>
      </x:c>
      <x:c r="B274" s="174"/>
      <x:c r="C274" s="175" t="str">
        <x:f>IF(L274="","",IF(OR(CM274="Retracted",CN274="Retracted",F274="Not used"),"🔴 Do not use for conclusion",IF(OR(R274="Official / Institutional",I274="Official / contextual"),"🔵 Official / contextual",IF(OR(I274="Definition",I274="Framework",I274="Paradigm shift"),"🟣 Conceptual key source",IF(AND(CJ274="Yes",CL274="Yes",OR(CG274="High",CG274="Moderate"),CH274&lt;&gt;"High",CH274&lt;&gt;"Critical",F274="Claim-ready"),"🟢 Claim-ready","🟡 Caution / context")))))</x:f>
      </x:c>
      <x:c r="D274" s="174"/>
      <x:c r="E274" s="174"/>
      <x:c r="F274" s="174"/>
      <x:c r="G274" s="174"/>
      <x:c r="H274" s="174"/>
      <x:c r="I274" s="174"/>
      <x:c r="J274" s="174"/>
      <x:c r="K274" s="174"/>
      <x:c r="L274" s="174"/>
      <x:c r="M274" s="174"/>
      <x:c r="N274" s="174"/>
      <x:c r="O274" s="176"/>
      <x:c r="P274" s="174"/>
      <x:c r="Q274" s="174"/>
      <x:c r="R274" s="174"/>
      <x:c r="S274" s="174"/>
      <x:c r="T274" s="174"/>
      <x:c r="U274" s="174"/>
      <x:c r="V274" s="174"/>
      <x:c r="W274" s="175" t="str">
        <x:f>IF(V274="","",LOWER(SUBSTITUTE(SUBSTITUTE(SUBSTITUTE(SUBSTITUTE(TRIM(V274),"https://doi.org/",""),"http://doi.org/",""),"https://dx.doi.org/",""),"doi:","")))</x:f>
      </x:c>
      <x:c r="X274" s="174"/>
      <x:c r="Y274" s="174"/>
      <x:c r="Z274" s="174"/>
      <x:c r="AA274" s="174"/>
      <x:c r="AB274" s="174"/>
      <x:c r="AC274" s="174"/>
      <x:c r="AD274" s="177"/>
      <x:c r="AE274" s="177"/>
      <x:c r="AF274" s="174"/>
      <x:c r="AG274" s="174"/>
      <x:c r="AH274" s="174"/>
      <x:c r="AI274" s="174"/>
      <x:c r="AJ274" s="174"/>
      <x:c r="AK274" s="175" t="str">
        <x:f>IF(AJ274="","",IF(OR(LOWER(AJ274)="brazil",LOWER(AJ274)="brasil"),"Yes","No"))</x:f>
      </x:c>
      <x:c r="AL274" s="174"/>
      <x:c r="AM274" s="174"/>
      <x:c r="AN274" s="174"/>
      <x:c r="AO274" s="178"/>
      <x:c r="AP274" s="174"/>
      <x:c r="AQ274" s="174"/>
      <x:c r="AR274" s="174"/>
      <x:c r="AS274" s="174"/>
      <x:c r="AT274" s="174"/>
      <x:c r="AU274" s="174"/>
      <x:c r="AV274" s="174"/>
      <x:c r="AW274" s="174"/>
      <x:c r="AX274" s="174"/>
      <x:c r="AY274" s="174"/>
      <x:c r="AZ274" s="174"/>
      <x:c r="BA274" s="174"/>
      <x:c r="BB274" s="174"/>
      <x:c r="BC274" s="174"/>
      <x:c r="BD274" s="174"/>
      <x:c r="BE274" s="174"/>
      <x:c r="BF274" s="174"/>
      <x:c r="BG274" s="174"/>
      <x:c r="BH274" s="174"/>
      <x:c r="BI274" s="174"/>
      <x:c r="BJ274" s="174"/>
      <x:c r="BK274" s="174"/>
      <x:c r="BL274" s="174"/>
      <x:c r="BM274" s="174"/>
      <x:c r="BN274" s="174"/>
      <x:c r="BO274" s="174"/>
      <x:c r="BP274" s="174"/>
      <x:c r="BQ274" s="174"/>
      <x:c r="BR274" s="174"/>
      <x:c r="BS274" s="174"/>
      <x:c r="BT274" s="174"/>
      <x:c r="BU274" s="174"/>
      <x:c r="BV274" s="174"/>
      <x:c r="BW274" s="174"/>
      <x:c r="BX274" s="174"/>
      <x:c r="BY274" s="174"/>
      <x:c r="BZ274" s="174"/>
      <x:c r="CA274" s="174"/>
      <x:c r="CB274" s="174"/>
      <x:c r="CC274" s="174"/>
      <x:c r="CD274" s="174"/>
      <x:c r="CE274" s="174"/>
      <x:c r="CF274" s="174"/>
      <x:c r="CG274" s="174"/>
      <x:c r="CH274" s="174"/>
      <x:c r="CI274" s="179"/>
      <x:c r="CJ274" s="174"/>
      <x:c r="CK274" s="174"/>
      <x:c r="CL274" s="174"/>
      <x:c r="CM274" s="174"/>
      <x:c r="CN274" s="174"/>
      <x:c r="CO274" s="177"/>
      <x:c r="CP274" s="174"/>
      <x:c r="CQ274" s="174"/>
      <x:c r="CR274" s="174"/>
      <x:c r="CS274" s="174"/>
      <x:c r="CT274" s="174"/>
      <x:c r="CU274" s="176"/>
      <x:c r="CV274" s="176"/>
      <x:c r="CW274" s="176"/>
      <x:c r="CX274" s="176"/>
      <x:c r="CY274" s="176"/>
      <x:c r="CZ274" s="176"/>
      <x:c r="DA274" s="176"/>
      <x:c r="DB274" s="175" t="str">
        <x:f>IF(L274="","",IF(COUNT(CU274:DA274)&lt;7,"",SUM(CU274:DA274)))</x:f>
      </x:c>
      <x:c r="DC274" s="180" t="str">
        <x:f>IF(DB274="","",ROUND(DB274/14*10,1))</x:f>
      </x:c>
      <x:c r="DD274" s="174"/>
      <x:c r="DE274" s="175" t="str">
        <x:f>IF(L274="","",IF(DC274="","Pending",IF(DD274="Yes","CONDITIONAL — safety override",IF(DC274&gt;=8,"HIGH",IF(DC274&gt;=5,"CONDITIONAL","LOW")))))</x:f>
      </x:c>
      <x:c r="DF274" s="174"/>
      <x:c r="DG274" s="174"/>
      <x:c r="DH274" s="174"/>
      <x:c r="DI274" s="174"/>
      <x:c r="DJ274" s="174"/>
      <x:c r="DK274" s="174"/>
      <x:c r="DL274" s="174"/>
      <x:c r="DM274" s="174"/>
      <x:c r="DN274" s="174"/>
      <x:c r="DO274" s="174"/>
      <x:c r="DP274" s="174"/>
      <x:c r="DQ274" s="174"/>
      <x:c r="DR274" s="174"/>
      <x:c r="DS274" s="174"/>
      <x:c r="DT274" s="174"/>
      <x:c r="DU274" s="174"/>
      <x:c r="DV274" s="174"/>
      <x:c r="DW274" s="174"/>
      <x:c r="DX274" s="174"/>
      <x:c r="DY274" s="174"/>
      <x:c r="DZ274" s="174"/>
      <x:c r="EA274" s="174"/>
      <x:c r="EB274" s="175" t="str">
        <x:f>IF(L274="","",IF(AND(F274="Claim-ready",CJ274="Yes",CL274="Yes",DZ274&lt;&gt;""),"Yes","No / Pending"))</x:f>
      </x:c>
      <x:c r="EC274" s="174"/>
      <x:c r="ED274" s="174"/>
      <x:c r="EE274" s="174"/>
      <x:c r="EF274" s="174"/>
      <x:c r="EG274" s="174"/>
      <x:c r="EH274" s="177"/>
      <x:c r="EI274" s="174"/>
      <x:c r="EJ274" s="174"/>
      <x:c r="EK274" s="174"/>
      <x:c r="EL274" s="177"/>
      <x:c r="EM274" s="174"/>
      <x:c r="EN274" s="181" t="str">
        <x:f>IF(L274="","",(IF(N274&lt;&gt;"",1,0)+IF(O274&lt;&gt;"",1,0)+IF(AJ274&lt;&gt;"",1,0)+IF(AU274&lt;&gt;"",1,0)+IF(BE274&lt;&gt;"",1,0)+IF(CF274&lt;&gt;"",1,0)+IF(CJ274="Yes",1,0)+IF(CL274="Yes",1,0)+IF(DE274&lt;&gt;"Pending",1,0)+IF(F274&lt;&gt;"",1,0)+IF(DZ274&lt;&gt;"",1,0)+IF(EI274&lt;&gt;"",1,0))/12)</x:f>
      </x:c>
    </x:row>
    <x:row r="275">
      <x:c r="A275" s="175" t="str">
        <x:f>IF(L275="","","EV-"&amp;TEXT(ROW()-3,"0000"))</x:f>
      </x:c>
      <x:c r="B275" s="174"/>
      <x:c r="C275" s="175" t="str">
        <x:f>IF(L275="","",IF(OR(CM275="Retracted",CN275="Retracted",F275="Not used"),"🔴 Do not use for conclusion",IF(OR(R275="Official / Institutional",I275="Official / contextual"),"🔵 Official / contextual",IF(OR(I275="Definition",I275="Framework",I275="Paradigm shift"),"🟣 Conceptual key source",IF(AND(CJ275="Yes",CL275="Yes",OR(CG275="High",CG275="Moderate"),CH275&lt;&gt;"High",CH275&lt;&gt;"Critical",F275="Claim-ready"),"🟢 Claim-ready","🟡 Caution / context")))))</x:f>
      </x:c>
      <x:c r="D275" s="174"/>
      <x:c r="E275" s="174"/>
      <x:c r="F275" s="174"/>
      <x:c r="G275" s="174"/>
      <x:c r="H275" s="174"/>
      <x:c r="I275" s="174"/>
      <x:c r="J275" s="174"/>
      <x:c r="K275" s="174"/>
      <x:c r="L275" s="174"/>
      <x:c r="M275" s="174"/>
      <x:c r="N275" s="174"/>
      <x:c r="O275" s="176"/>
      <x:c r="P275" s="174"/>
      <x:c r="Q275" s="174"/>
      <x:c r="R275" s="174"/>
      <x:c r="S275" s="174"/>
      <x:c r="T275" s="174"/>
      <x:c r="U275" s="174"/>
      <x:c r="V275" s="174"/>
      <x:c r="W275" s="175" t="str">
        <x:f>IF(V275="","",LOWER(SUBSTITUTE(SUBSTITUTE(SUBSTITUTE(SUBSTITUTE(TRIM(V275),"https://doi.org/",""),"http://doi.org/",""),"https://dx.doi.org/",""),"doi:","")))</x:f>
      </x:c>
      <x:c r="X275" s="174"/>
      <x:c r="Y275" s="174"/>
      <x:c r="Z275" s="174"/>
      <x:c r="AA275" s="174"/>
      <x:c r="AB275" s="174"/>
      <x:c r="AC275" s="174"/>
      <x:c r="AD275" s="177"/>
      <x:c r="AE275" s="177"/>
      <x:c r="AF275" s="174"/>
      <x:c r="AG275" s="174"/>
      <x:c r="AH275" s="174"/>
      <x:c r="AI275" s="174"/>
      <x:c r="AJ275" s="174"/>
      <x:c r="AK275" s="175" t="str">
        <x:f>IF(AJ275="","",IF(OR(LOWER(AJ275)="brazil",LOWER(AJ275)="brasil"),"Yes","No"))</x:f>
      </x:c>
      <x:c r="AL275" s="174"/>
      <x:c r="AM275" s="174"/>
      <x:c r="AN275" s="174"/>
      <x:c r="AO275" s="178"/>
      <x:c r="AP275" s="174"/>
      <x:c r="AQ275" s="174"/>
      <x:c r="AR275" s="174"/>
      <x:c r="AS275" s="174"/>
      <x:c r="AT275" s="174"/>
      <x:c r="AU275" s="174"/>
      <x:c r="AV275" s="174"/>
      <x:c r="AW275" s="174"/>
      <x:c r="AX275" s="174"/>
      <x:c r="AY275" s="174"/>
      <x:c r="AZ275" s="174"/>
      <x:c r="BA275" s="174"/>
      <x:c r="BB275" s="174"/>
      <x:c r="BC275" s="174"/>
      <x:c r="BD275" s="174"/>
      <x:c r="BE275" s="174"/>
      <x:c r="BF275" s="174"/>
      <x:c r="BG275" s="174"/>
      <x:c r="BH275" s="174"/>
      <x:c r="BI275" s="174"/>
      <x:c r="BJ275" s="174"/>
      <x:c r="BK275" s="174"/>
      <x:c r="BL275" s="174"/>
      <x:c r="BM275" s="174"/>
      <x:c r="BN275" s="174"/>
      <x:c r="BO275" s="174"/>
      <x:c r="BP275" s="174"/>
      <x:c r="BQ275" s="174"/>
      <x:c r="BR275" s="174"/>
      <x:c r="BS275" s="174"/>
      <x:c r="BT275" s="174"/>
      <x:c r="BU275" s="174"/>
      <x:c r="BV275" s="174"/>
      <x:c r="BW275" s="174"/>
      <x:c r="BX275" s="174"/>
      <x:c r="BY275" s="174"/>
      <x:c r="BZ275" s="174"/>
      <x:c r="CA275" s="174"/>
      <x:c r="CB275" s="174"/>
      <x:c r="CC275" s="174"/>
      <x:c r="CD275" s="174"/>
      <x:c r="CE275" s="174"/>
      <x:c r="CF275" s="174"/>
      <x:c r="CG275" s="174"/>
      <x:c r="CH275" s="174"/>
      <x:c r="CI275" s="179"/>
      <x:c r="CJ275" s="174"/>
      <x:c r="CK275" s="174"/>
      <x:c r="CL275" s="174"/>
      <x:c r="CM275" s="174"/>
      <x:c r="CN275" s="174"/>
      <x:c r="CO275" s="177"/>
      <x:c r="CP275" s="174"/>
      <x:c r="CQ275" s="174"/>
      <x:c r="CR275" s="174"/>
      <x:c r="CS275" s="174"/>
      <x:c r="CT275" s="174"/>
      <x:c r="CU275" s="176"/>
      <x:c r="CV275" s="176"/>
      <x:c r="CW275" s="176"/>
      <x:c r="CX275" s="176"/>
      <x:c r="CY275" s="176"/>
      <x:c r="CZ275" s="176"/>
      <x:c r="DA275" s="176"/>
      <x:c r="DB275" s="175" t="str">
        <x:f>IF(L275="","",IF(COUNT(CU275:DA275)&lt;7,"",SUM(CU275:DA275)))</x:f>
      </x:c>
      <x:c r="DC275" s="180" t="str">
        <x:f>IF(DB275="","",ROUND(DB275/14*10,1))</x:f>
      </x:c>
      <x:c r="DD275" s="174"/>
      <x:c r="DE275" s="175" t="str">
        <x:f>IF(L275="","",IF(DC275="","Pending",IF(DD275="Yes","CONDITIONAL — safety override",IF(DC275&gt;=8,"HIGH",IF(DC275&gt;=5,"CONDITIONAL","LOW")))))</x:f>
      </x:c>
      <x:c r="DF275" s="174"/>
      <x:c r="DG275" s="174"/>
      <x:c r="DH275" s="174"/>
      <x:c r="DI275" s="174"/>
      <x:c r="DJ275" s="174"/>
      <x:c r="DK275" s="174"/>
      <x:c r="DL275" s="174"/>
      <x:c r="DM275" s="174"/>
      <x:c r="DN275" s="174"/>
      <x:c r="DO275" s="174"/>
      <x:c r="DP275" s="174"/>
      <x:c r="DQ275" s="174"/>
      <x:c r="DR275" s="174"/>
      <x:c r="DS275" s="174"/>
      <x:c r="DT275" s="174"/>
      <x:c r="DU275" s="174"/>
      <x:c r="DV275" s="174"/>
      <x:c r="DW275" s="174"/>
      <x:c r="DX275" s="174"/>
      <x:c r="DY275" s="174"/>
      <x:c r="DZ275" s="174"/>
      <x:c r="EA275" s="174"/>
      <x:c r="EB275" s="175" t="str">
        <x:f>IF(L275="","",IF(AND(F275="Claim-ready",CJ275="Yes",CL275="Yes",DZ275&lt;&gt;""),"Yes","No / Pending"))</x:f>
      </x:c>
      <x:c r="EC275" s="174"/>
      <x:c r="ED275" s="174"/>
      <x:c r="EE275" s="174"/>
      <x:c r="EF275" s="174"/>
      <x:c r="EG275" s="174"/>
      <x:c r="EH275" s="177"/>
      <x:c r="EI275" s="174"/>
      <x:c r="EJ275" s="174"/>
      <x:c r="EK275" s="174"/>
      <x:c r="EL275" s="177"/>
      <x:c r="EM275" s="174"/>
      <x:c r="EN275" s="181" t="str">
        <x:f>IF(L275="","",(IF(N275&lt;&gt;"",1,0)+IF(O275&lt;&gt;"",1,0)+IF(AJ275&lt;&gt;"",1,0)+IF(AU275&lt;&gt;"",1,0)+IF(BE275&lt;&gt;"",1,0)+IF(CF275&lt;&gt;"",1,0)+IF(CJ275="Yes",1,0)+IF(CL275="Yes",1,0)+IF(DE275&lt;&gt;"Pending",1,0)+IF(F275&lt;&gt;"",1,0)+IF(DZ275&lt;&gt;"",1,0)+IF(EI275&lt;&gt;"",1,0))/12)</x:f>
      </x:c>
    </x:row>
    <x:row r="276">
      <x:c r="A276" s="175" t="str">
        <x:f>IF(L276="","","EV-"&amp;TEXT(ROW()-3,"0000"))</x:f>
      </x:c>
      <x:c r="B276" s="174"/>
      <x:c r="C276" s="175" t="str">
        <x:f>IF(L276="","",IF(OR(CM276="Retracted",CN276="Retracted",F276="Not used"),"🔴 Do not use for conclusion",IF(OR(R276="Official / Institutional",I276="Official / contextual"),"🔵 Official / contextual",IF(OR(I276="Definition",I276="Framework",I276="Paradigm shift"),"🟣 Conceptual key source",IF(AND(CJ276="Yes",CL276="Yes",OR(CG276="High",CG276="Moderate"),CH276&lt;&gt;"High",CH276&lt;&gt;"Critical",F276="Claim-ready"),"🟢 Claim-ready","🟡 Caution / context")))))</x:f>
      </x:c>
      <x:c r="D276" s="174"/>
      <x:c r="E276" s="174"/>
      <x:c r="F276" s="174"/>
      <x:c r="G276" s="174"/>
      <x:c r="H276" s="174"/>
      <x:c r="I276" s="174"/>
      <x:c r="J276" s="174"/>
      <x:c r="K276" s="174"/>
      <x:c r="L276" s="174"/>
      <x:c r="M276" s="174"/>
      <x:c r="N276" s="174"/>
      <x:c r="O276" s="176"/>
      <x:c r="P276" s="174"/>
      <x:c r="Q276" s="174"/>
      <x:c r="R276" s="174"/>
      <x:c r="S276" s="174"/>
      <x:c r="T276" s="174"/>
      <x:c r="U276" s="174"/>
      <x:c r="V276" s="174"/>
      <x:c r="W276" s="175" t="str">
        <x:f>IF(V276="","",LOWER(SUBSTITUTE(SUBSTITUTE(SUBSTITUTE(SUBSTITUTE(TRIM(V276),"https://doi.org/",""),"http://doi.org/",""),"https://dx.doi.org/",""),"doi:","")))</x:f>
      </x:c>
      <x:c r="X276" s="174"/>
      <x:c r="Y276" s="174"/>
      <x:c r="Z276" s="174"/>
      <x:c r="AA276" s="174"/>
      <x:c r="AB276" s="174"/>
      <x:c r="AC276" s="174"/>
      <x:c r="AD276" s="177"/>
      <x:c r="AE276" s="177"/>
      <x:c r="AF276" s="174"/>
      <x:c r="AG276" s="174"/>
      <x:c r="AH276" s="174"/>
      <x:c r="AI276" s="174"/>
      <x:c r="AJ276" s="174"/>
      <x:c r="AK276" s="175" t="str">
        <x:f>IF(AJ276="","",IF(OR(LOWER(AJ276)="brazil",LOWER(AJ276)="brasil"),"Yes","No"))</x:f>
      </x:c>
      <x:c r="AL276" s="174"/>
      <x:c r="AM276" s="174"/>
      <x:c r="AN276" s="174"/>
      <x:c r="AO276" s="178"/>
      <x:c r="AP276" s="174"/>
      <x:c r="AQ276" s="174"/>
      <x:c r="AR276" s="174"/>
      <x:c r="AS276" s="174"/>
      <x:c r="AT276" s="174"/>
      <x:c r="AU276" s="174"/>
      <x:c r="AV276" s="174"/>
      <x:c r="AW276" s="174"/>
      <x:c r="AX276" s="174"/>
      <x:c r="AY276" s="174"/>
      <x:c r="AZ276" s="174"/>
      <x:c r="BA276" s="174"/>
      <x:c r="BB276" s="174"/>
      <x:c r="BC276" s="174"/>
      <x:c r="BD276" s="174"/>
      <x:c r="BE276" s="174"/>
      <x:c r="BF276" s="174"/>
      <x:c r="BG276" s="174"/>
      <x:c r="BH276" s="174"/>
      <x:c r="BI276" s="174"/>
      <x:c r="BJ276" s="174"/>
      <x:c r="BK276" s="174"/>
      <x:c r="BL276" s="174"/>
      <x:c r="BM276" s="174"/>
      <x:c r="BN276" s="174"/>
      <x:c r="BO276" s="174"/>
      <x:c r="BP276" s="174"/>
      <x:c r="BQ276" s="174"/>
      <x:c r="BR276" s="174"/>
      <x:c r="BS276" s="174"/>
      <x:c r="BT276" s="174"/>
      <x:c r="BU276" s="174"/>
      <x:c r="BV276" s="174"/>
      <x:c r="BW276" s="174"/>
      <x:c r="BX276" s="174"/>
      <x:c r="BY276" s="174"/>
      <x:c r="BZ276" s="174"/>
      <x:c r="CA276" s="174"/>
      <x:c r="CB276" s="174"/>
      <x:c r="CC276" s="174"/>
      <x:c r="CD276" s="174"/>
      <x:c r="CE276" s="174"/>
      <x:c r="CF276" s="174"/>
      <x:c r="CG276" s="174"/>
      <x:c r="CH276" s="174"/>
      <x:c r="CI276" s="179"/>
      <x:c r="CJ276" s="174"/>
      <x:c r="CK276" s="174"/>
      <x:c r="CL276" s="174"/>
      <x:c r="CM276" s="174"/>
      <x:c r="CN276" s="174"/>
      <x:c r="CO276" s="177"/>
      <x:c r="CP276" s="174"/>
      <x:c r="CQ276" s="174"/>
      <x:c r="CR276" s="174"/>
      <x:c r="CS276" s="174"/>
      <x:c r="CT276" s="174"/>
      <x:c r="CU276" s="176"/>
      <x:c r="CV276" s="176"/>
      <x:c r="CW276" s="176"/>
      <x:c r="CX276" s="176"/>
      <x:c r="CY276" s="176"/>
      <x:c r="CZ276" s="176"/>
      <x:c r="DA276" s="176"/>
      <x:c r="DB276" s="175" t="str">
        <x:f>IF(L276="","",IF(COUNT(CU276:DA276)&lt;7,"",SUM(CU276:DA276)))</x:f>
      </x:c>
      <x:c r="DC276" s="180" t="str">
        <x:f>IF(DB276="","",ROUND(DB276/14*10,1))</x:f>
      </x:c>
      <x:c r="DD276" s="174"/>
      <x:c r="DE276" s="175" t="str">
        <x:f>IF(L276="","",IF(DC276="","Pending",IF(DD276="Yes","CONDITIONAL — safety override",IF(DC276&gt;=8,"HIGH",IF(DC276&gt;=5,"CONDITIONAL","LOW")))))</x:f>
      </x:c>
      <x:c r="DF276" s="174"/>
      <x:c r="DG276" s="174"/>
      <x:c r="DH276" s="174"/>
      <x:c r="DI276" s="174"/>
      <x:c r="DJ276" s="174"/>
      <x:c r="DK276" s="174"/>
      <x:c r="DL276" s="174"/>
      <x:c r="DM276" s="174"/>
      <x:c r="DN276" s="174"/>
      <x:c r="DO276" s="174"/>
      <x:c r="DP276" s="174"/>
      <x:c r="DQ276" s="174"/>
      <x:c r="DR276" s="174"/>
      <x:c r="DS276" s="174"/>
      <x:c r="DT276" s="174"/>
      <x:c r="DU276" s="174"/>
      <x:c r="DV276" s="174"/>
      <x:c r="DW276" s="174"/>
      <x:c r="DX276" s="174"/>
      <x:c r="DY276" s="174"/>
      <x:c r="DZ276" s="174"/>
      <x:c r="EA276" s="174"/>
      <x:c r="EB276" s="175" t="str">
        <x:f>IF(L276="","",IF(AND(F276="Claim-ready",CJ276="Yes",CL276="Yes",DZ276&lt;&gt;""),"Yes","No / Pending"))</x:f>
      </x:c>
      <x:c r="EC276" s="174"/>
      <x:c r="ED276" s="174"/>
      <x:c r="EE276" s="174"/>
      <x:c r="EF276" s="174"/>
      <x:c r="EG276" s="174"/>
      <x:c r="EH276" s="177"/>
      <x:c r="EI276" s="174"/>
      <x:c r="EJ276" s="174"/>
      <x:c r="EK276" s="174"/>
      <x:c r="EL276" s="177"/>
      <x:c r="EM276" s="174"/>
      <x:c r="EN276" s="181" t="str">
        <x:f>IF(L276="","",(IF(N276&lt;&gt;"",1,0)+IF(O276&lt;&gt;"",1,0)+IF(AJ276&lt;&gt;"",1,0)+IF(AU276&lt;&gt;"",1,0)+IF(BE276&lt;&gt;"",1,0)+IF(CF276&lt;&gt;"",1,0)+IF(CJ276="Yes",1,0)+IF(CL276="Yes",1,0)+IF(DE276&lt;&gt;"Pending",1,0)+IF(F276&lt;&gt;"",1,0)+IF(DZ276&lt;&gt;"",1,0)+IF(EI276&lt;&gt;"",1,0))/12)</x:f>
      </x:c>
    </x:row>
    <x:row r="277">
      <x:c r="A277" s="175" t="str">
        <x:f>IF(L277="","","EV-"&amp;TEXT(ROW()-3,"0000"))</x:f>
      </x:c>
      <x:c r="B277" s="174"/>
      <x:c r="C277" s="175" t="str">
        <x:f>IF(L277="","",IF(OR(CM277="Retracted",CN277="Retracted",F277="Not used"),"🔴 Do not use for conclusion",IF(OR(R277="Official / Institutional",I277="Official / contextual"),"🔵 Official / contextual",IF(OR(I277="Definition",I277="Framework",I277="Paradigm shift"),"🟣 Conceptual key source",IF(AND(CJ277="Yes",CL277="Yes",OR(CG277="High",CG277="Moderate"),CH277&lt;&gt;"High",CH277&lt;&gt;"Critical",F277="Claim-ready"),"🟢 Claim-ready","🟡 Caution / context")))))</x:f>
      </x:c>
      <x:c r="D277" s="174"/>
      <x:c r="E277" s="174"/>
      <x:c r="F277" s="174"/>
      <x:c r="G277" s="174"/>
      <x:c r="H277" s="174"/>
      <x:c r="I277" s="174"/>
      <x:c r="J277" s="174"/>
      <x:c r="K277" s="174"/>
      <x:c r="L277" s="174"/>
      <x:c r="M277" s="174"/>
      <x:c r="N277" s="174"/>
      <x:c r="O277" s="176"/>
      <x:c r="P277" s="174"/>
      <x:c r="Q277" s="174"/>
      <x:c r="R277" s="174"/>
      <x:c r="S277" s="174"/>
      <x:c r="T277" s="174"/>
      <x:c r="U277" s="174"/>
      <x:c r="V277" s="174"/>
      <x:c r="W277" s="175" t="str">
        <x:f>IF(V277="","",LOWER(SUBSTITUTE(SUBSTITUTE(SUBSTITUTE(SUBSTITUTE(TRIM(V277),"https://doi.org/",""),"http://doi.org/",""),"https://dx.doi.org/",""),"doi:","")))</x:f>
      </x:c>
      <x:c r="X277" s="174"/>
      <x:c r="Y277" s="174"/>
      <x:c r="Z277" s="174"/>
      <x:c r="AA277" s="174"/>
      <x:c r="AB277" s="174"/>
      <x:c r="AC277" s="174"/>
      <x:c r="AD277" s="177"/>
      <x:c r="AE277" s="177"/>
      <x:c r="AF277" s="174"/>
      <x:c r="AG277" s="174"/>
      <x:c r="AH277" s="174"/>
      <x:c r="AI277" s="174"/>
      <x:c r="AJ277" s="174"/>
      <x:c r="AK277" s="175" t="str">
        <x:f>IF(AJ277="","",IF(OR(LOWER(AJ277)="brazil",LOWER(AJ277)="brasil"),"Yes","No"))</x:f>
      </x:c>
      <x:c r="AL277" s="174"/>
      <x:c r="AM277" s="174"/>
      <x:c r="AN277" s="174"/>
      <x:c r="AO277" s="178"/>
      <x:c r="AP277" s="174"/>
      <x:c r="AQ277" s="174"/>
      <x:c r="AR277" s="174"/>
      <x:c r="AS277" s="174"/>
      <x:c r="AT277" s="174"/>
      <x:c r="AU277" s="174"/>
      <x:c r="AV277" s="174"/>
      <x:c r="AW277" s="174"/>
      <x:c r="AX277" s="174"/>
      <x:c r="AY277" s="174"/>
      <x:c r="AZ277" s="174"/>
      <x:c r="BA277" s="174"/>
      <x:c r="BB277" s="174"/>
      <x:c r="BC277" s="174"/>
      <x:c r="BD277" s="174"/>
      <x:c r="BE277" s="174"/>
      <x:c r="BF277" s="174"/>
      <x:c r="BG277" s="174"/>
      <x:c r="BH277" s="174"/>
      <x:c r="BI277" s="174"/>
      <x:c r="BJ277" s="174"/>
      <x:c r="BK277" s="174"/>
      <x:c r="BL277" s="174"/>
      <x:c r="BM277" s="174"/>
      <x:c r="BN277" s="174"/>
      <x:c r="BO277" s="174"/>
      <x:c r="BP277" s="174"/>
      <x:c r="BQ277" s="174"/>
      <x:c r="BR277" s="174"/>
      <x:c r="BS277" s="174"/>
      <x:c r="BT277" s="174"/>
      <x:c r="BU277" s="174"/>
      <x:c r="BV277" s="174"/>
      <x:c r="BW277" s="174"/>
      <x:c r="BX277" s="174"/>
      <x:c r="BY277" s="174"/>
      <x:c r="BZ277" s="174"/>
      <x:c r="CA277" s="174"/>
      <x:c r="CB277" s="174"/>
      <x:c r="CC277" s="174"/>
      <x:c r="CD277" s="174"/>
      <x:c r="CE277" s="174"/>
      <x:c r="CF277" s="174"/>
      <x:c r="CG277" s="174"/>
      <x:c r="CH277" s="174"/>
      <x:c r="CI277" s="179"/>
      <x:c r="CJ277" s="174"/>
      <x:c r="CK277" s="174"/>
      <x:c r="CL277" s="174"/>
      <x:c r="CM277" s="174"/>
      <x:c r="CN277" s="174"/>
      <x:c r="CO277" s="177"/>
      <x:c r="CP277" s="174"/>
      <x:c r="CQ277" s="174"/>
      <x:c r="CR277" s="174"/>
      <x:c r="CS277" s="174"/>
      <x:c r="CT277" s="174"/>
      <x:c r="CU277" s="176"/>
      <x:c r="CV277" s="176"/>
      <x:c r="CW277" s="176"/>
      <x:c r="CX277" s="176"/>
      <x:c r="CY277" s="176"/>
      <x:c r="CZ277" s="176"/>
      <x:c r="DA277" s="176"/>
      <x:c r="DB277" s="175" t="str">
        <x:f>IF(L277="","",IF(COUNT(CU277:DA277)&lt;7,"",SUM(CU277:DA277)))</x:f>
      </x:c>
      <x:c r="DC277" s="180" t="str">
        <x:f>IF(DB277="","",ROUND(DB277/14*10,1))</x:f>
      </x:c>
      <x:c r="DD277" s="174"/>
      <x:c r="DE277" s="175" t="str">
        <x:f>IF(L277="","",IF(DC277="","Pending",IF(DD277="Yes","CONDITIONAL — safety override",IF(DC277&gt;=8,"HIGH",IF(DC277&gt;=5,"CONDITIONAL","LOW")))))</x:f>
      </x:c>
      <x:c r="DF277" s="174"/>
      <x:c r="DG277" s="174"/>
      <x:c r="DH277" s="174"/>
      <x:c r="DI277" s="174"/>
      <x:c r="DJ277" s="174"/>
      <x:c r="DK277" s="174"/>
      <x:c r="DL277" s="174"/>
      <x:c r="DM277" s="174"/>
      <x:c r="DN277" s="174"/>
      <x:c r="DO277" s="174"/>
      <x:c r="DP277" s="174"/>
      <x:c r="DQ277" s="174"/>
      <x:c r="DR277" s="174"/>
      <x:c r="DS277" s="174"/>
      <x:c r="DT277" s="174"/>
      <x:c r="DU277" s="174"/>
      <x:c r="DV277" s="174"/>
      <x:c r="DW277" s="174"/>
      <x:c r="DX277" s="174"/>
      <x:c r="DY277" s="174"/>
      <x:c r="DZ277" s="174"/>
      <x:c r="EA277" s="174"/>
      <x:c r="EB277" s="175" t="str">
        <x:f>IF(L277="","",IF(AND(F277="Claim-ready",CJ277="Yes",CL277="Yes",DZ277&lt;&gt;""),"Yes","No / Pending"))</x:f>
      </x:c>
      <x:c r="EC277" s="174"/>
      <x:c r="ED277" s="174"/>
      <x:c r="EE277" s="174"/>
      <x:c r="EF277" s="174"/>
      <x:c r="EG277" s="174"/>
      <x:c r="EH277" s="177"/>
      <x:c r="EI277" s="174"/>
      <x:c r="EJ277" s="174"/>
      <x:c r="EK277" s="174"/>
      <x:c r="EL277" s="177"/>
      <x:c r="EM277" s="174"/>
      <x:c r="EN277" s="181" t="str">
        <x:f>IF(L277="","",(IF(N277&lt;&gt;"",1,0)+IF(O277&lt;&gt;"",1,0)+IF(AJ277&lt;&gt;"",1,0)+IF(AU277&lt;&gt;"",1,0)+IF(BE277&lt;&gt;"",1,0)+IF(CF277&lt;&gt;"",1,0)+IF(CJ277="Yes",1,0)+IF(CL277="Yes",1,0)+IF(DE277&lt;&gt;"Pending",1,0)+IF(F277&lt;&gt;"",1,0)+IF(DZ277&lt;&gt;"",1,0)+IF(EI277&lt;&gt;"",1,0))/12)</x:f>
      </x:c>
    </x:row>
    <x:row r="278">
      <x:c r="A278" s="175" t="str">
        <x:f>IF(L278="","","EV-"&amp;TEXT(ROW()-3,"0000"))</x:f>
      </x:c>
      <x:c r="B278" s="174"/>
      <x:c r="C278" s="175" t="str">
        <x:f>IF(L278="","",IF(OR(CM278="Retracted",CN278="Retracted",F278="Not used"),"🔴 Do not use for conclusion",IF(OR(R278="Official / Institutional",I278="Official / contextual"),"🔵 Official / contextual",IF(OR(I278="Definition",I278="Framework",I278="Paradigm shift"),"🟣 Conceptual key source",IF(AND(CJ278="Yes",CL278="Yes",OR(CG278="High",CG278="Moderate"),CH278&lt;&gt;"High",CH278&lt;&gt;"Critical",F278="Claim-ready"),"🟢 Claim-ready","🟡 Caution / context")))))</x:f>
      </x:c>
      <x:c r="D278" s="174"/>
      <x:c r="E278" s="174"/>
      <x:c r="F278" s="174"/>
      <x:c r="G278" s="174"/>
      <x:c r="H278" s="174"/>
      <x:c r="I278" s="174"/>
      <x:c r="J278" s="174"/>
      <x:c r="K278" s="174"/>
      <x:c r="L278" s="174"/>
      <x:c r="M278" s="174"/>
      <x:c r="N278" s="174"/>
      <x:c r="O278" s="176"/>
      <x:c r="P278" s="174"/>
      <x:c r="Q278" s="174"/>
      <x:c r="R278" s="174"/>
      <x:c r="S278" s="174"/>
      <x:c r="T278" s="174"/>
      <x:c r="U278" s="174"/>
      <x:c r="V278" s="174"/>
      <x:c r="W278" s="175" t="str">
        <x:f>IF(V278="","",LOWER(SUBSTITUTE(SUBSTITUTE(SUBSTITUTE(SUBSTITUTE(TRIM(V278),"https://doi.org/",""),"http://doi.org/",""),"https://dx.doi.org/",""),"doi:","")))</x:f>
      </x:c>
      <x:c r="X278" s="174"/>
      <x:c r="Y278" s="174"/>
      <x:c r="Z278" s="174"/>
      <x:c r="AA278" s="174"/>
      <x:c r="AB278" s="174"/>
      <x:c r="AC278" s="174"/>
      <x:c r="AD278" s="177"/>
      <x:c r="AE278" s="177"/>
      <x:c r="AF278" s="174"/>
      <x:c r="AG278" s="174"/>
      <x:c r="AH278" s="174"/>
      <x:c r="AI278" s="174"/>
      <x:c r="AJ278" s="174"/>
      <x:c r="AK278" s="175" t="str">
        <x:f>IF(AJ278="","",IF(OR(LOWER(AJ278)="brazil",LOWER(AJ278)="brasil"),"Yes","No"))</x:f>
      </x:c>
      <x:c r="AL278" s="174"/>
      <x:c r="AM278" s="174"/>
      <x:c r="AN278" s="174"/>
      <x:c r="AO278" s="178"/>
      <x:c r="AP278" s="174"/>
      <x:c r="AQ278" s="174"/>
      <x:c r="AR278" s="174"/>
      <x:c r="AS278" s="174"/>
      <x:c r="AT278" s="174"/>
      <x:c r="AU278" s="174"/>
      <x:c r="AV278" s="174"/>
      <x:c r="AW278" s="174"/>
      <x:c r="AX278" s="174"/>
      <x:c r="AY278" s="174"/>
      <x:c r="AZ278" s="174"/>
      <x:c r="BA278" s="174"/>
      <x:c r="BB278" s="174"/>
      <x:c r="BC278" s="174"/>
      <x:c r="BD278" s="174"/>
      <x:c r="BE278" s="174"/>
      <x:c r="BF278" s="174"/>
      <x:c r="BG278" s="174"/>
      <x:c r="BH278" s="174"/>
      <x:c r="BI278" s="174"/>
      <x:c r="BJ278" s="174"/>
      <x:c r="BK278" s="174"/>
      <x:c r="BL278" s="174"/>
      <x:c r="BM278" s="174"/>
      <x:c r="BN278" s="174"/>
      <x:c r="BO278" s="174"/>
      <x:c r="BP278" s="174"/>
      <x:c r="BQ278" s="174"/>
      <x:c r="BR278" s="174"/>
      <x:c r="BS278" s="174"/>
      <x:c r="BT278" s="174"/>
      <x:c r="BU278" s="174"/>
      <x:c r="BV278" s="174"/>
      <x:c r="BW278" s="174"/>
      <x:c r="BX278" s="174"/>
      <x:c r="BY278" s="174"/>
      <x:c r="BZ278" s="174"/>
      <x:c r="CA278" s="174"/>
      <x:c r="CB278" s="174"/>
      <x:c r="CC278" s="174"/>
      <x:c r="CD278" s="174"/>
      <x:c r="CE278" s="174"/>
      <x:c r="CF278" s="174"/>
      <x:c r="CG278" s="174"/>
      <x:c r="CH278" s="174"/>
      <x:c r="CI278" s="179"/>
      <x:c r="CJ278" s="174"/>
      <x:c r="CK278" s="174"/>
      <x:c r="CL278" s="174"/>
      <x:c r="CM278" s="174"/>
      <x:c r="CN278" s="174"/>
      <x:c r="CO278" s="177"/>
      <x:c r="CP278" s="174"/>
      <x:c r="CQ278" s="174"/>
      <x:c r="CR278" s="174"/>
      <x:c r="CS278" s="174"/>
      <x:c r="CT278" s="174"/>
      <x:c r="CU278" s="176"/>
      <x:c r="CV278" s="176"/>
      <x:c r="CW278" s="176"/>
      <x:c r="CX278" s="176"/>
      <x:c r="CY278" s="176"/>
      <x:c r="CZ278" s="176"/>
      <x:c r="DA278" s="176"/>
      <x:c r="DB278" s="175" t="str">
        <x:f>IF(L278="","",IF(COUNT(CU278:DA278)&lt;7,"",SUM(CU278:DA278)))</x:f>
      </x:c>
      <x:c r="DC278" s="180" t="str">
        <x:f>IF(DB278="","",ROUND(DB278/14*10,1))</x:f>
      </x:c>
      <x:c r="DD278" s="174"/>
      <x:c r="DE278" s="175" t="str">
        <x:f>IF(L278="","",IF(DC278="","Pending",IF(DD278="Yes","CONDITIONAL — safety override",IF(DC278&gt;=8,"HIGH",IF(DC278&gt;=5,"CONDITIONAL","LOW")))))</x:f>
      </x:c>
      <x:c r="DF278" s="174"/>
      <x:c r="DG278" s="174"/>
      <x:c r="DH278" s="174"/>
      <x:c r="DI278" s="174"/>
      <x:c r="DJ278" s="174"/>
      <x:c r="DK278" s="174"/>
      <x:c r="DL278" s="174"/>
      <x:c r="DM278" s="174"/>
      <x:c r="DN278" s="174"/>
      <x:c r="DO278" s="174"/>
      <x:c r="DP278" s="174"/>
      <x:c r="DQ278" s="174"/>
      <x:c r="DR278" s="174"/>
      <x:c r="DS278" s="174"/>
      <x:c r="DT278" s="174"/>
      <x:c r="DU278" s="174"/>
      <x:c r="DV278" s="174"/>
      <x:c r="DW278" s="174"/>
      <x:c r="DX278" s="174"/>
      <x:c r="DY278" s="174"/>
      <x:c r="DZ278" s="174"/>
      <x:c r="EA278" s="174"/>
      <x:c r="EB278" s="175" t="str">
        <x:f>IF(L278="","",IF(AND(F278="Claim-ready",CJ278="Yes",CL278="Yes",DZ278&lt;&gt;""),"Yes","No / Pending"))</x:f>
      </x:c>
      <x:c r="EC278" s="174"/>
      <x:c r="ED278" s="174"/>
      <x:c r="EE278" s="174"/>
      <x:c r="EF278" s="174"/>
      <x:c r="EG278" s="174"/>
      <x:c r="EH278" s="177"/>
      <x:c r="EI278" s="174"/>
      <x:c r="EJ278" s="174"/>
      <x:c r="EK278" s="174"/>
      <x:c r="EL278" s="177"/>
      <x:c r="EM278" s="174"/>
      <x:c r="EN278" s="181" t="str">
        <x:f>IF(L278="","",(IF(N278&lt;&gt;"",1,0)+IF(O278&lt;&gt;"",1,0)+IF(AJ278&lt;&gt;"",1,0)+IF(AU278&lt;&gt;"",1,0)+IF(BE278&lt;&gt;"",1,0)+IF(CF278&lt;&gt;"",1,0)+IF(CJ278="Yes",1,0)+IF(CL278="Yes",1,0)+IF(DE278&lt;&gt;"Pending",1,0)+IF(F278&lt;&gt;"",1,0)+IF(DZ278&lt;&gt;"",1,0)+IF(EI278&lt;&gt;"",1,0))/12)</x:f>
      </x:c>
    </x:row>
    <x:row r="279">
      <x:c r="A279" s="175" t="str">
        <x:f>IF(L279="","","EV-"&amp;TEXT(ROW()-3,"0000"))</x:f>
      </x:c>
      <x:c r="B279" s="174"/>
      <x:c r="C279" s="175" t="str">
        <x:f>IF(L279="","",IF(OR(CM279="Retracted",CN279="Retracted",F279="Not used"),"🔴 Do not use for conclusion",IF(OR(R279="Official / Institutional",I279="Official / contextual"),"🔵 Official / contextual",IF(OR(I279="Definition",I279="Framework",I279="Paradigm shift"),"🟣 Conceptual key source",IF(AND(CJ279="Yes",CL279="Yes",OR(CG279="High",CG279="Moderate"),CH279&lt;&gt;"High",CH279&lt;&gt;"Critical",F279="Claim-ready"),"🟢 Claim-ready","🟡 Caution / context")))))</x:f>
      </x:c>
      <x:c r="D279" s="174"/>
      <x:c r="E279" s="174"/>
      <x:c r="F279" s="174"/>
      <x:c r="G279" s="174"/>
      <x:c r="H279" s="174"/>
      <x:c r="I279" s="174"/>
      <x:c r="J279" s="174"/>
      <x:c r="K279" s="174"/>
      <x:c r="L279" s="174"/>
      <x:c r="M279" s="174"/>
      <x:c r="N279" s="174"/>
      <x:c r="O279" s="176"/>
      <x:c r="P279" s="174"/>
      <x:c r="Q279" s="174"/>
      <x:c r="R279" s="174"/>
      <x:c r="S279" s="174"/>
      <x:c r="T279" s="174"/>
      <x:c r="U279" s="174"/>
      <x:c r="V279" s="174"/>
      <x:c r="W279" s="175" t="str">
        <x:f>IF(V279="","",LOWER(SUBSTITUTE(SUBSTITUTE(SUBSTITUTE(SUBSTITUTE(TRIM(V279),"https://doi.org/",""),"http://doi.org/",""),"https://dx.doi.org/",""),"doi:","")))</x:f>
      </x:c>
      <x:c r="X279" s="174"/>
      <x:c r="Y279" s="174"/>
      <x:c r="Z279" s="174"/>
      <x:c r="AA279" s="174"/>
      <x:c r="AB279" s="174"/>
      <x:c r="AC279" s="174"/>
      <x:c r="AD279" s="177"/>
      <x:c r="AE279" s="177"/>
      <x:c r="AF279" s="174"/>
      <x:c r="AG279" s="174"/>
      <x:c r="AH279" s="174"/>
      <x:c r="AI279" s="174"/>
      <x:c r="AJ279" s="174"/>
      <x:c r="AK279" s="175" t="str">
        <x:f>IF(AJ279="","",IF(OR(LOWER(AJ279)="brazil",LOWER(AJ279)="brasil"),"Yes","No"))</x:f>
      </x:c>
      <x:c r="AL279" s="174"/>
      <x:c r="AM279" s="174"/>
      <x:c r="AN279" s="174"/>
      <x:c r="AO279" s="178"/>
      <x:c r="AP279" s="174"/>
      <x:c r="AQ279" s="174"/>
      <x:c r="AR279" s="174"/>
      <x:c r="AS279" s="174"/>
      <x:c r="AT279" s="174"/>
      <x:c r="AU279" s="174"/>
      <x:c r="AV279" s="174"/>
      <x:c r="AW279" s="174"/>
      <x:c r="AX279" s="174"/>
      <x:c r="AY279" s="174"/>
      <x:c r="AZ279" s="174"/>
      <x:c r="BA279" s="174"/>
      <x:c r="BB279" s="174"/>
      <x:c r="BC279" s="174"/>
      <x:c r="BD279" s="174"/>
      <x:c r="BE279" s="174"/>
      <x:c r="BF279" s="174"/>
      <x:c r="BG279" s="174"/>
      <x:c r="BH279" s="174"/>
      <x:c r="BI279" s="174"/>
      <x:c r="BJ279" s="174"/>
      <x:c r="BK279" s="174"/>
      <x:c r="BL279" s="174"/>
      <x:c r="BM279" s="174"/>
      <x:c r="BN279" s="174"/>
      <x:c r="BO279" s="174"/>
      <x:c r="BP279" s="174"/>
      <x:c r="BQ279" s="174"/>
      <x:c r="BR279" s="174"/>
      <x:c r="BS279" s="174"/>
      <x:c r="BT279" s="174"/>
      <x:c r="BU279" s="174"/>
      <x:c r="BV279" s="174"/>
      <x:c r="BW279" s="174"/>
      <x:c r="BX279" s="174"/>
      <x:c r="BY279" s="174"/>
      <x:c r="BZ279" s="174"/>
      <x:c r="CA279" s="174"/>
      <x:c r="CB279" s="174"/>
      <x:c r="CC279" s="174"/>
      <x:c r="CD279" s="174"/>
      <x:c r="CE279" s="174"/>
      <x:c r="CF279" s="174"/>
      <x:c r="CG279" s="174"/>
      <x:c r="CH279" s="174"/>
      <x:c r="CI279" s="179"/>
      <x:c r="CJ279" s="174"/>
      <x:c r="CK279" s="174"/>
      <x:c r="CL279" s="174"/>
      <x:c r="CM279" s="174"/>
      <x:c r="CN279" s="174"/>
      <x:c r="CO279" s="177"/>
      <x:c r="CP279" s="174"/>
      <x:c r="CQ279" s="174"/>
      <x:c r="CR279" s="174"/>
      <x:c r="CS279" s="174"/>
      <x:c r="CT279" s="174"/>
      <x:c r="CU279" s="176"/>
      <x:c r="CV279" s="176"/>
      <x:c r="CW279" s="176"/>
      <x:c r="CX279" s="176"/>
      <x:c r="CY279" s="176"/>
      <x:c r="CZ279" s="176"/>
      <x:c r="DA279" s="176"/>
      <x:c r="DB279" s="175" t="str">
        <x:f>IF(L279="","",IF(COUNT(CU279:DA279)&lt;7,"",SUM(CU279:DA279)))</x:f>
      </x:c>
      <x:c r="DC279" s="180" t="str">
        <x:f>IF(DB279="","",ROUND(DB279/14*10,1))</x:f>
      </x:c>
      <x:c r="DD279" s="174"/>
      <x:c r="DE279" s="175" t="str">
        <x:f>IF(L279="","",IF(DC279="","Pending",IF(DD279="Yes","CONDITIONAL — safety override",IF(DC279&gt;=8,"HIGH",IF(DC279&gt;=5,"CONDITIONAL","LOW")))))</x:f>
      </x:c>
      <x:c r="DF279" s="174"/>
      <x:c r="DG279" s="174"/>
      <x:c r="DH279" s="174"/>
      <x:c r="DI279" s="174"/>
      <x:c r="DJ279" s="174"/>
      <x:c r="DK279" s="174"/>
      <x:c r="DL279" s="174"/>
      <x:c r="DM279" s="174"/>
      <x:c r="DN279" s="174"/>
      <x:c r="DO279" s="174"/>
      <x:c r="DP279" s="174"/>
      <x:c r="DQ279" s="174"/>
      <x:c r="DR279" s="174"/>
      <x:c r="DS279" s="174"/>
      <x:c r="DT279" s="174"/>
      <x:c r="DU279" s="174"/>
      <x:c r="DV279" s="174"/>
      <x:c r="DW279" s="174"/>
      <x:c r="DX279" s="174"/>
      <x:c r="DY279" s="174"/>
      <x:c r="DZ279" s="174"/>
      <x:c r="EA279" s="174"/>
      <x:c r="EB279" s="175" t="str">
        <x:f>IF(L279="","",IF(AND(F279="Claim-ready",CJ279="Yes",CL279="Yes",DZ279&lt;&gt;""),"Yes","No / Pending"))</x:f>
      </x:c>
      <x:c r="EC279" s="174"/>
      <x:c r="ED279" s="174"/>
      <x:c r="EE279" s="174"/>
      <x:c r="EF279" s="174"/>
      <x:c r="EG279" s="174"/>
      <x:c r="EH279" s="177"/>
      <x:c r="EI279" s="174"/>
      <x:c r="EJ279" s="174"/>
      <x:c r="EK279" s="174"/>
      <x:c r="EL279" s="177"/>
      <x:c r="EM279" s="174"/>
      <x:c r="EN279" s="181" t="str">
        <x:f>IF(L279="","",(IF(N279&lt;&gt;"",1,0)+IF(O279&lt;&gt;"",1,0)+IF(AJ279&lt;&gt;"",1,0)+IF(AU279&lt;&gt;"",1,0)+IF(BE279&lt;&gt;"",1,0)+IF(CF279&lt;&gt;"",1,0)+IF(CJ279="Yes",1,0)+IF(CL279="Yes",1,0)+IF(DE279&lt;&gt;"Pending",1,0)+IF(F279&lt;&gt;"",1,0)+IF(DZ279&lt;&gt;"",1,0)+IF(EI279&lt;&gt;"",1,0))/12)</x:f>
      </x:c>
    </x:row>
    <x:row r="280">
      <x:c r="A280" s="175" t="str">
        <x:f>IF(L280="","","EV-"&amp;TEXT(ROW()-3,"0000"))</x:f>
      </x:c>
      <x:c r="B280" s="174"/>
      <x:c r="C280" s="175" t="str">
        <x:f>IF(L280="","",IF(OR(CM280="Retracted",CN280="Retracted",F280="Not used"),"🔴 Do not use for conclusion",IF(OR(R280="Official / Institutional",I280="Official / contextual"),"🔵 Official / contextual",IF(OR(I280="Definition",I280="Framework",I280="Paradigm shift"),"🟣 Conceptual key source",IF(AND(CJ280="Yes",CL280="Yes",OR(CG280="High",CG280="Moderate"),CH280&lt;&gt;"High",CH280&lt;&gt;"Critical",F280="Claim-ready"),"🟢 Claim-ready","🟡 Caution / context")))))</x:f>
      </x:c>
      <x:c r="D280" s="174"/>
      <x:c r="E280" s="174"/>
      <x:c r="F280" s="174"/>
      <x:c r="G280" s="174"/>
      <x:c r="H280" s="174"/>
      <x:c r="I280" s="174"/>
      <x:c r="J280" s="174"/>
      <x:c r="K280" s="174"/>
      <x:c r="L280" s="174"/>
      <x:c r="M280" s="174"/>
      <x:c r="N280" s="174"/>
      <x:c r="O280" s="176"/>
      <x:c r="P280" s="174"/>
      <x:c r="Q280" s="174"/>
      <x:c r="R280" s="174"/>
      <x:c r="S280" s="174"/>
      <x:c r="T280" s="174"/>
      <x:c r="U280" s="174"/>
      <x:c r="V280" s="174"/>
      <x:c r="W280" s="175" t="str">
        <x:f>IF(V280="","",LOWER(SUBSTITUTE(SUBSTITUTE(SUBSTITUTE(SUBSTITUTE(TRIM(V280),"https://doi.org/",""),"http://doi.org/",""),"https://dx.doi.org/",""),"doi:","")))</x:f>
      </x:c>
      <x:c r="X280" s="174"/>
      <x:c r="Y280" s="174"/>
      <x:c r="Z280" s="174"/>
      <x:c r="AA280" s="174"/>
      <x:c r="AB280" s="174"/>
      <x:c r="AC280" s="174"/>
      <x:c r="AD280" s="177"/>
      <x:c r="AE280" s="177"/>
      <x:c r="AF280" s="174"/>
      <x:c r="AG280" s="174"/>
      <x:c r="AH280" s="174"/>
      <x:c r="AI280" s="174"/>
      <x:c r="AJ280" s="174"/>
      <x:c r="AK280" s="175" t="str">
        <x:f>IF(AJ280="","",IF(OR(LOWER(AJ280)="brazil",LOWER(AJ280)="brasil"),"Yes","No"))</x:f>
      </x:c>
      <x:c r="AL280" s="174"/>
      <x:c r="AM280" s="174"/>
      <x:c r="AN280" s="174"/>
      <x:c r="AO280" s="178"/>
      <x:c r="AP280" s="174"/>
      <x:c r="AQ280" s="174"/>
      <x:c r="AR280" s="174"/>
      <x:c r="AS280" s="174"/>
      <x:c r="AT280" s="174"/>
      <x:c r="AU280" s="174"/>
      <x:c r="AV280" s="174"/>
      <x:c r="AW280" s="174"/>
      <x:c r="AX280" s="174"/>
      <x:c r="AY280" s="174"/>
      <x:c r="AZ280" s="174"/>
      <x:c r="BA280" s="174"/>
      <x:c r="BB280" s="174"/>
      <x:c r="BC280" s="174"/>
      <x:c r="BD280" s="174"/>
      <x:c r="BE280" s="174"/>
      <x:c r="BF280" s="174"/>
      <x:c r="BG280" s="174"/>
      <x:c r="BH280" s="174"/>
      <x:c r="BI280" s="174"/>
      <x:c r="BJ280" s="174"/>
      <x:c r="BK280" s="174"/>
      <x:c r="BL280" s="174"/>
      <x:c r="BM280" s="174"/>
      <x:c r="BN280" s="174"/>
      <x:c r="BO280" s="174"/>
      <x:c r="BP280" s="174"/>
      <x:c r="BQ280" s="174"/>
      <x:c r="BR280" s="174"/>
      <x:c r="BS280" s="174"/>
      <x:c r="BT280" s="174"/>
      <x:c r="BU280" s="174"/>
      <x:c r="BV280" s="174"/>
      <x:c r="BW280" s="174"/>
      <x:c r="BX280" s="174"/>
      <x:c r="BY280" s="174"/>
      <x:c r="BZ280" s="174"/>
      <x:c r="CA280" s="174"/>
      <x:c r="CB280" s="174"/>
      <x:c r="CC280" s="174"/>
      <x:c r="CD280" s="174"/>
      <x:c r="CE280" s="174"/>
      <x:c r="CF280" s="174"/>
      <x:c r="CG280" s="174"/>
      <x:c r="CH280" s="174"/>
      <x:c r="CI280" s="179"/>
      <x:c r="CJ280" s="174"/>
      <x:c r="CK280" s="174"/>
      <x:c r="CL280" s="174"/>
      <x:c r="CM280" s="174"/>
      <x:c r="CN280" s="174"/>
      <x:c r="CO280" s="177"/>
      <x:c r="CP280" s="174"/>
      <x:c r="CQ280" s="174"/>
      <x:c r="CR280" s="174"/>
      <x:c r="CS280" s="174"/>
      <x:c r="CT280" s="174"/>
      <x:c r="CU280" s="176"/>
      <x:c r="CV280" s="176"/>
      <x:c r="CW280" s="176"/>
      <x:c r="CX280" s="176"/>
      <x:c r="CY280" s="176"/>
      <x:c r="CZ280" s="176"/>
      <x:c r="DA280" s="176"/>
      <x:c r="DB280" s="175" t="str">
        <x:f>IF(L280="","",IF(COUNT(CU280:DA280)&lt;7,"",SUM(CU280:DA280)))</x:f>
      </x:c>
      <x:c r="DC280" s="180" t="str">
        <x:f>IF(DB280="","",ROUND(DB280/14*10,1))</x:f>
      </x:c>
      <x:c r="DD280" s="174"/>
      <x:c r="DE280" s="175" t="str">
        <x:f>IF(L280="","",IF(DC280="","Pending",IF(DD280="Yes","CONDITIONAL — safety override",IF(DC280&gt;=8,"HIGH",IF(DC280&gt;=5,"CONDITIONAL","LOW")))))</x:f>
      </x:c>
      <x:c r="DF280" s="174"/>
      <x:c r="DG280" s="174"/>
      <x:c r="DH280" s="174"/>
      <x:c r="DI280" s="174"/>
      <x:c r="DJ280" s="174"/>
      <x:c r="DK280" s="174"/>
      <x:c r="DL280" s="174"/>
      <x:c r="DM280" s="174"/>
      <x:c r="DN280" s="174"/>
      <x:c r="DO280" s="174"/>
      <x:c r="DP280" s="174"/>
      <x:c r="DQ280" s="174"/>
      <x:c r="DR280" s="174"/>
      <x:c r="DS280" s="174"/>
      <x:c r="DT280" s="174"/>
      <x:c r="DU280" s="174"/>
      <x:c r="DV280" s="174"/>
      <x:c r="DW280" s="174"/>
      <x:c r="DX280" s="174"/>
      <x:c r="DY280" s="174"/>
      <x:c r="DZ280" s="174"/>
      <x:c r="EA280" s="174"/>
      <x:c r="EB280" s="175" t="str">
        <x:f>IF(L280="","",IF(AND(F280="Claim-ready",CJ280="Yes",CL280="Yes",DZ280&lt;&gt;""),"Yes","No / Pending"))</x:f>
      </x:c>
      <x:c r="EC280" s="174"/>
      <x:c r="ED280" s="174"/>
      <x:c r="EE280" s="174"/>
      <x:c r="EF280" s="174"/>
      <x:c r="EG280" s="174"/>
      <x:c r="EH280" s="177"/>
      <x:c r="EI280" s="174"/>
      <x:c r="EJ280" s="174"/>
      <x:c r="EK280" s="174"/>
      <x:c r="EL280" s="177"/>
      <x:c r="EM280" s="174"/>
      <x:c r="EN280" s="181" t="str">
        <x:f>IF(L280="","",(IF(N280&lt;&gt;"",1,0)+IF(O280&lt;&gt;"",1,0)+IF(AJ280&lt;&gt;"",1,0)+IF(AU280&lt;&gt;"",1,0)+IF(BE280&lt;&gt;"",1,0)+IF(CF280&lt;&gt;"",1,0)+IF(CJ280="Yes",1,0)+IF(CL280="Yes",1,0)+IF(DE280&lt;&gt;"Pending",1,0)+IF(F280&lt;&gt;"",1,0)+IF(DZ280&lt;&gt;"",1,0)+IF(EI280&lt;&gt;"",1,0))/12)</x:f>
      </x:c>
    </x:row>
    <x:row r="281">
      <x:c r="A281" s="175" t="str">
        <x:f>IF(L281="","","EV-"&amp;TEXT(ROW()-3,"0000"))</x:f>
      </x:c>
      <x:c r="B281" s="174"/>
      <x:c r="C281" s="175" t="str">
        <x:f>IF(L281="","",IF(OR(CM281="Retracted",CN281="Retracted",F281="Not used"),"🔴 Do not use for conclusion",IF(OR(R281="Official / Institutional",I281="Official / contextual"),"🔵 Official / contextual",IF(OR(I281="Definition",I281="Framework",I281="Paradigm shift"),"🟣 Conceptual key source",IF(AND(CJ281="Yes",CL281="Yes",OR(CG281="High",CG281="Moderate"),CH281&lt;&gt;"High",CH281&lt;&gt;"Critical",F281="Claim-ready"),"🟢 Claim-ready","🟡 Caution / context")))))</x:f>
      </x:c>
      <x:c r="D281" s="174"/>
      <x:c r="E281" s="174"/>
      <x:c r="F281" s="174"/>
      <x:c r="G281" s="174"/>
      <x:c r="H281" s="174"/>
      <x:c r="I281" s="174"/>
      <x:c r="J281" s="174"/>
      <x:c r="K281" s="174"/>
      <x:c r="L281" s="174"/>
      <x:c r="M281" s="174"/>
      <x:c r="N281" s="174"/>
      <x:c r="O281" s="176"/>
      <x:c r="P281" s="174"/>
      <x:c r="Q281" s="174"/>
      <x:c r="R281" s="174"/>
      <x:c r="S281" s="174"/>
      <x:c r="T281" s="174"/>
      <x:c r="U281" s="174"/>
      <x:c r="V281" s="174"/>
      <x:c r="W281" s="175" t="str">
        <x:f>IF(V281="","",LOWER(SUBSTITUTE(SUBSTITUTE(SUBSTITUTE(SUBSTITUTE(TRIM(V281),"https://doi.org/",""),"http://doi.org/",""),"https://dx.doi.org/",""),"doi:","")))</x:f>
      </x:c>
      <x:c r="X281" s="174"/>
      <x:c r="Y281" s="174"/>
      <x:c r="Z281" s="174"/>
      <x:c r="AA281" s="174"/>
      <x:c r="AB281" s="174"/>
      <x:c r="AC281" s="174"/>
      <x:c r="AD281" s="177"/>
      <x:c r="AE281" s="177"/>
      <x:c r="AF281" s="174"/>
      <x:c r="AG281" s="174"/>
      <x:c r="AH281" s="174"/>
      <x:c r="AI281" s="174"/>
      <x:c r="AJ281" s="174"/>
      <x:c r="AK281" s="175" t="str">
        <x:f>IF(AJ281="","",IF(OR(LOWER(AJ281)="brazil",LOWER(AJ281)="brasil"),"Yes","No"))</x:f>
      </x:c>
      <x:c r="AL281" s="174"/>
      <x:c r="AM281" s="174"/>
      <x:c r="AN281" s="174"/>
      <x:c r="AO281" s="178"/>
      <x:c r="AP281" s="174"/>
      <x:c r="AQ281" s="174"/>
      <x:c r="AR281" s="174"/>
      <x:c r="AS281" s="174"/>
      <x:c r="AT281" s="174"/>
      <x:c r="AU281" s="174"/>
      <x:c r="AV281" s="174"/>
      <x:c r="AW281" s="174"/>
      <x:c r="AX281" s="174"/>
      <x:c r="AY281" s="174"/>
      <x:c r="AZ281" s="174"/>
      <x:c r="BA281" s="174"/>
      <x:c r="BB281" s="174"/>
      <x:c r="BC281" s="174"/>
      <x:c r="BD281" s="174"/>
      <x:c r="BE281" s="174"/>
      <x:c r="BF281" s="174"/>
      <x:c r="BG281" s="174"/>
      <x:c r="BH281" s="174"/>
      <x:c r="BI281" s="174"/>
      <x:c r="BJ281" s="174"/>
      <x:c r="BK281" s="174"/>
      <x:c r="BL281" s="174"/>
      <x:c r="BM281" s="174"/>
      <x:c r="BN281" s="174"/>
      <x:c r="BO281" s="174"/>
      <x:c r="BP281" s="174"/>
      <x:c r="BQ281" s="174"/>
      <x:c r="BR281" s="174"/>
      <x:c r="BS281" s="174"/>
      <x:c r="BT281" s="174"/>
      <x:c r="BU281" s="174"/>
      <x:c r="BV281" s="174"/>
      <x:c r="BW281" s="174"/>
      <x:c r="BX281" s="174"/>
      <x:c r="BY281" s="174"/>
      <x:c r="BZ281" s="174"/>
      <x:c r="CA281" s="174"/>
      <x:c r="CB281" s="174"/>
      <x:c r="CC281" s="174"/>
      <x:c r="CD281" s="174"/>
      <x:c r="CE281" s="174"/>
      <x:c r="CF281" s="174"/>
      <x:c r="CG281" s="174"/>
      <x:c r="CH281" s="174"/>
      <x:c r="CI281" s="179"/>
      <x:c r="CJ281" s="174"/>
      <x:c r="CK281" s="174"/>
      <x:c r="CL281" s="174"/>
      <x:c r="CM281" s="174"/>
      <x:c r="CN281" s="174"/>
      <x:c r="CO281" s="177"/>
      <x:c r="CP281" s="174"/>
      <x:c r="CQ281" s="174"/>
      <x:c r="CR281" s="174"/>
      <x:c r="CS281" s="174"/>
      <x:c r="CT281" s="174"/>
      <x:c r="CU281" s="176"/>
      <x:c r="CV281" s="176"/>
      <x:c r="CW281" s="176"/>
      <x:c r="CX281" s="176"/>
      <x:c r="CY281" s="176"/>
      <x:c r="CZ281" s="176"/>
      <x:c r="DA281" s="176"/>
      <x:c r="DB281" s="175" t="str">
        <x:f>IF(L281="","",IF(COUNT(CU281:DA281)&lt;7,"",SUM(CU281:DA281)))</x:f>
      </x:c>
      <x:c r="DC281" s="180" t="str">
        <x:f>IF(DB281="","",ROUND(DB281/14*10,1))</x:f>
      </x:c>
      <x:c r="DD281" s="174"/>
      <x:c r="DE281" s="175" t="str">
        <x:f>IF(L281="","",IF(DC281="","Pending",IF(DD281="Yes","CONDITIONAL — safety override",IF(DC281&gt;=8,"HIGH",IF(DC281&gt;=5,"CONDITIONAL","LOW")))))</x:f>
      </x:c>
      <x:c r="DF281" s="174"/>
      <x:c r="DG281" s="174"/>
      <x:c r="DH281" s="174"/>
      <x:c r="DI281" s="174"/>
      <x:c r="DJ281" s="174"/>
      <x:c r="DK281" s="174"/>
      <x:c r="DL281" s="174"/>
      <x:c r="DM281" s="174"/>
      <x:c r="DN281" s="174"/>
      <x:c r="DO281" s="174"/>
      <x:c r="DP281" s="174"/>
      <x:c r="DQ281" s="174"/>
      <x:c r="DR281" s="174"/>
      <x:c r="DS281" s="174"/>
      <x:c r="DT281" s="174"/>
      <x:c r="DU281" s="174"/>
      <x:c r="DV281" s="174"/>
      <x:c r="DW281" s="174"/>
      <x:c r="DX281" s="174"/>
      <x:c r="DY281" s="174"/>
      <x:c r="DZ281" s="174"/>
      <x:c r="EA281" s="174"/>
      <x:c r="EB281" s="175" t="str">
        <x:f>IF(L281="","",IF(AND(F281="Claim-ready",CJ281="Yes",CL281="Yes",DZ281&lt;&gt;""),"Yes","No / Pending"))</x:f>
      </x:c>
      <x:c r="EC281" s="174"/>
      <x:c r="ED281" s="174"/>
      <x:c r="EE281" s="174"/>
      <x:c r="EF281" s="174"/>
      <x:c r="EG281" s="174"/>
      <x:c r="EH281" s="177"/>
      <x:c r="EI281" s="174"/>
      <x:c r="EJ281" s="174"/>
      <x:c r="EK281" s="174"/>
      <x:c r="EL281" s="177"/>
      <x:c r="EM281" s="174"/>
      <x:c r="EN281" s="181" t="str">
        <x:f>IF(L281="","",(IF(N281&lt;&gt;"",1,0)+IF(O281&lt;&gt;"",1,0)+IF(AJ281&lt;&gt;"",1,0)+IF(AU281&lt;&gt;"",1,0)+IF(BE281&lt;&gt;"",1,0)+IF(CF281&lt;&gt;"",1,0)+IF(CJ281="Yes",1,0)+IF(CL281="Yes",1,0)+IF(DE281&lt;&gt;"Pending",1,0)+IF(F281&lt;&gt;"",1,0)+IF(DZ281&lt;&gt;"",1,0)+IF(EI281&lt;&gt;"",1,0))/12)</x:f>
      </x:c>
    </x:row>
    <x:row r="282">
      <x:c r="A282" s="175" t="str">
        <x:f>IF(L282="","","EV-"&amp;TEXT(ROW()-3,"0000"))</x:f>
      </x:c>
      <x:c r="B282" s="174"/>
      <x:c r="C282" s="175" t="str">
        <x:f>IF(L282="","",IF(OR(CM282="Retracted",CN282="Retracted",F282="Not used"),"🔴 Do not use for conclusion",IF(OR(R282="Official / Institutional",I282="Official / contextual"),"🔵 Official / contextual",IF(OR(I282="Definition",I282="Framework",I282="Paradigm shift"),"🟣 Conceptual key source",IF(AND(CJ282="Yes",CL282="Yes",OR(CG282="High",CG282="Moderate"),CH282&lt;&gt;"High",CH282&lt;&gt;"Critical",F282="Claim-ready"),"🟢 Claim-ready","🟡 Caution / context")))))</x:f>
      </x:c>
      <x:c r="D282" s="174"/>
      <x:c r="E282" s="174"/>
      <x:c r="F282" s="174"/>
      <x:c r="G282" s="174"/>
      <x:c r="H282" s="174"/>
      <x:c r="I282" s="174"/>
      <x:c r="J282" s="174"/>
      <x:c r="K282" s="174"/>
      <x:c r="L282" s="174"/>
      <x:c r="M282" s="174"/>
      <x:c r="N282" s="174"/>
      <x:c r="O282" s="176"/>
      <x:c r="P282" s="174"/>
      <x:c r="Q282" s="174"/>
      <x:c r="R282" s="174"/>
      <x:c r="S282" s="174"/>
      <x:c r="T282" s="174"/>
      <x:c r="U282" s="174"/>
      <x:c r="V282" s="174"/>
      <x:c r="W282" s="175" t="str">
        <x:f>IF(V282="","",LOWER(SUBSTITUTE(SUBSTITUTE(SUBSTITUTE(SUBSTITUTE(TRIM(V282),"https://doi.org/",""),"http://doi.org/",""),"https://dx.doi.org/",""),"doi:","")))</x:f>
      </x:c>
      <x:c r="X282" s="174"/>
      <x:c r="Y282" s="174"/>
      <x:c r="Z282" s="174"/>
      <x:c r="AA282" s="174"/>
      <x:c r="AB282" s="174"/>
      <x:c r="AC282" s="174"/>
      <x:c r="AD282" s="177"/>
      <x:c r="AE282" s="177"/>
      <x:c r="AF282" s="174"/>
      <x:c r="AG282" s="174"/>
      <x:c r="AH282" s="174"/>
      <x:c r="AI282" s="174"/>
      <x:c r="AJ282" s="174"/>
      <x:c r="AK282" s="175" t="str">
        <x:f>IF(AJ282="","",IF(OR(LOWER(AJ282)="brazil",LOWER(AJ282)="brasil"),"Yes","No"))</x:f>
      </x:c>
      <x:c r="AL282" s="174"/>
      <x:c r="AM282" s="174"/>
      <x:c r="AN282" s="174"/>
      <x:c r="AO282" s="178"/>
      <x:c r="AP282" s="174"/>
      <x:c r="AQ282" s="174"/>
      <x:c r="AR282" s="174"/>
      <x:c r="AS282" s="174"/>
      <x:c r="AT282" s="174"/>
      <x:c r="AU282" s="174"/>
      <x:c r="AV282" s="174"/>
      <x:c r="AW282" s="174"/>
      <x:c r="AX282" s="174"/>
      <x:c r="AY282" s="174"/>
      <x:c r="AZ282" s="174"/>
      <x:c r="BA282" s="174"/>
      <x:c r="BB282" s="174"/>
      <x:c r="BC282" s="174"/>
      <x:c r="BD282" s="174"/>
      <x:c r="BE282" s="174"/>
      <x:c r="BF282" s="174"/>
      <x:c r="BG282" s="174"/>
      <x:c r="BH282" s="174"/>
      <x:c r="BI282" s="174"/>
      <x:c r="BJ282" s="174"/>
      <x:c r="BK282" s="174"/>
      <x:c r="BL282" s="174"/>
      <x:c r="BM282" s="174"/>
      <x:c r="BN282" s="174"/>
      <x:c r="BO282" s="174"/>
      <x:c r="BP282" s="174"/>
      <x:c r="BQ282" s="174"/>
      <x:c r="BR282" s="174"/>
      <x:c r="BS282" s="174"/>
      <x:c r="BT282" s="174"/>
      <x:c r="BU282" s="174"/>
      <x:c r="BV282" s="174"/>
      <x:c r="BW282" s="174"/>
      <x:c r="BX282" s="174"/>
      <x:c r="BY282" s="174"/>
      <x:c r="BZ282" s="174"/>
      <x:c r="CA282" s="174"/>
      <x:c r="CB282" s="174"/>
      <x:c r="CC282" s="174"/>
      <x:c r="CD282" s="174"/>
      <x:c r="CE282" s="174"/>
      <x:c r="CF282" s="174"/>
      <x:c r="CG282" s="174"/>
      <x:c r="CH282" s="174"/>
      <x:c r="CI282" s="179"/>
      <x:c r="CJ282" s="174"/>
      <x:c r="CK282" s="174"/>
      <x:c r="CL282" s="174"/>
      <x:c r="CM282" s="174"/>
      <x:c r="CN282" s="174"/>
      <x:c r="CO282" s="177"/>
      <x:c r="CP282" s="174"/>
      <x:c r="CQ282" s="174"/>
      <x:c r="CR282" s="174"/>
      <x:c r="CS282" s="174"/>
      <x:c r="CT282" s="174"/>
      <x:c r="CU282" s="176"/>
      <x:c r="CV282" s="176"/>
      <x:c r="CW282" s="176"/>
      <x:c r="CX282" s="176"/>
      <x:c r="CY282" s="176"/>
      <x:c r="CZ282" s="176"/>
      <x:c r="DA282" s="176"/>
      <x:c r="DB282" s="175" t="str">
        <x:f>IF(L282="","",IF(COUNT(CU282:DA282)&lt;7,"",SUM(CU282:DA282)))</x:f>
      </x:c>
      <x:c r="DC282" s="180" t="str">
        <x:f>IF(DB282="","",ROUND(DB282/14*10,1))</x:f>
      </x:c>
      <x:c r="DD282" s="174"/>
      <x:c r="DE282" s="175" t="str">
        <x:f>IF(L282="","",IF(DC282="","Pending",IF(DD282="Yes","CONDITIONAL — safety override",IF(DC282&gt;=8,"HIGH",IF(DC282&gt;=5,"CONDITIONAL","LOW")))))</x:f>
      </x:c>
      <x:c r="DF282" s="174"/>
      <x:c r="DG282" s="174"/>
      <x:c r="DH282" s="174"/>
      <x:c r="DI282" s="174"/>
      <x:c r="DJ282" s="174"/>
      <x:c r="DK282" s="174"/>
      <x:c r="DL282" s="174"/>
      <x:c r="DM282" s="174"/>
      <x:c r="DN282" s="174"/>
      <x:c r="DO282" s="174"/>
      <x:c r="DP282" s="174"/>
      <x:c r="DQ282" s="174"/>
      <x:c r="DR282" s="174"/>
      <x:c r="DS282" s="174"/>
      <x:c r="DT282" s="174"/>
      <x:c r="DU282" s="174"/>
      <x:c r="DV282" s="174"/>
      <x:c r="DW282" s="174"/>
      <x:c r="DX282" s="174"/>
      <x:c r="DY282" s="174"/>
      <x:c r="DZ282" s="174"/>
      <x:c r="EA282" s="174"/>
      <x:c r="EB282" s="175" t="str">
        <x:f>IF(L282="","",IF(AND(F282="Claim-ready",CJ282="Yes",CL282="Yes",DZ282&lt;&gt;""),"Yes","No / Pending"))</x:f>
      </x:c>
      <x:c r="EC282" s="174"/>
      <x:c r="ED282" s="174"/>
      <x:c r="EE282" s="174"/>
      <x:c r="EF282" s="174"/>
      <x:c r="EG282" s="174"/>
      <x:c r="EH282" s="177"/>
      <x:c r="EI282" s="174"/>
      <x:c r="EJ282" s="174"/>
      <x:c r="EK282" s="174"/>
      <x:c r="EL282" s="177"/>
      <x:c r="EM282" s="174"/>
      <x:c r="EN282" s="181" t="str">
        <x:f>IF(L282="","",(IF(N282&lt;&gt;"",1,0)+IF(O282&lt;&gt;"",1,0)+IF(AJ282&lt;&gt;"",1,0)+IF(AU282&lt;&gt;"",1,0)+IF(BE282&lt;&gt;"",1,0)+IF(CF282&lt;&gt;"",1,0)+IF(CJ282="Yes",1,0)+IF(CL282="Yes",1,0)+IF(DE282&lt;&gt;"Pending",1,0)+IF(F282&lt;&gt;"",1,0)+IF(DZ282&lt;&gt;"",1,0)+IF(EI282&lt;&gt;"",1,0))/12)</x:f>
      </x:c>
    </x:row>
    <x:row r="283">
      <x:c r="A283" s="175" t="str">
        <x:f>IF(L283="","","EV-"&amp;TEXT(ROW()-3,"0000"))</x:f>
      </x:c>
      <x:c r="B283" s="174"/>
      <x:c r="C283" s="175" t="str">
        <x:f>IF(L283="","",IF(OR(CM283="Retracted",CN283="Retracted",F283="Not used"),"🔴 Do not use for conclusion",IF(OR(R283="Official / Institutional",I283="Official / contextual"),"🔵 Official / contextual",IF(OR(I283="Definition",I283="Framework",I283="Paradigm shift"),"🟣 Conceptual key source",IF(AND(CJ283="Yes",CL283="Yes",OR(CG283="High",CG283="Moderate"),CH283&lt;&gt;"High",CH283&lt;&gt;"Critical",F283="Claim-ready"),"🟢 Claim-ready","🟡 Caution / context")))))</x:f>
      </x:c>
      <x:c r="D283" s="174"/>
      <x:c r="E283" s="174"/>
      <x:c r="F283" s="174"/>
      <x:c r="G283" s="174"/>
      <x:c r="H283" s="174"/>
      <x:c r="I283" s="174"/>
      <x:c r="J283" s="174"/>
      <x:c r="K283" s="174"/>
      <x:c r="L283" s="174"/>
      <x:c r="M283" s="174"/>
      <x:c r="N283" s="174"/>
      <x:c r="O283" s="176"/>
      <x:c r="P283" s="174"/>
      <x:c r="Q283" s="174"/>
      <x:c r="R283" s="174"/>
      <x:c r="S283" s="174"/>
      <x:c r="T283" s="174"/>
      <x:c r="U283" s="174"/>
      <x:c r="V283" s="174"/>
      <x:c r="W283" s="175" t="str">
        <x:f>IF(V283="","",LOWER(SUBSTITUTE(SUBSTITUTE(SUBSTITUTE(SUBSTITUTE(TRIM(V283),"https://doi.org/",""),"http://doi.org/",""),"https://dx.doi.org/",""),"doi:","")))</x:f>
      </x:c>
      <x:c r="X283" s="174"/>
      <x:c r="Y283" s="174"/>
      <x:c r="Z283" s="174"/>
      <x:c r="AA283" s="174"/>
      <x:c r="AB283" s="174"/>
      <x:c r="AC283" s="174"/>
      <x:c r="AD283" s="177"/>
      <x:c r="AE283" s="177"/>
      <x:c r="AF283" s="174"/>
      <x:c r="AG283" s="174"/>
      <x:c r="AH283" s="174"/>
      <x:c r="AI283" s="174"/>
      <x:c r="AJ283" s="174"/>
      <x:c r="AK283" s="175" t="str">
        <x:f>IF(AJ283="","",IF(OR(LOWER(AJ283)="brazil",LOWER(AJ283)="brasil"),"Yes","No"))</x:f>
      </x:c>
      <x:c r="AL283" s="174"/>
      <x:c r="AM283" s="174"/>
      <x:c r="AN283" s="174"/>
      <x:c r="AO283" s="178"/>
      <x:c r="AP283" s="174"/>
      <x:c r="AQ283" s="174"/>
      <x:c r="AR283" s="174"/>
      <x:c r="AS283" s="174"/>
      <x:c r="AT283" s="174"/>
      <x:c r="AU283" s="174"/>
      <x:c r="AV283" s="174"/>
      <x:c r="AW283" s="174"/>
      <x:c r="AX283" s="174"/>
      <x:c r="AY283" s="174"/>
      <x:c r="AZ283" s="174"/>
      <x:c r="BA283" s="174"/>
      <x:c r="BB283" s="174"/>
      <x:c r="BC283" s="174"/>
      <x:c r="BD283" s="174"/>
      <x:c r="BE283" s="174"/>
      <x:c r="BF283" s="174"/>
      <x:c r="BG283" s="174"/>
      <x:c r="BH283" s="174"/>
      <x:c r="BI283" s="174"/>
      <x:c r="BJ283" s="174"/>
      <x:c r="BK283" s="174"/>
      <x:c r="BL283" s="174"/>
      <x:c r="BM283" s="174"/>
      <x:c r="BN283" s="174"/>
      <x:c r="BO283" s="174"/>
      <x:c r="BP283" s="174"/>
      <x:c r="BQ283" s="174"/>
      <x:c r="BR283" s="174"/>
      <x:c r="BS283" s="174"/>
      <x:c r="BT283" s="174"/>
      <x:c r="BU283" s="174"/>
      <x:c r="BV283" s="174"/>
      <x:c r="BW283" s="174"/>
      <x:c r="BX283" s="174"/>
      <x:c r="BY283" s="174"/>
      <x:c r="BZ283" s="174"/>
      <x:c r="CA283" s="174"/>
      <x:c r="CB283" s="174"/>
      <x:c r="CC283" s="174"/>
      <x:c r="CD283" s="174"/>
      <x:c r="CE283" s="174"/>
      <x:c r="CF283" s="174"/>
      <x:c r="CG283" s="174"/>
      <x:c r="CH283" s="174"/>
      <x:c r="CI283" s="179"/>
      <x:c r="CJ283" s="174"/>
      <x:c r="CK283" s="174"/>
      <x:c r="CL283" s="174"/>
      <x:c r="CM283" s="174"/>
      <x:c r="CN283" s="174"/>
      <x:c r="CO283" s="177"/>
      <x:c r="CP283" s="174"/>
      <x:c r="CQ283" s="174"/>
      <x:c r="CR283" s="174"/>
      <x:c r="CS283" s="174"/>
      <x:c r="CT283" s="174"/>
      <x:c r="CU283" s="176"/>
      <x:c r="CV283" s="176"/>
      <x:c r="CW283" s="176"/>
      <x:c r="CX283" s="176"/>
      <x:c r="CY283" s="176"/>
      <x:c r="CZ283" s="176"/>
      <x:c r="DA283" s="176"/>
      <x:c r="DB283" s="175" t="str">
        <x:f>IF(L283="","",IF(COUNT(CU283:DA283)&lt;7,"",SUM(CU283:DA283)))</x:f>
      </x:c>
      <x:c r="DC283" s="180" t="str">
        <x:f>IF(DB283="","",ROUND(DB283/14*10,1))</x:f>
      </x:c>
      <x:c r="DD283" s="174"/>
      <x:c r="DE283" s="175" t="str">
        <x:f>IF(L283="","",IF(DC283="","Pending",IF(DD283="Yes","CONDITIONAL — safety override",IF(DC283&gt;=8,"HIGH",IF(DC283&gt;=5,"CONDITIONAL","LOW")))))</x:f>
      </x:c>
      <x:c r="DF283" s="174"/>
      <x:c r="DG283" s="174"/>
      <x:c r="DH283" s="174"/>
      <x:c r="DI283" s="174"/>
      <x:c r="DJ283" s="174"/>
      <x:c r="DK283" s="174"/>
      <x:c r="DL283" s="174"/>
      <x:c r="DM283" s="174"/>
      <x:c r="DN283" s="174"/>
      <x:c r="DO283" s="174"/>
      <x:c r="DP283" s="174"/>
      <x:c r="DQ283" s="174"/>
      <x:c r="DR283" s="174"/>
      <x:c r="DS283" s="174"/>
      <x:c r="DT283" s="174"/>
      <x:c r="DU283" s="174"/>
      <x:c r="DV283" s="174"/>
      <x:c r="DW283" s="174"/>
      <x:c r="DX283" s="174"/>
      <x:c r="DY283" s="174"/>
      <x:c r="DZ283" s="174"/>
      <x:c r="EA283" s="174"/>
      <x:c r="EB283" s="175" t="str">
        <x:f>IF(L283="","",IF(AND(F283="Claim-ready",CJ283="Yes",CL283="Yes",DZ283&lt;&gt;""),"Yes","No / Pending"))</x:f>
      </x:c>
      <x:c r="EC283" s="174"/>
      <x:c r="ED283" s="174"/>
      <x:c r="EE283" s="174"/>
      <x:c r="EF283" s="174"/>
      <x:c r="EG283" s="174"/>
      <x:c r="EH283" s="177"/>
      <x:c r="EI283" s="174"/>
      <x:c r="EJ283" s="174"/>
      <x:c r="EK283" s="174"/>
      <x:c r="EL283" s="177"/>
      <x:c r="EM283" s="174"/>
      <x:c r="EN283" s="181" t="str">
        <x:f>IF(L283="","",(IF(N283&lt;&gt;"",1,0)+IF(O283&lt;&gt;"",1,0)+IF(AJ283&lt;&gt;"",1,0)+IF(AU283&lt;&gt;"",1,0)+IF(BE283&lt;&gt;"",1,0)+IF(CF283&lt;&gt;"",1,0)+IF(CJ283="Yes",1,0)+IF(CL283="Yes",1,0)+IF(DE283&lt;&gt;"Pending",1,0)+IF(F283&lt;&gt;"",1,0)+IF(DZ283&lt;&gt;"",1,0)+IF(EI283&lt;&gt;"",1,0))/12)</x:f>
      </x:c>
    </x:row>
    <x:row r="284">
      <x:c r="A284" s="175" t="str">
        <x:f>IF(L284="","","EV-"&amp;TEXT(ROW()-3,"0000"))</x:f>
      </x:c>
      <x:c r="B284" s="174"/>
      <x:c r="C284" s="175" t="str">
        <x:f>IF(L284="","",IF(OR(CM284="Retracted",CN284="Retracted",F284="Not used"),"🔴 Do not use for conclusion",IF(OR(R284="Official / Institutional",I284="Official / contextual"),"🔵 Official / contextual",IF(OR(I284="Definition",I284="Framework",I284="Paradigm shift"),"🟣 Conceptual key source",IF(AND(CJ284="Yes",CL284="Yes",OR(CG284="High",CG284="Moderate"),CH284&lt;&gt;"High",CH284&lt;&gt;"Critical",F284="Claim-ready"),"🟢 Claim-ready","🟡 Caution / context")))))</x:f>
      </x:c>
      <x:c r="D284" s="174"/>
      <x:c r="E284" s="174"/>
      <x:c r="F284" s="174"/>
      <x:c r="G284" s="174"/>
      <x:c r="H284" s="174"/>
      <x:c r="I284" s="174"/>
      <x:c r="J284" s="174"/>
      <x:c r="K284" s="174"/>
      <x:c r="L284" s="174"/>
      <x:c r="M284" s="174"/>
      <x:c r="N284" s="174"/>
      <x:c r="O284" s="176"/>
      <x:c r="P284" s="174"/>
      <x:c r="Q284" s="174"/>
      <x:c r="R284" s="174"/>
      <x:c r="S284" s="174"/>
      <x:c r="T284" s="174"/>
      <x:c r="U284" s="174"/>
      <x:c r="V284" s="174"/>
      <x:c r="W284" s="175" t="str">
        <x:f>IF(V284="","",LOWER(SUBSTITUTE(SUBSTITUTE(SUBSTITUTE(SUBSTITUTE(TRIM(V284),"https://doi.org/",""),"http://doi.org/",""),"https://dx.doi.org/",""),"doi:","")))</x:f>
      </x:c>
      <x:c r="X284" s="174"/>
      <x:c r="Y284" s="174"/>
      <x:c r="Z284" s="174"/>
      <x:c r="AA284" s="174"/>
      <x:c r="AB284" s="174"/>
      <x:c r="AC284" s="174"/>
      <x:c r="AD284" s="177"/>
      <x:c r="AE284" s="177"/>
      <x:c r="AF284" s="174"/>
      <x:c r="AG284" s="174"/>
      <x:c r="AH284" s="174"/>
      <x:c r="AI284" s="174"/>
      <x:c r="AJ284" s="174"/>
      <x:c r="AK284" s="175" t="str">
        <x:f>IF(AJ284="","",IF(OR(LOWER(AJ284)="brazil",LOWER(AJ284)="brasil"),"Yes","No"))</x:f>
      </x:c>
      <x:c r="AL284" s="174"/>
      <x:c r="AM284" s="174"/>
      <x:c r="AN284" s="174"/>
      <x:c r="AO284" s="178"/>
      <x:c r="AP284" s="174"/>
      <x:c r="AQ284" s="174"/>
      <x:c r="AR284" s="174"/>
      <x:c r="AS284" s="174"/>
      <x:c r="AT284" s="174"/>
      <x:c r="AU284" s="174"/>
      <x:c r="AV284" s="174"/>
      <x:c r="AW284" s="174"/>
      <x:c r="AX284" s="174"/>
      <x:c r="AY284" s="174"/>
      <x:c r="AZ284" s="174"/>
      <x:c r="BA284" s="174"/>
      <x:c r="BB284" s="174"/>
      <x:c r="BC284" s="174"/>
      <x:c r="BD284" s="174"/>
      <x:c r="BE284" s="174"/>
      <x:c r="BF284" s="174"/>
      <x:c r="BG284" s="174"/>
      <x:c r="BH284" s="174"/>
      <x:c r="BI284" s="174"/>
      <x:c r="BJ284" s="174"/>
      <x:c r="BK284" s="174"/>
      <x:c r="BL284" s="174"/>
      <x:c r="BM284" s="174"/>
      <x:c r="BN284" s="174"/>
      <x:c r="BO284" s="174"/>
      <x:c r="BP284" s="174"/>
      <x:c r="BQ284" s="174"/>
      <x:c r="BR284" s="174"/>
      <x:c r="BS284" s="174"/>
      <x:c r="BT284" s="174"/>
      <x:c r="BU284" s="174"/>
      <x:c r="BV284" s="174"/>
      <x:c r="BW284" s="174"/>
      <x:c r="BX284" s="174"/>
      <x:c r="BY284" s="174"/>
      <x:c r="BZ284" s="174"/>
      <x:c r="CA284" s="174"/>
      <x:c r="CB284" s="174"/>
      <x:c r="CC284" s="174"/>
      <x:c r="CD284" s="174"/>
      <x:c r="CE284" s="174"/>
      <x:c r="CF284" s="174"/>
      <x:c r="CG284" s="174"/>
      <x:c r="CH284" s="174"/>
      <x:c r="CI284" s="179"/>
      <x:c r="CJ284" s="174"/>
      <x:c r="CK284" s="174"/>
      <x:c r="CL284" s="174"/>
      <x:c r="CM284" s="174"/>
      <x:c r="CN284" s="174"/>
      <x:c r="CO284" s="177"/>
      <x:c r="CP284" s="174"/>
      <x:c r="CQ284" s="174"/>
      <x:c r="CR284" s="174"/>
      <x:c r="CS284" s="174"/>
      <x:c r="CT284" s="174"/>
      <x:c r="CU284" s="176"/>
      <x:c r="CV284" s="176"/>
      <x:c r="CW284" s="176"/>
      <x:c r="CX284" s="176"/>
      <x:c r="CY284" s="176"/>
      <x:c r="CZ284" s="176"/>
      <x:c r="DA284" s="176"/>
      <x:c r="DB284" s="175" t="str">
        <x:f>IF(L284="","",IF(COUNT(CU284:DA284)&lt;7,"",SUM(CU284:DA284)))</x:f>
      </x:c>
      <x:c r="DC284" s="180" t="str">
        <x:f>IF(DB284="","",ROUND(DB284/14*10,1))</x:f>
      </x:c>
      <x:c r="DD284" s="174"/>
      <x:c r="DE284" s="175" t="str">
        <x:f>IF(L284="","",IF(DC284="","Pending",IF(DD284="Yes","CONDITIONAL — safety override",IF(DC284&gt;=8,"HIGH",IF(DC284&gt;=5,"CONDITIONAL","LOW")))))</x:f>
      </x:c>
      <x:c r="DF284" s="174"/>
      <x:c r="DG284" s="174"/>
      <x:c r="DH284" s="174"/>
      <x:c r="DI284" s="174"/>
      <x:c r="DJ284" s="174"/>
      <x:c r="DK284" s="174"/>
      <x:c r="DL284" s="174"/>
      <x:c r="DM284" s="174"/>
      <x:c r="DN284" s="174"/>
      <x:c r="DO284" s="174"/>
      <x:c r="DP284" s="174"/>
      <x:c r="DQ284" s="174"/>
      <x:c r="DR284" s="174"/>
      <x:c r="DS284" s="174"/>
      <x:c r="DT284" s="174"/>
      <x:c r="DU284" s="174"/>
      <x:c r="DV284" s="174"/>
      <x:c r="DW284" s="174"/>
      <x:c r="DX284" s="174"/>
      <x:c r="DY284" s="174"/>
      <x:c r="DZ284" s="174"/>
      <x:c r="EA284" s="174"/>
      <x:c r="EB284" s="175" t="str">
        <x:f>IF(L284="","",IF(AND(F284="Claim-ready",CJ284="Yes",CL284="Yes",DZ284&lt;&gt;""),"Yes","No / Pending"))</x:f>
      </x:c>
      <x:c r="EC284" s="174"/>
      <x:c r="ED284" s="174"/>
      <x:c r="EE284" s="174"/>
      <x:c r="EF284" s="174"/>
      <x:c r="EG284" s="174"/>
      <x:c r="EH284" s="177"/>
      <x:c r="EI284" s="174"/>
      <x:c r="EJ284" s="174"/>
      <x:c r="EK284" s="174"/>
      <x:c r="EL284" s="177"/>
      <x:c r="EM284" s="174"/>
      <x:c r="EN284" s="181" t="str">
        <x:f>IF(L284="","",(IF(N284&lt;&gt;"",1,0)+IF(O284&lt;&gt;"",1,0)+IF(AJ284&lt;&gt;"",1,0)+IF(AU284&lt;&gt;"",1,0)+IF(BE284&lt;&gt;"",1,0)+IF(CF284&lt;&gt;"",1,0)+IF(CJ284="Yes",1,0)+IF(CL284="Yes",1,0)+IF(DE284&lt;&gt;"Pending",1,0)+IF(F284&lt;&gt;"",1,0)+IF(DZ284&lt;&gt;"",1,0)+IF(EI284&lt;&gt;"",1,0))/12)</x:f>
      </x:c>
    </x:row>
    <x:row r="285">
      <x:c r="A285" s="175" t="str">
        <x:f>IF(L285="","","EV-"&amp;TEXT(ROW()-3,"0000"))</x:f>
      </x:c>
      <x:c r="B285" s="174"/>
      <x:c r="C285" s="175" t="str">
        <x:f>IF(L285="","",IF(OR(CM285="Retracted",CN285="Retracted",F285="Not used"),"🔴 Do not use for conclusion",IF(OR(R285="Official / Institutional",I285="Official / contextual"),"🔵 Official / contextual",IF(OR(I285="Definition",I285="Framework",I285="Paradigm shift"),"🟣 Conceptual key source",IF(AND(CJ285="Yes",CL285="Yes",OR(CG285="High",CG285="Moderate"),CH285&lt;&gt;"High",CH285&lt;&gt;"Critical",F285="Claim-ready"),"🟢 Claim-ready","🟡 Caution / context")))))</x:f>
      </x:c>
      <x:c r="D285" s="174"/>
      <x:c r="E285" s="174"/>
      <x:c r="F285" s="174"/>
      <x:c r="G285" s="174"/>
      <x:c r="H285" s="174"/>
      <x:c r="I285" s="174"/>
      <x:c r="J285" s="174"/>
      <x:c r="K285" s="174"/>
      <x:c r="L285" s="174"/>
      <x:c r="M285" s="174"/>
      <x:c r="N285" s="174"/>
      <x:c r="O285" s="176"/>
      <x:c r="P285" s="174"/>
      <x:c r="Q285" s="174"/>
      <x:c r="R285" s="174"/>
      <x:c r="S285" s="174"/>
      <x:c r="T285" s="174"/>
      <x:c r="U285" s="174"/>
      <x:c r="V285" s="174"/>
      <x:c r="W285" s="175" t="str">
        <x:f>IF(V285="","",LOWER(SUBSTITUTE(SUBSTITUTE(SUBSTITUTE(SUBSTITUTE(TRIM(V285),"https://doi.org/",""),"http://doi.org/",""),"https://dx.doi.org/",""),"doi:","")))</x:f>
      </x:c>
      <x:c r="X285" s="174"/>
      <x:c r="Y285" s="174"/>
      <x:c r="Z285" s="174"/>
      <x:c r="AA285" s="174"/>
      <x:c r="AB285" s="174"/>
      <x:c r="AC285" s="174"/>
      <x:c r="AD285" s="177"/>
      <x:c r="AE285" s="177"/>
      <x:c r="AF285" s="174"/>
      <x:c r="AG285" s="174"/>
      <x:c r="AH285" s="174"/>
      <x:c r="AI285" s="174"/>
      <x:c r="AJ285" s="174"/>
      <x:c r="AK285" s="175" t="str">
        <x:f>IF(AJ285="","",IF(OR(LOWER(AJ285)="brazil",LOWER(AJ285)="brasil"),"Yes","No"))</x:f>
      </x:c>
      <x:c r="AL285" s="174"/>
      <x:c r="AM285" s="174"/>
      <x:c r="AN285" s="174"/>
      <x:c r="AO285" s="178"/>
      <x:c r="AP285" s="174"/>
      <x:c r="AQ285" s="174"/>
      <x:c r="AR285" s="174"/>
      <x:c r="AS285" s="174"/>
      <x:c r="AT285" s="174"/>
      <x:c r="AU285" s="174"/>
      <x:c r="AV285" s="174"/>
      <x:c r="AW285" s="174"/>
      <x:c r="AX285" s="174"/>
      <x:c r="AY285" s="174"/>
      <x:c r="AZ285" s="174"/>
      <x:c r="BA285" s="174"/>
      <x:c r="BB285" s="174"/>
      <x:c r="BC285" s="174"/>
      <x:c r="BD285" s="174"/>
      <x:c r="BE285" s="174"/>
      <x:c r="BF285" s="174"/>
      <x:c r="BG285" s="174"/>
      <x:c r="BH285" s="174"/>
      <x:c r="BI285" s="174"/>
      <x:c r="BJ285" s="174"/>
      <x:c r="BK285" s="174"/>
      <x:c r="BL285" s="174"/>
      <x:c r="BM285" s="174"/>
      <x:c r="BN285" s="174"/>
      <x:c r="BO285" s="174"/>
      <x:c r="BP285" s="174"/>
      <x:c r="BQ285" s="174"/>
      <x:c r="BR285" s="174"/>
      <x:c r="BS285" s="174"/>
      <x:c r="BT285" s="174"/>
      <x:c r="BU285" s="174"/>
      <x:c r="BV285" s="174"/>
      <x:c r="BW285" s="174"/>
      <x:c r="BX285" s="174"/>
      <x:c r="BY285" s="174"/>
      <x:c r="BZ285" s="174"/>
      <x:c r="CA285" s="174"/>
      <x:c r="CB285" s="174"/>
      <x:c r="CC285" s="174"/>
      <x:c r="CD285" s="174"/>
      <x:c r="CE285" s="174"/>
      <x:c r="CF285" s="174"/>
      <x:c r="CG285" s="174"/>
      <x:c r="CH285" s="174"/>
      <x:c r="CI285" s="179"/>
      <x:c r="CJ285" s="174"/>
      <x:c r="CK285" s="174"/>
      <x:c r="CL285" s="174"/>
      <x:c r="CM285" s="174"/>
      <x:c r="CN285" s="174"/>
      <x:c r="CO285" s="177"/>
      <x:c r="CP285" s="174"/>
      <x:c r="CQ285" s="174"/>
      <x:c r="CR285" s="174"/>
      <x:c r="CS285" s="174"/>
      <x:c r="CT285" s="174"/>
      <x:c r="CU285" s="176"/>
      <x:c r="CV285" s="176"/>
      <x:c r="CW285" s="176"/>
      <x:c r="CX285" s="176"/>
      <x:c r="CY285" s="176"/>
      <x:c r="CZ285" s="176"/>
      <x:c r="DA285" s="176"/>
      <x:c r="DB285" s="175" t="str">
        <x:f>IF(L285="","",IF(COUNT(CU285:DA285)&lt;7,"",SUM(CU285:DA285)))</x:f>
      </x:c>
      <x:c r="DC285" s="180" t="str">
        <x:f>IF(DB285="","",ROUND(DB285/14*10,1))</x:f>
      </x:c>
      <x:c r="DD285" s="174"/>
      <x:c r="DE285" s="175" t="str">
        <x:f>IF(L285="","",IF(DC285="","Pending",IF(DD285="Yes","CONDITIONAL — safety override",IF(DC285&gt;=8,"HIGH",IF(DC285&gt;=5,"CONDITIONAL","LOW")))))</x:f>
      </x:c>
      <x:c r="DF285" s="174"/>
      <x:c r="DG285" s="174"/>
      <x:c r="DH285" s="174"/>
      <x:c r="DI285" s="174"/>
      <x:c r="DJ285" s="174"/>
      <x:c r="DK285" s="174"/>
      <x:c r="DL285" s="174"/>
      <x:c r="DM285" s="174"/>
      <x:c r="DN285" s="174"/>
      <x:c r="DO285" s="174"/>
      <x:c r="DP285" s="174"/>
      <x:c r="DQ285" s="174"/>
      <x:c r="DR285" s="174"/>
      <x:c r="DS285" s="174"/>
      <x:c r="DT285" s="174"/>
      <x:c r="DU285" s="174"/>
      <x:c r="DV285" s="174"/>
      <x:c r="DW285" s="174"/>
      <x:c r="DX285" s="174"/>
      <x:c r="DY285" s="174"/>
      <x:c r="DZ285" s="174"/>
      <x:c r="EA285" s="174"/>
      <x:c r="EB285" s="175" t="str">
        <x:f>IF(L285="","",IF(AND(F285="Claim-ready",CJ285="Yes",CL285="Yes",DZ285&lt;&gt;""),"Yes","No / Pending"))</x:f>
      </x:c>
      <x:c r="EC285" s="174"/>
      <x:c r="ED285" s="174"/>
      <x:c r="EE285" s="174"/>
      <x:c r="EF285" s="174"/>
      <x:c r="EG285" s="174"/>
      <x:c r="EH285" s="177"/>
      <x:c r="EI285" s="174"/>
      <x:c r="EJ285" s="174"/>
      <x:c r="EK285" s="174"/>
      <x:c r="EL285" s="177"/>
      <x:c r="EM285" s="174"/>
      <x:c r="EN285" s="181" t="str">
        <x:f>IF(L285="","",(IF(N285&lt;&gt;"",1,0)+IF(O285&lt;&gt;"",1,0)+IF(AJ285&lt;&gt;"",1,0)+IF(AU285&lt;&gt;"",1,0)+IF(BE285&lt;&gt;"",1,0)+IF(CF285&lt;&gt;"",1,0)+IF(CJ285="Yes",1,0)+IF(CL285="Yes",1,0)+IF(DE285&lt;&gt;"Pending",1,0)+IF(F285&lt;&gt;"",1,0)+IF(DZ285&lt;&gt;"",1,0)+IF(EI285&lt;&gt;"",1,0))/12)</x:f>
      </x:c>
    </x:row>
    <x:row r="286">
      <x:c r="A286" s="175" t="str">
        <x:f>IF(L286="","","EV-"&amp;TEXT(ROW()-3,"0000"))</x:f>
      </x:c>
      <x:c r="B286" s="174"/>
      <x:c r="C286" s="175" t="str">
        <x:f>IF(L286="","",IF(OR(CM286="Retracted",CN286="Retracted",F286="Not used"),"🔴 Do not use for conclusion",IF(OR(R286="Official / Institutional",I286="Official / contextual"),"🔵 Official / contextual",IF(OR(I286="Definition",I286="Framework",I286="Paradigm shift"),"🟣 Conceptual key source",IF(AND(CJ286="Yes",CL286="Yes",OR(CG286="High",CG286="Moderate"),CH286&lt;&gt;"High",CH286&lt;&gt;"Critical",F286="Claim-ready"),"🟢 Claim-ready","🟡 Caution / context")))))</x:f>
      </x:c>
      <x:c r="D286" s="174"/>
      <x:c r="E286" s="174"/>
      <x:c r="F286" s="174"/>
      <x:c r="G286" s="174"/>
      <x:c r="H286" s="174"/>
      <x:c r="I286" s="174"/>
      <x:c r="J286" s="174"/>
      <x:c r="K286" s="174"/>
      <x:c r="L286" s="174"/>
      <x:c r="M286" s="174"/>
      <x:c r="N286" s="174"/>
      <x:c r="O286" s="176"/>
      <x:c r="P286" s="174"/>
      <x:c r="Q286" s="174"/>
      <x:c r="R286" s="174"/>
      <x:c r="S286" s="174"/>
      <x:c r="T286" s="174"/>
      <x:c r="U286" s="174"/>
      <x:c r="V286" s="174"/>
      <x:c r="W286" s="175" t="str">
        <x:f>IF(V286="","",LOWER(SUBSTITUTE(SUBSTITUTE(SUBSTITUTE(SUBSTITUTE(TRIM(V286),"https://doi.org/",""),"http://doi.org/",""),"https://dx.doi.org/",""),"doi:","")))</x:f>
      </x:c>
      <x:c r="X286" s="174"/>
      <x:c r="Y286" s="174"/>
      <x:c r="Z286" s="174"/>
      <x:c r="AA286" s="174"/>
      <x:c r="AB286" s="174"/>
      <x:c r="AC286" s="174"/>
      <x:c r="AD286" s="177"/>
      <x:c r="AE286" s="177"/>
      <x:c r="AF286" s="174"/>
      <x:c r="AG286" s="174"/>
      <x:c r="AH286" s="174"/>
      <x:c r="AI286" s="174"/>
      <x:c r="AJ286" s="174"/>
      <x:c r="AK286" s="175" t="str">
        <x:f>IF(AJ286="","",IF(OR(LOWER(AJ286)="brazil",LOWER(AJ286)="brasil"),"Yes","No"))</x:f>
      </x:c>
      <x:c r="AL286" s="174"/>
      <x:c r="AM286" s="174"/>
      <x:c r="AN286" s="174"/>
      <x:c r="AO286" s="178"/>
      <x:c r="AP286" s="174"/>
      <x:c r="AQ286" s="174"/>
      <x:c r="AR286" s="174"/>
      <x:c r="AS286" s="174"/>
      <x:c r="AT286" s="174"/>
      <x:c r="AU286" s="174"/>
      <x:c r="AV286" s="174"/>
      <x:c r="AW286" s="174"/>
      <x:c r="AX286" s="174"/>
      <x:c r="AY286" s="174"/>
      <x:c r="AZ286" s="174"/>
      <x:c r="BA286" s="174"/>
      <x:c r="BB286" s="174"/>
      <x:c r="BC286" s="174"/>
      <x:c r="BD286" s="174"/>
      <x:c r="BE286" s="174"/>
      <x:c r="BF286" s="174"/>
      <x:c r="BG286" s="174"/>
      <x:c r="BH286" s="174"/>
      <x:c r="BI286" s="174"/>
      <x:c r="BJ286" s="174"/>
      <x:c r="BK286" s="174"/>
      <x:c r="BL286" s="174"/>
      <x:c r="BM286" s="174"/>
      <x:c r="BN286" s="174"/>
      <x:c r="BO286" s="174"/>
      <x:c r="BP286" s="174"/>
      <x:c r="BQ286" s="174"/>
      <x:c r="BR286" s="174"/>
      <x:c r="BS286" s="174"/>
      <x:c r="BT286" s="174"/>
      <x:c r="BU286" s="174"/>
      <x:c r="BV286" s="174"/>
      <x:c r="BW286" s="174"/>
      <x:c r="BX286" s="174"/>
      <x:c r="BY286" s="174"/>
      <x:c r="BZ286" s="174"/>
      <x:c r="CA286" s="174"/>
      <x:c r="CB286" s="174"/>
      <x:c r="CC286" s="174"/>
      <x:c r="CD286" s="174"/>
      <x:c r="CE286" s="174"/>
      <x:c r="CF286" s="174"/>
      <x:c r="CG286" s="174"/>
      <x:c r="CH286" s="174"/>
      <x:c r="CI286" s="179"/>
      <x:c r="CJ286" s="174"/>
      <x:c r="CK286" s="174"/>
      <x:c r="CL286" s="174"/>
      <x:c r="CM286" s="174"/>
      <x:c r="CN286" s="174"/>
      <x:c r="CO286" s="177"/>
      <x:c r="CP286" s="174"/>
      <x:c r="CQ286" s="174"/>
      <x:c r="CR286" s="174"/>
      <x:c r="CS286" s="174"/>
      <x:c r="CT286" s="174"/>
      <x:c r="CU286" s="176"/>
      <x:c r="CV286" s="176"/>
      <x:c r="CW286" s="176"/>
      <x:c r="CX286" s="176"/>
      <x:c r="CY286" s="176"/>
      <x:c r="CZ286" s="176"/>
      <x:c r="DA286" s="176"/>
      <x:c r="DB286" s="175" t="str">
        <x:f>IF(L286="","",IF(COUNT(CU286:DA286)&lt;7,"",SUM(CU286:DA286)))</x:f>
      </x:c>
      <x:c r="DC286" s="180" t="str">
        <x:f>IF(DB286="","",ROUND(DB286/14*10,1))</x:f>
      </x:c>
      <x:c r="DD286" s="174"/>
      <x:c r="DE286" s="175" t="str">
        <x:f>IF(L286="","",IF(DC286="","Pending",IF(DD286="Yes","CONDITIONAL — safety override",IF(DC286&gt;=8,"HIGH",IF(DC286&gt;=5,"CONDITIONAL","LOW")))))</x:f>
      </x:c>
      <x:c r="DF286" s="174"/>
      <x:c r="DG286" s="174"/>
      <x:c r="DH286" s="174"/>
      <x:c r="DI286" s="174"/>
      <x:c r="DJ286" s="174"/>
      <x:c r="DK286" s="174"/>
      <x:c r="DL286" s="174"/>
      <x:c r="DM286" s="174"/>
      <x:c r="DN286" s="174"/>
      <x:c r="DO286" s="174"/>
      <x:c r="DP286" s="174"/>
      <x:c r="DQ286" s="174"/>
      <x:c r="DR286" s="174"/>
      <x:c r="DS286" s="174"/>
      <x:c r="DT286" s="174"/>
      <x:c r="DU286" s="174"/>
      <x:c r="DV286" s="174"/>
      <x:c r="DW286" s="174"/>
      <x:c r="DX286" s="174"/>
      <x:c r="DY286" s="174"/>
      <x:c r="DZ286" s="174"/>
      <x:c r="EA286" s="174"/>
      <x:c r="EB286" s="175" t="str">
        <x:f>IF(L286="","",IF(AND(F286="Claim-ready",CJ286="Yes",CL286="Yes",DZ286&lt;&gt;""),"Yes","No / Pending"))</x:f>
      </x:c>
      <x:c r="EC286" s="174"/>
      <x:c r="ED286" s="174"/>
      <x:c r="EE286" s="174"/>
      <x:c r="EF286" s="174"/>
      <x:c r="EG286" s="174"/>
      <x:c r="EH286" s="177"/>
      <x:c r="EI286" s="174"/>
      <x:c r="EJ286" s="174"/>
      <x:c r="EK286" s="174"/>
      <x:c r="EL286" s="177"/>
      <x:c r="EM286" s="174"/>
      <x:c r="EN286" s="181" t="str">
        <x:f>IF(L286="","",(IF(N286&lt;&gt;"",1,0)+IF(O286&lt;&gt;"",1,0)+IF(AJ286&lt;&gt;"",1,0)+IF(AU286&lt;&gt;"",1,0)+IF(BE286&lt;&gt;"",1,0)+IF(CF286&lt;&gt;"",1,0)+IF(CJ286="Yes",1,0)+IF(CL286="Yes",1,0)+IF(DE286&lt;&gt;"Pending",1,0)+IF(F286&lt;&gt;"",1,0)+IF(DZ286&lt;&gt;"",1,0)+IF(EI286&lt;&gt;"",1,0))/12)</x:f>
      </x:c>
    </x:row>
    <x:row r="287">
      <x:c r="A287" s="175" t="str">
        <x:f>IF(L287="","","EV-"&amp;TEXT(ROW()-3,"0000"))</x:f>
      </x:c>
      <x:c r="B287" s="174"/>
      <x:c r="C287" s="175" t="str">
        <x:f>IF(L287="","",IF(OR(CM287="Retracted",CN287="Retracted",F287="Not used"),"🔴 Do not use for conclusion",IF(OR(R287="Official / Institutional",I287="Official / contextual"),"🔵 Official / contextual",IF(OR(I287="Definition",I287="Framework",I287="Paradigm shift"),"🟣 Conceptual key source",IF(AND(CJ287="Yes",CL287="Yes",OR(CG287="High",CG287="Moderate"),CH287&lt;&gt;"High",CH287&lt;&gt;"Critical",F287="Claim-ready"),"🟢 Claim-ready","🟡 Caution / context")))))</x:f>
      </x:c>
      <x:c r="D287" s="174"/>
      <x:c r="E287" s="174"/>
      <x:c r="F287" s="174"/>
      <x:c r="G287" s="174"/>
      <x:c r="H287" s="174"/>
      <x:c r="I287" s="174"/>
      <x:c r="J287" s="174"/>
      <x:c r="K287" s="174"/>
      <x:c r="L287" s="174"/>
      <x:c r="M287" s="174"/>
      <x:c r="N287" s="174"/>
      <x:c r="O287" s="176"/>
      <x:c r="P287" s="174"/>
      <x:c r="Q287" s="174"/>
      <x:c r="R287" s="174"/>
      <x:c r="S287" s="174"/>
      <x:c r="T287" s="174"/>
      <x:c r="U287" s="174"/>
      <x:c r="V287" s="174"/>
      <x:c r="W287" s="175" t="str">
        <x:f>IF(V287="","",LOWER(SUBSTITUTE(SUBSTITUTE(SUBSTITUTE(SUBSTITUTE(TRIM(V287),"https://doi.org/",""),"http://doi.org/",""),"https://dx.doi.org/",""),"doi:","")))</x:f>
      </x:c>
      <x:c r="X287" s="174"/>
      <x:c r="Y287" s="174"/>
      <x:c r="Z287" s="174"/>
      <x:c r="AA287" s="174"/>
      <x:c r="AB287" s="174"/>
      <x:c r="AC287" s="174"/>
      <x:c r="AD287" s="177"/>
      <x:c r="AE287" s="177"/>
      <x:c r="AF287" s="174"/>
      <x:c r="AG287" s="174"/>
      <x:c r="AH287" s="174"/>
      <x:c r="AI287" s="174"/>
      <x:c r="AJ287" s="174"/>
      <x:c r="AK287" s="175" t="str">
        <x:f>IF(AJ287="","",IF(OR(LOWER(AJ287)="brazil",LOWER(AJ287)="brasil"),"Yes","No"))</x:f>
      </x:c>
      <x:c r="AL287" s="174"/>
      <x:c r="AM287" s="174"/>
      <x:c r="AN287" s="174"/>
      <x:c r="AO287" s="178"/>
      <x:c r="AP287" s="174"/>
      <x:c r="AQ287" s="174"/>
      <x:c r="AR287" s="174"/>
      <x:c r="AS287" s="174"/>
      <x:c r="AT287" s="174"/>
      <x:c r="AU287" s="174"/>
      <x:c r="AV287" s="174"/>
      <x:c r="AW287" s="174"/>
      <x:c r="AX287" s="174"/>
      <x:c r="AY287" s="174"/>
      <x:c r="AZ287" s="174"/>
      <x:c r="BA287" s="174"/>
      <x:c r="BB287" s="174"/>
      <x:c r="BC287" s="174"/>
      <x:c r="BD287" s="174"/>
      <x:c r="BE287" s="174"/>
      <x:c r="BF287" s="174"/>
      <x:c r="BG287" s="174"/>
      <x:c r="BH287" s="174"/>
      <x:c r="BI287" s="174"/>
      <x:c r="BJ287" s="174"/>
      <x:c r="BK287" s="174"/>
      <x:c r="BL287" s="174"/>
      <x:c r="BM287" s="174"/>
      <x:c r="BN287" s="174"/>
      <x:c r="BO287" s="174"/>
      <x:c r="BP287" s="174"/>
      <x:c r="BQ287" s="174"/>
      <x:c r="BR287" s="174"/>
      <x:c r="BS287" s="174"/>
      <x:c r="BT287" s="174"/>
      <x:c r="BU287" s="174"/>
      <x:c r="BV287" s="174"/>
      <x:c r="BW287" s="174"/>
      <x:c r="BX287" s="174"/>
      <x:c r="BY287" s="174"/>
      <x:c r="BZ287" s="174"/>
      <x:c r="CA287" s="174"/>
      <x:c r="CB287" s="174"/>
      <x:c r="CC287" s="174"/>
      <x:c r="CD287" s="174"/>
      <x:c r="CE287" s="174"/>
      <x:c r="CF287" s="174"/>
      <x:c r="CG287" s="174"/>
      <x:c r="CH287" s="174"/>
      <x:c r="CI287" s="179"/>
      <x:c r="CJ287" s="174"/>
      <x:c r="CK287" s="174"/>
      <x:c r="CL287" s="174"/>
      <x:c r="CM287" s="174"/>
      <x:c r="CN287" s="174"/>
      <x:c r="CO287" s="177"/>
      <x:c r="CP287" s="174"/>
      <x:c r="CQ287" s="174"/>
      <x:c r="CR287" s="174"/>
      <x:c r="CS287" s="174"/>
      <x:c r="CT287" s="174"/>
      <x:c r="CU287" s="176"/>
      <x:c r="CV287" s="176"/>
      <x:c r="CW287" s="176"/>
      <x:c r="CX287" s="176"/>
      <x:c r="CY287" s="176"/>
      <x:c r="CZ287" s="176"/>
      <x:c r="DA287" s="176"/>
      <x:c r="DB287" s="175" t="str">
        <x:f>IF(L287="","",IF(COUNT(CU287:DA287)&lt;7,"",SUM(CU287:DA287)))</x:f>
      </x:c>
      <x:c r="DC287" s="180" t="str">
        <x:f>IF(DB287="","",ROUND(DB287/14*10,1))</x:f>
      </x:c>
      <x:c r="DD287" s="174"/>
      <x:c r="DE287" s="175" t="str">
        <x:f>IF(L287="","",IF(DC287="","Pending",IF(DD287="Yes","CONDITIONAL — safety override",IF(DC287&gt;=8,"HIGH",IF(DC287&gt;=5,"CONDITIONAL","LOW")))))</x:f>
      </x:c>
      <x:c r="DF287" s="174"/>
      <x:c r="DG287" s="174"/>
      <x:c r="DH287" s="174"/>
      <x:c r="DI287" s="174"/>
      <x:c r="DJ287" s="174"/>
      <x:c r="DK287" s="174"/>
      <x:c r="DL287" s="174"/>
      <x:c r="DM287" s="174"/>
      <x:c r="DN287" s="174"/>
      <x:c r="DO287" s="174"/>
      <x:c r="DP287" s="174"/>
      <x:c r="DQ287" s="174"/>
      <x:c r="DR287" s="174"/>
      <x:c r="DS287" s="174"/>
      <x:c r="DT287" s="174"/>
      <x:c r="DU287" s="174"/>
      <x:c r="DV287" s="174"/>
      <x:c r="DW287" s="174"/>
      <x:c r="DX287" s="174"/>
      <x:c r="DY287" s="174"/>
      <x:c r="DZ287" s="174"/>
      <x:c r="EA287" s="174"/>
      <x:c r="EB287" s="175" t="str">
        <x:f>IF(L287="","",IF(AND(F287="Claim-ready",CJ287="Yes",CL287="Yes",DZ287&lt;&gt;""),"Yes","No / Pending"))</x:f>
      </x:c>
      <x:c r="EC287" s="174"/>
      <x:c r="ED287" s="174"/>
      <x:c r="EE287" s="174"/>
      <x:c r="EF287" s="174"/>
      <x:c r="EG287" s="174"/>
      <x:c r="EH287" s="177"/>
      <x:c r="EI287" s="174"/>
      <x:c r="EJ287" s="174"/>
      <x:c r="EK287" s="174"/>
      <x:c r="EL287" s="177"/>
      <x:c r="EM287" s="174"/>
      <x:c r="EN287" s="181" t="str">
        <x:f>IF(L287="","",(IF(N287&lt;&gt;"",1,0)+IF(O287&lt;&gt;"",1,0)+IF(AJ287&lt;&gt;"",1,0)+IF(AU287&lt;&gt;"",1,0)+IF(BE287&lt;&gt;"",1,0)+IF(CF287&lt;&gt;"",1,0)+IF(CJ287="Yes",1,0)+IF(CL287="Yes",1,0)+IF(DE287&lt;&gt;"Pending",1,0)+IF(F287&lt;&gt;"",1,0)+IF(DZ287&lt;&gt;"",1,0)+IF(EI287&lt;&gt;"",1,0))/12)</x:f>
      </x:c>
    </x:row>
    <x:row r="288">
      <x:c r="A288" s="175" t="str">
        <x:f>IF(L288="","","EV-"&amp;TEXT(ROW()-3,"0000"))</x:f>
      </x:c>
      <x:c r="B288" s="174"/>
      <x:c r="C288" s="175" t="str">
        <x:f>IF(L288="","",IF(OR(CM288="Retracted",CN288="Retracted",F288="Not used"),"🔴 Do not use for conclusion",IF(OR(R288="Official / Institutional",I288="Official / contextual"),"🔵 Official / contextual",IF(OR(I288="Definition",I288="Framework",I288="Paradigm shift"),"🟣 Conceptual key source",IF(AND(CJ288="Yes",CL288="Yes",OR(CG288="High",CG288="Moderate"),CH288&lt;&gt;"High",CH288&lt;&gt;"Critical",F288="Claim-ready"),"🟢 Claim-ready","🟡 Caution / context")))))</x:f>
      </x:c>
      <x:c r="D288" s="174"/>
      <x:c r="E288" s="174"/>
      <x:c r="F288" s="174"/>
      <x:c r="G288" s="174"/>
      <x:c r="H288" s="174"/>
      <x:c r="I288" s="174"/>
      <x:c r="J288" s="174"/>
      <x:c r="K288" s="174"/>
      <x:c r="L288" s="174"/>
      <x:c r="M288" s="174"/>
      <x:c r="N288" s="174"/>
      <x:c r="O288" s="176"/>
      <x:c r="P288" s="174"/>
      <x:c r="Q288" s="174"/>
      <x:c r="R288" s="174"/>
      <x:c r="S288" s="174"/>
      <x:c r="T288" s="174"/>
      <x:c r="U288" s="174"/>
      <x:c r="V288" s="174"/>
      <x:c r="W288" s="175" t="str">
        <x:f>IF(V288="","",LOWER(SUBSTITUTE(SUBSTITUTE(SUBSTITUTE(SUBSTITUTE(TRIM(V288),"https://doi.org/",""),"http://doi.org/",""),"https://dx.doi.org/",""),"doi:","")))</x:f>
      </x:c>
      <x:c r="X288" s="174"/>
      <x:c r="Y288" s="174"/>
      <x:c r="Z288" s="174"/>
      <x:c r="AA288" s="174"/>
      <x:c r="AB288" s="174"/>
      <x:c r="AC288" s="174"/>
      <x:c r="AD288" s="177"/>
      <x:c r="AE288" s="177"/>
      <x:c r="AF288" s="174"/>
      <x:c r="AG288" s="174"/>
      <x:c r="AH288" s="174"/>
      <x:c r="AI288" s="174"/>
      <x:c r="AJ288" s="174"/>
      <x:c r="AK288" s="175" t="str">
        <x:f>IF(AJ288="","",IF(OR(LOWER(AJ288)="brazil",LOWER(AJ288)="brasil"),"Yes","No"))</x:f>
      </x:c>
      <x:c r="AL288" s="174"/>
      <x:c r="AM288" s="174"/>
      <x:c r="AN288" s="174"/>
      <x:c r="AO288" s="178"/>
      <x:c r="AP288" s="174"/>
      <x:c r="AQ288" s="174"/>
      <x:c r="AR288" s="174"/>
      <x:c r="AS288" s="174"/>
      <x:c r="AT288" s="174"/>
      <x:c r="AU288" s="174"/>
      <x:c r="AV288" s="174"/>
      <x:c r="AW288" s="174"/>
      <x:c r="AX288" s="174"/>
      <x:c r="AY288" s="174"/>
      <x:c r="AZ288" s="174"/>
      <x:c r="BA288" s="174"/>
      <x:c r="BB288" s="174"/>
      <x:c r="BC288" s="174"/>
      <x:c r="BD288" s="174"/>
      <x:c r="BE288" s="174"/>
      <x:c r="BF288" s="174"/>
      <x:c r="BG288" s="174"/>
      <x:c r="BH288" s="174"/>
      <x:c r="BI288" s="174"/>
      <x:c r="BJ288" s="174"/>
      <x:c r="BK288" s="174"/>
      <x:c r="BL288" s="174"/>
      <x:c r="BM288" s="174"/>
      <x:c r="BN288" s="174"/>
      <x:c r="BO288" s="174"/>
      <x:c r="BP288" s="174"/>
      <x:c r="BQ288" s="174"/>
      <x:c r="BR288" s="174"/>
      <x:c r="BS288" s="174"/>
      <x:c r="BT288" s="174"/>
      <x:c r="BU288" s="174"/>
      <x:c r="BV288" s="174"/>
      <x:c r="BW288" s="174"/>
      <x:c r="BX288" s="174"/>
      <x:c r="BY288" s="174"/>
      <x:c r="BZ288" s="174"/>
      <x:c r="CA288" s="174"/>
      <x:c r="CB288" s="174"/>
      <x:c r="CC288" s="174"/>
      <x:c r="CD288" s="174"/>
      <x:c r="CE288" s="174"/>
      <x:c r="CF288" s="174"/>
      <x:c r="CG288" s="174"/>
      <x:c r="CH288" s="174"/>
      <x:c r="CI288" s="179"/>
      <x:c r="CJ288" s="174"/>
      <x:c r="CK288" s="174"/>
      <x:c r="CL288" s="174"/>
      <x:c r="CM288" s="174"/>
      <x:c r="CN288" s="174"/>
      <x:c r="CO288" s="177"/>
      <x:c r="CP288" s="174"/>
      <x:c r="CQ288" s="174"/>
      <x:c r="CR288" s="174"/>
      <x:c r="CS288" s="174"/>
      <x:c r="CT288" s="174"/>
      <x:c r="CU288" s="176"/>
      <x:c r="CV288" s="176"/>
      <x:c r="CW288" s="176"/>
      <x:c r="CX288" s="176"/>
      <x:c r="CY288" s="176"/>
      <x:c r="CZ288" s="176"/>
      <x:c r="DA288" s="176"/>
      <x:c r="DB288" s="175" t="str">
        <x:f>IF(L288="","",IF(COUNT(CU288:DA288)&lt;7,"",SUM(CU288:DA288)))</x:f>
      </x:c>
      <x:c r="DC288" s="180" t="str">
        <x:f>IF(DB288="","",ROUND(DB288/14*10,1))</x:f>
      </x:c>
      <x:c r="DD288" s="174"/>
      <x:c r="DE288" s="175" t="str">
        <x:f>IF(L288="","",IF(DC288="","Pending",IF(DD288="Yes","CONDITIONAL — safety override",IF(DC288&gt;=8,"HIGH",IF(DC288&gt;=5,"CONDITIONAL","LOW")))))</x:f>
      </x:c>
      <x:c r="DF288" s="174"/>
      <x:c r="DG288" s="174"/>
      <x:c r="DH288" s="174"/>
      <x:c r="DI288" s="174"/>
      <x:c r="DJ288" s="174"/>
      <x:c r="DK288" s="174"/>
      <x:c r="DL288" s="174"/>
      <x:c r="DM288" s="174"/>
      <x:c r="DN288" s="174"/>
      <x:c r="DO288" s="174"/>
      <x:c r="DP288" s="174"/>
      <x:c r="DQ288" s="174"/>
      <x:c r="DR288" s="174"/>
      <x:c r="DS288" s="174"/>
      <x:c r="DT288" s="174"/>
      <x:c r="DU288" s="174"/>
      <x:c r="DV288" s="174"/>
      <x:c r="DW288" s="174"/>
      <x:c r="DX288" s="174"/>
      <x:c r="DY288" s="174"/>
      <x:c r="DZ288" s="174"/>
      <x:c r="EA288" s="174"/>
      <x:c r="EB288" s="175" t="str">
        <x:f>IF(L288="","",IF(AND(F288="Claim-ready",CJ288="Yes",CL288="Yes",DZ288&lt;&gt;""),"Yes","No / Pending"))</x:f>
      </x:c>
      <x:c r="EC288" s="174"/>
      <x:c r="ED288" s="174"/>
      <x:c r="EE288" s="174"/>
      <x:c r="EF288" s="174"/>
      <x:c r="EG288" s="174"/>
      <x:c r="EH288" s="177"/>
      <x:c r="EI288" s="174"/>
      <x:c r="EJ288" s="174"/>
      <x:c r="EK288" s="174"/>
      <x:c r="EL288" s="177"/>
      <x:c r="EM288" s="174"/>
      <x:c r="EN288" s="181" t="str">
        <x:f>IF(L288="","",(IF(N288&lt;&gt;"",1,0)+IF(O288&lt;&gt;"",1,0)+IF(AJ288&lt;&gt;"",1,0)+IF(AU288&lt;&gt;"",1,0)+IF(BE288&lt;&gt;"",1,0)+IF(CF288&lt;&gt;"",1,0)+IF(CJ288="Yes",1,0)+IF(CL288="Yes",1,0)+IF(DE288&lt;&gt;"Pending",1,0)+IF(F288&lt;&gt;"",1,0)+IF(DZ288&lt;&gt;"",1,0)+IF(EI288&lt;&gt;"",1,0))/12)</x:f>
      </x:c>
    </x:row>
    <x:row r="289">
      <x:c r="A289" s="175" t="str">
        <x:f>IF(L289="","","EV-"&amp;TEXT(ROW()-3,"0000"))</x:f>
      </x:c>
      <x:c r="B289" s="174"/>
      <x:c r="C289" s="175" t="str">
        <x:f>IF(L289="","",IF(OR(CM289="Retracted",CN289="Retracted",F289="Not used"),"🔴 Do not use for conclusion",IF(OR(R289="Official / Institutional",I289="Official / contextual"),"🔵 Official / contextual",IF(OR(I289="Definition",I289="Framework",I289="Paradigm shift"),"🟣 Conceptual key source",IF(AND(CJ289="Yes",CL289="Yes",OR(CG289="High",CG289="Moderate"),CH289&lt;&gt;"High",CH289&lt;&gt;"Critical",F289="Claim-ready"),"🟢 Claim-ready","🟡 Caution / context")))))</x:f>
      </x:c>
      <x:c r="D289" s="174"/>
      <x:c r="E289" s="174"/>
      <x:c r="F289" s="174"/>
      <x:c r="G289" s="174"/>
      <x:c r="H289" s="174"/>
      <x:c r="I289" s="174"/>
      <x:c r="J289" s="174"/>
      <x:c r="K289" s="174"/>
      <x:c r="L289" s="174"/>
      <x:c r="M289" s="174"/>
      <x:c r="N289" s="174"/>
      <x:c r="O289" s="176"/>
      <x:c r="P289" s="174"/>
      <x:c r="Q289" s="174"/>
      <x:c r="R289" s="174"/>
      <x:c r="S289" s="174"/>
      <x:c r="T289" s="174"/>
      <x:c r="U289" s="174"/>
      <x:c r="V289" s="174"/>
      <x:c r="W289" s="175" t="str">
        <x:f>IF(V289="","",LOWER(SUBSTITUTE(SUBSTITUTE(SUBSTITUTE(SUBSTITUTE(TRIM(V289),"https://doi.org/",""),"http://doi.org/",""),"https://dx.doi.org/",""),"doi:","")))</x:f>
      </x:c>
      <x:c r="X289" s="174"/>
      <x:c r="Y289" s="174"/>
      <x:c r="Z289" s="174"/>
      <x:c r="AA289" s="174"/>
      <x:c r="AB289" s="174"/>
      <x:c r="AC289" s="174"/>
      <x:c r="AD289" s="177"/>
      <x:c r="AE289" s="177"/>
      <x:c r="AF289" s="174"/>
      <x:c r="AG289" s="174"/>
      <x:c r="AH289" s="174"/>
      <x:c r="AI289" s="174"/>
      <x:c r="AJ289" s="174"/>
      <x:c r="AK289" s="175" t="str">
        <x:f>IF(AJ289="","",IF(OR(LOWER(AJ289)="brazil",LOWER(AJ289)="brasil"),"Yes","No"))</x:f>
      </x:c>
      <x:c r="AL289" s="174"/>
      <x:c r="AM289" s="174"/>
      <x:c r="AN289" s="174"/>
      <x:c r="AO289" s="178"/>
      <x:c r="AP289" s="174"/>
      <x:c r="AQ289" s="174"/>
      <x:c r="AR289" s="174"/>
      <x:c r="AS289" s="174"/>
      <x:c r="AT289" s="174"/>
      <x:c r="AU289" s="174"/>
      <x:c r="AV289" s="174"/>
      <x:c r="AW289" s="174"/>
      <x:c r="AX289" s="174"/>
      <x:c r="AY289" s="174"/>
      <x:c r="AZ289" s="174"/>
      <x:c r="BA289" s="174"/>
      <x:c r="BB289" s="174"/>
      <x:c r="BC289" s="174"/>
      <x:c r="BD289" s="174"/>
      <x:c r="BE289" s="174"/>
      <x:c r="BF289" s="174"/>
      <x:c r="BG289" s="174"/>
      <x:c r="BH289" s="174"/>
      <x:c r="BI289" s="174"/>
      <x:c r="BJ289" s="174"/>
      <x:c r="BK289" s="174"/>
      <x:c r="BL289" s="174"/>
      <x:c r="BM289" s="174"/>
      <x:c r="BN289" s="174"/>
      <x:c r="BO289" s="174"/>
      <x:c r="BP289" s="174"/>
      <x:c r="BQ289" s="174"/>
      <x:c r="BR289" s="174"/>
      <x:c r="BS289" s="174"/>
      <x:c r="BT289" s="174"/>
      <x:c r="BU289" s="174"/>
      <x:c r="BV289" s="174"/>
      <x:c r="BW289" s="174"/>
      <x:c r="BX289" s="174"/>
      <x:c r="BY289" s="174"/>
      <x:c r="BZ289" s="174"/>
      <x:c r="CA289" s="174"/>
      <x:c r="CB289" s="174"/>
      <x:c r="CC289" s="174"/>
      <x:c r="CD289" s="174"/>
      <x:c r="CE289" s="174"/>
      <x:c r="CF289" s="174"/>
      <x:c r="CG289" s="174"/>
      <x:c r="CH289" s="174"/>
      <x:c r="CI289" s="179"/>
      <x:c r="CJ289" s="174"/>
      <x:c r="CK289" s="174"/>
      <x:c r="CL289" s="174"/>
      <x:c r="CM289" s="174"/>
      <x:c r="CN289" s="174"/>
      <x:c r="CO289" s="177"/>
      <x:c r="CP289" s="174"/>
      <x:c r="CQ289" s="174"/>
      <x:c r="CR289" s="174"/>
      <x:c r="CS289" s="174"/>
      <x:c r="CT289" s="174"/>
      <x:c r="CU289" s="176"/>
      <x:c r="CV289" s="176"/>
      <x:c r="CW289" s="176"/>
      <x:c r="CX289" s="176"/>
      <x:c r="CY289" s="176"/>
      <x:c r="CZ289" s="176"/>
      <x:c r="DA289" s="176"/>
      <x:c r="DB289" s="175" t="str">
        <x:f>IF(L289="","",IF(COUNT(CU289:DA289)&lt;7,"",SUM(CU289:DA289)))</x:f>
      </x:c>
      <x:c r="DC289" s="180" t="str">
        <x:f>IF(DB289="","",ROUND(DB289/14*10,1))</x:f>
      </x:c>
      <x:c r="DD289" s="174"/>
      <x:c r="DE289" s="175" t="str">
        <x:f>IF(L289="","",IF(DC289="","Pending",IF(DD289="Yes","CONDITIONAL — safety override",IF(DC289&gt;=8,"HIGH",IF(DC289&gt;=5,"CONDITIONAL","LOW")))))</x:f>
      </x:c>
      <x:c r="DF289" s="174"/>
      <x:c r="DG289" s="174"/>
      <x:c r="DH289" s="174"/>
      <x:c r="DI289" s="174"/>
      <x:c r="DJ289" s="174"/>
      <x:c r="DK289" s="174"/>
      <x:c r="DL289" s="174"/>
      <x:c r="DM289" s="174"/>
      <x:c r="DN289" s="174"/>
      <x:c r="DO289" s="174"/>
      <x:c r="DP289" s="174"/>
      <x:c r="DQ289" s="174"/>
      <x:c r="DR289" s="174"/>
      <x:c r="DS289" s="174"/>
      <x:c r="DT289" s="174"/>
      <x:c r="DU289" s="174"/>
      <x:c r="DV289" s="174"/>
      <x:c r="DW289" s="174"/>
      <x:c r="DX289" s="174"/>
      <x:c r="DY289" s="174"/>
      <x:c r="DZ289" s="174"/>
      <x:c r="EA289" s="174"/>
      <x:c r="EB289" s="175" t="str">
        <x:f>IF(L289="","",IF(AND(F289="Claim-ready",CJ289="Yes",CL289="Yes",DZ289&lt;&gt;""),"Yes","No / Pending"))</x:f>
      </x:c>
      <x:c r="EC289" s="174"/>
      <x:c r="ED289" s="174"/>
      <x:c r="EE289" s="174"/>
      <x:c r="EF289" s="174"/>
      <x:c r="EG289" s="174"/>
      <x:c r="EH289" s="177"/>
      <x:c r="EI289" s="174"/>
      <x:c r="EJ289" s="174"/>
      <x:c r="EK289" s="174"/>
      <x:c r="EL289" s="177"/>
      <x:c r="EM289" s="174"/>
      <x:c r="EN289" s="181" t="str">
        <x:f>IF(L289="","",(IF(N289&lt;&gt;"",1,0)+IF(O289&lt;&gt;"",1,0)+IF(AJ289&lt;&gt;"",1,0)+IF(AU289&lt;&gt;"",1,0)+IF(BE289&lt;&gt;"",1,0)+IF(CF289&lt;&gt;"",1,0)+IF(CJ289="Yes",1,0)+IF(CL289="Yes",1,0)+IF(DE289&lt;&gt;"Pending",1,0)+IF(F289&lt;&gt;"",1,0)+IF(DZ289&lt;&gt;"",1,0)+IF(EI289&lt;&gt;"",1,0))/12)</x:f>
      </x:c>
    </x:row>
    <x:row r="290">
      <x:c r="A290" s="175" t="str">
        <x:f>IF(L290="","","EV-"&amp;TEXT(ROW()-3,"0000"))</x:f>
      </x:c>
      <x:c r="B290" s="174"/>
      <x:c r="C290" s="175" t="str">
        <x:f>IF(L290="","",IF(OR(CM290="Retracted",CN290="Retracted",F290="Not used"),"🔴 Do not use for conclusion",IF(OR(R290="Official / Institutional",I290="Official / contextual"),"🔵 Official / contextual",IF(OR(I290="Definition",I290="Framework",I290="Paradigm shift"),"🟣 Conceptual key source",IF(AND(CJ290="Yes",CL290="Yes",OR(CG290="High",CG290="Moderate"),CH290&lt;&gt;"High",CH290&lt;&gt;"Critical",F290="Claim-ready"),"🟢 Claim-ready","🟡 Caution / context")))))</x:f>
      </x:c>
      <x:c r="D290" s="174"/>
      <x:c r="E290" s="174"/>
      <x:c r="F290" s="174"/>
      <x:c r="G290" s="174"/>
      <x:c r="H290" s="174"/>
      <x:c r="I290" s="174"/>
      <x:c r="J290" s="174"/>
      <x:c r="K290" s="174"/>
      <x:c r="L290" s="174"/>
      <x:c r="M290" s="174"/>
      <x:c r="N290" s="174"/>
      <x:c r="O290" s="176"/>
      <x:c r="P290" s="174"/>
      <x:c r="Q290" s="174"/>
      <x:c r="R290" s="174"/>
      <x:c r="S290" s="174"/>
      <x:c r="T290" s="174"/>
      <x:c r="U290" s="174"/>
      <x:c r="V290" s="174"/>
      <x:c r="W290" s="175" t="str">
        <x:f>IF(V290="","",LOWER(SUBSTITUTE(SUBSTITUTE(SUBSTITUTE(SUBSTITUTE(TRIM(V290),"https://doi.org/",""),"http://doi.org/",""),"https://dx.doi.org/",""),"doi:","")))</x:f>
      </x:c>
      <x:c r="X290" s="174"/>
      <x:c r="Y290" s="174"/>
      <x:c r="Z290" s="174"/>
      <x:c r="AA290" s="174"/>
      <x:c r="AB290" s="174"/>
      <x:c r="AC290" s="174"/>
      <x:c r="AD290" s="177"/>
      <x:c r="AE290" s="177"/>
      <x:c r="AF290" s="174"/>
      <x:c r="AG290" s="174"/>
      <x:c r="AH290" s="174"/>
      <x:c r="AI290" s="174"/>
      <x:c r="AJ290" s="174"/>
      <x:c r="AK290" s="175" t="str">
        <x:f>IF(AJ290="","",IF(OR(LOWER(AJ290)="brazil",LOWER(AJ290)="brasil"),"Yes","No"))</x:f>
      </x:c>
      <x:c r="AL290" s="174"/>
      <x:c r="AM290" s="174"/>
      <x:c r="AN290" s="174"/>
      <x:c r="AO290" s="178"/>
      <x:c r="AP290" s="174"/>
      <x:c r="AQ290" s="174"/>
      <x:c r="AR290" s="174"/>
      <x:c r="AS290" s="174"/>
      <x:c r="AT290" s="174"/>
      <x:c r="AU290" s="174"/>
      <x:c r="AV290" s="174"/>
      <x:c r="AW290" s="174"/>
      <x:c r="AX290" s="174"/>
      <x:c r="AY290" s="174"/>
      <x:c r="AZ290" s="174"/>
      <x:c r="BA290" s="174"/>
      <x:c r="BB290" s="174"/>
      <x:c r="BC290" s="174"/>
      <x:c r="BD290" s="174"/>
      <x:c r="BE290" s="174"/>
      <x:c r="BF290" s="174"/>
      <x:c r="BG290" s="174"/>
      <x:c r="BH290" s="174"/>
      <x:c r="BI290" s="174"/>
      <x:c r="BJ290" s="174"/>
      <x:c r="BK290" s="174"/>
      <x:c r="BL290" s="174"/>
      <x:c r="BM290" s="174"/>
      <x:c r="BN290" s="174"/>
      <x:c r="BO290" s="174"/>
      <x:c r="BP290" s="174"/>
      <x:c r="BQ290" s="174"/>
      <x:c r="BR290" s="174"/>
      <x:c r="BS290" s="174"/>
      <x:c r="BT290" s="174"/>
      <x:c r="BU290" s="174"/>
      <x:c r="BV290" s="174"/>
      <x:c r="BW290" s="174"/>
      <x:c r="BX290" s="174"/>
      <x:c r="BY290" s="174"/>
      <x:c r="BZ290" s="174"/>
      <x:c r="CA290" s="174"/>
      <x:c r="CB290" s="174"/>
      <x:c r="CC290" s="174"/>
      <x:c r="CD290" s="174"/>
      <x:c r="CE290" s="174"/>
      <x:c r="CF290" s="174"/>
      <x:c r="CG290" s="174"/>
      <x:c r="CH290" s="174"/>
      <x:c r="CI290" s="179"/>
      <x:c r="CJ290" s="174"/>
      <x:c r="CK290" s="174"/>
      <x:c r="CL290" s="174"/>
      <x:c r="CM290" s="174"/>
      <x:c r="CN290" s="174"/>
      <x:c r="CO290" s="177"/>
      <x:c r="CP290" s="174"/>
      <x:c r="CQ290" s="174"/>
      <x:c r="CR290" s="174"/>
      <x:c r="CS290" s="174"/>
      <x:c r="CT290" s="174"/>
      <x:c r="CU290" s="176"/>
      <x:c r="CV290" s="176"/>
      <x:c r="CW290" s="176"/>
      <x:c r="CX290" s="176"/>
      <x:c r="CY290" s="176"/>
      <x:c r="CZ290" s="176"/>
      <x:c r="DA290" s="176"/>
      <x:c r="DB290" s="175" t="str">
        <x:f>IF(L290="","",IF(COUNT(CU290:DA290)&lt;7,"",SUM(CU290:DA290)))</x:f>
      </x:c>
      <x:c r="DC290" s="180" t="str">
        <x:f>IF(DB290="","",ROUND(DB290/14*10,1))</x:f>
      </x:c>
      <x:c r="DD290" s="174"/>
      <x:c r="DE290" s="175" t="str">
        <x:f>IF(L290="","",IF(DC290="","Pending",IF(DD290="Yes","CONDITIONAL — safety override",IF(DC290&gt;=8,"HIGH",IF(DC290&gt;=5,"CONDITIONAL","LOW")))))</x:f>
      </x:c>
      <x:c r="DF290" s="174"/>
      <x:c r="DG290" s="174"/>
      <x:c r="DH290" s="174"/>
      <x:c r="DI290" s="174"/>
      <x:c r="DJ290" s="174"/>
      <x:c r="DK290" s="174"/>
      <x:c r="DL290" s="174"/>
      <x:c r="DM290" s="174"/>
      <x:c r="DN290" s="174"/>
      <x:c r="DO290" s="174"/>
      <x:c r="DP290" s="174"/>
      <x:c r="DQ290" s="174"/>
      <x:c r="DR290" s="174"/>
      <x:c r="DS290" s="174"/>
      <x:c r="DT290" s="174"/>
      <x:c r="DU290" s="174"/>
      <x:c r="DV290" s="174"/>
      <x:c r="DW290" s="174"/>
      <x:c r="DX290" s="174"/>
      <x:c r="DY290" s="174"/>
      <x:c r="DZ290" s="174"/>
      <x:c r="EA290" s="174"/>
      <x:c r="EB290" s="175" t="str">
        <x:f>IF(L290="","",IF(AND(F290="Claim-ready",CJ290="Yes",CL290="Yes",DZ290&lt;&gt;""),"Yes","No / Pending"))</x:f>
      </x:c>
      <x:c r="EC290" s="174"/>
      <x:c r="ED290" s="174"/>
      <x:c r="EE290" s="174"/>
      <x:c r="EF290" s="174"/>
      <x:c r="EG290" s="174"/>
      <x:c r="EH290" s="177"/>
      <x:c r="EI290" s="174"/>
      <x:c r="EJ290" s="174"/>
      <x:c r="EK290" s="174"/>
      <x:c r="EL290" s="177"/>
      <x:c r="EM290" s="174"/>
      <x:c r="EN290" s="181" t="str">
        <x:f>IF(L290="","",(IF(N290&lt;&gt;"",1,0)+IF(O290&lt;&gt;"",1,0)+IF(AJ290&lt;&gt;"",1,0)+IF(AU290&lt;&gt;"",1,0)+IF(BE290&lt;&gt;"",1,0)+IF(CF290&lt;&gt;"",1,0)+IF(CJ290="Yes",1,0)+IF(CL290="Yes",1,0)+IF(DE290&lt;&gt;"Pending",1,0)+IF(F290&lt;&gt;"",1,0)+IF(DZ290&lt;&gt;"",1,0)+IF(EI290&lt;&gt;"",1,0))/12)</x:f>
      </x:c>
    </x:row>
    <x:row r="291">
      <x:c r="A291" s="175" t="str">
        <x:f>IF(L291="","","EV-"&amp;TEXT(ROW()-3,"0000"))</x:f>
      </x:c>
      <x:c r="B291" s="174"/>
      <x:c r="C291" s="175" t="str">
        <x:f>IF(L291="","",IF(OR(CM291="Retracted",CN291="Retracted",F291="Not used"),"🔴 Do not use for conclusion",IF(OR(R291="Official / Institutional",I291="Official / contextual"),"🔵 Official / contextual",IF(OR(I291="Definition",I291="Framework",I291="Paradigm shift"),"🟣 Conceptual key source",IF(AND(CJ291="Yes",CL291="Yes",OR(CG291="High",CG291="Moderate"),CH291&lt;&gt;"High",CH291&lt;&gt;"Critical",F291="Claim-ready"),"🟢 Claim-ready","🟡 Caution / context")))))</x:f>
      </x:c>
      <x:c r="D291" s="174"/>
      <x:c r="E291" s="174"/>
      <x:c r="F291" s="174"/>
      <x:c r="G291" s="174"/>
      <x:c r="H291" s="174"/>
      <x:c r="I291" s="174"/>
      <x:c r="J291" s="174"/>
      <x:c r="K291" s="174"/>
      <x:c r="L291" s="174"/>
      <x:c r="M291" s="174"/>
      <x:c r="N291" s="174"/>
      <x:c r="O291" s="176"/>
      <x:c r="P291" s="174"/>
      <x:c r="Q291" s="174"/>
      <x:c r="R291" s="174"/>
      <x:c r="S291" s="174"/>
      <x:c r="T291" s="174"/>
      <x:c r="U291" s="174"/>
      <x:c r="V291" s="174"/>
      <x:c r="W291" s="175" t="str">
        <x:f>IF(V291="","",LOWER(SUBSTITUTE(SUBSTITUTE(SUBSTITUTE(SUBSTITUTE(TRIM(V291),"https://doi.org/",""),"http://doi.org/",""),"https://dx.doi.org/",""),"doi:","")))</x:f>
      </x:c>
      <x:c r="X291" s="174"/>
      <x:c r="Y291" s="174"/>
      <x:c r="Z291" s="174"/>
      <x:c r="AA291" s="174"/>
      <x:c r="AB291" s="174"/>
      <x:c r="AC291" s="174"/>
      <x:c r="AD291" s="177"/>
      <x:c r="AE291" s="177"/>
      <x:c r="AF291" s="174"/>
      <x:c r="AG291" s="174"/>
      <x:c r="AH291" s="174"/>
      <x:c r="AI291" s="174"/>
      <x:c r="AJ291" s="174"/>
      <x:c r="AK291" s="175" t="str">
        <x:f>IF(AJ291="","",IF(OR(LOWER(AJ291)="brazil",LOWER(AJ291)="brasil"),"Yes","No"))</x:f>
      </x:c>
      <x:c r="AL291" s="174"/>
      <x:c r="AM291" s="174"/>
      <x:c r="AN291" s="174"/>
      <x:c r="AO291" s="178"/>
      <x:c r="AP291" s="174"/>
      <x:c r="AQ291" s="174"/>
      <x:c r="AR291" s="174"/>
      <x:c r="AS291" s="174"/>
      <x:c r="AT291" s="174"/>
      <x:c r="AU291" s="174"/>
      <x:c r="AV291" s="174"/>
      <x:c r="AW291" s="174"/>
      <x:c r="AX291" s="174"/>
      <x:c r="AY291" s="174"/>
      <x:c r="AZ291" s="174"/>
      <x:c r="BA291" s="174"/>
      <x:c r="BB291" s="174"/>
      <x:c r="BC291" s="174"/>
      <x:c r="BD291" s="174"/>
      <x:c r="BE291" s="174"/>
      <x:c r="BF291" s="174"/>
      <x:c r="BG291" s="174"/>
      <x:c r="BH291" s="174"/>
      <x:c r="BI291" s="174"/>
      <x:c r="BJ291" s="174"/>
      <x:c r="BK291" s="174"/>
      <x:c r="BL291" s="174"/>
      <x:c r="BM291" s="174"/>
      <x:c r="BN291" s="174"/>
      <x:c r="BO291" s="174"/>
      <x:c r="BP291" s="174"/>
      <x:c r="BQ291" s="174"/>
      <x:c r="BR291" s="174"/>
      <x:c r="BS291" s="174"/>
      <x:c r="BT291" s="174"/>
      <x:c r="BU291" s="174"/>
      <x:c r="BV291" s="174"/>
      <x:c r="BW291" s="174"/>
      <x:c r="BX291" s="174"/>
      <x:c r="BY291" s="174"/>
      <x:c r="BZ291" s="174"/>
      <x:c r="CA291" s="174"/>
      <x:c r="CB291" s="174"/>
      <x:c r="CC291" s="174"/>
      <x:c r="CD291" s="174"/>
      <x:c r="CE291" s="174"/>
      <x:c r="CF291" s="174"/>
      <x:c r="CG291" s="174"/>
      <x:c r="CH291" s="174"/>
      <x:c r="CI291" s="179"/>
      <x:c r="CJ291" s="174"/>
      <x:c r="CK291" s="174"/>
      <x:c r="CL291" s="174"/>
      <x:c r="CM291" s="174"/>
      <x:c r="CN291" s="174"/>
      <x:c r="CO291" s="177"/>
      <x:c r="CP291" s="174"/>
      <x:c r="CQ291" s="174"/>
      <x:c r="CR291" s="174"/>
      <x:c r="CS291" s="174"/>
      <x:c r="CT291" s="174"/>
      <x:c r="CU291" s="176"/>
      <x:c r="CV291" s="176"/>
      <x:c r="CW291" s="176"/>
      <x:c r="CX291" s="176"/>
      <x:c r="CY291" s="176"/>
      <x:c r="CZ291" s="176"/>
      <x:c r="DA291" s="176"/>
      <x:c r="DB291" s="175" t="str">
        <x:f>IF(L291="","",IF(COUNT(CU291:DA291)&lt;7,"",SUM(CU291:DA291)))</x:f>
      </x:c>
      <x:c r="DC291" s="180" t="str">
        <x:f>IF(DB291="","",ROUND(DB291/14*10,1))</x:f>
      </x:c>
      <x:c r="DD291" s="174"/>
      <x:c r="DE291" s="175" t="str">
        <x:f>IF(L291="","",IF(DC291="","Pending",IF(DD291="Yes","CONDITIONAL — safety override",IF(DC291&gt;=8,"HIGH",IF(DC291&gt;=5,"CONDITIONAL","LOW")))))</x:f>
      </x:c>
      <x:c r="DF291" s="174"/>
      <x:c r="DG291" s="174"/>
      <x:c r="DH291" s="174"/>
      <x:c r="DI291" s="174"/>
      <x:c r="DJ291" s="174"/>
      <x:c r="DK291" s="174"/>
      <x:c r="DL291" s="174"/>
      <x:c r="DM291" s="174"/>
      <x:c r="DN291" s="174"/>
      <x:c r="DO291" s="174"/>
      <x:c r="DP291" s="174"/>
      <x:c r="DQ291" s="174"/>
      <x:c r="DR291" s="174"/>
      <x:c r="DS291" s="174"/>
      <x:c r="DT291" s="174"/>
      <x:c r="DU291" s="174"/>
      <x:c r="DV291" s="174"/>
      <x:c r="DW291" s="174"/>
      <x:c r="DX291" s="174"/>
      <x:c r="DY291" s="174"/>
      <x:c r="DZ291" s="174"/>
      <x:c r="EA291" s="174"/>
      <x:c r="EB291" s="175" t="str">
        <x:f>IF(L291="","",IF(AND(F291="Claim-ready",CJ291="Yes",CL291="Yes",DZ291&lt;&gt;""),"Yes","No / Pending"))</x:f>
      </x:c>
      <x:c r="EC291" s="174"/>
      <x:c r="ED291" s="174"/>
      <x:c r="EE291" s="174"/>
      <x:c r="EF291" s="174"/>
      <x:c r="EG291" s="174"/>
      <x:c r="EH291" s="177"/>
      <x:c r="EI291" s="174"/>
      <x:c r="EJ291" s="174"/>
      <x:c r="EK291" s="174"/>
      <x:c r="EL291" s="177"/>
      <x:c r="EM291" s="174"/>
      <x:c r="EN291" s="181" t="str">
        <x:f>IF(L291="","",(IF(N291&lt;&gt;"",1,0)+IF(O291&lt;&gt;"",1,0)+IF(AJ291&lt;&gt;"",1,0)+IF(AU291&lt;&gt;"",1,0)+IF(BE291&lt;&gt;"",1,0)+IF(CF291&lt;&gt;"",1,0)+IF(CJ291="Yes",1,0)+IF(CL291="Yes",1,0)+IF(DE291&lt;&gt;"Pending",1,0)+IF(F291&lt;&gt;"",1,0)+IF(DZ291&lt;&gt;"",1,0)+IF(EI291&lt;&gt;"",1,0))/12)</x:f>
      </x:c>
    </x:row>
    <x:row r="292">
      <x:c r="A292" s="175" t="str">
        <x:f>IF(L292="","","EV-"&amp;TEXT(ROW()-3,"0000"))</x:f>
      </x:c>
      <x:c r="B292" s="174"/>
      <x:c r="C292" s="175" t="str">
        <x:f>IF(L292="","",IF(OR(CM292="Retracted",CN292="Retracted",F292="Not used"),"🔴 Do not use for conclusion",IF(OR(R292="Official / Institutional",I292="Official / contextual"),"🔵 Official / contextual",IF(OR(I292="Definition",I292="Framework",I292="Paradigm shift"),"🟣 Conceptual key source",IF(AND(CJ292="Yes",CL292="Yes",OR(CG292="High",CG292="Moderate"),CH292&lt;&gt;"High",CH292&lt;&gt;"Critical",F292="Claim-ready"),"🟢 Claim-ready","🟡 Caution / context")))))</x:f>
      </x:c>
      <x:c r="D292" s="174"/>
      <x:c r="E292" s="174"/>
      <x:c r="F292" s="174"/>
      <x:c r="G292" s="174"/>
      <x:c r="H292" s="174"/>
      <x:c r="I292" s="174"/>
      <x:c r="J292" s="174"/>
      <x:c r="K292" s="174"/>
      <x:c r="L292" s="174"/>
      <x:c r="M292" s="174"/>
      <x:c r="N292" s="174"/>
      <x:c r="O292" s="176"/>
      <x:c r="P292" s="174"/>
      <x:c r="Q292" s="174"/>
      <x:c r="R292" s="174"/>
      <x:c r="S292" s="174"/>
      <x:c r="T292" s="174"/>
      <x:c r="U292" s="174"/>
      <x:c r="V292" s="174"/>
      <x:c r="W292" s="175" t="str">
        <x:f>IF(V292="","",LOWER(SUBSTITUTE(SUBSTITUTE(SUBSTITUTE(SUBSTITUTE(TRIM(V292),"https://doi.org/",""),"http://doi.org/",""),"https://dx.doi.org/",""),"doi:","")))</x:f>
      </x:c>
      <x:c r="X292" s="174"/>
      <x:c r="Y292" s="174"/>
      <x:c r="Z292" s="174"/>
      <x:c r="AA292" s="174"/>
      <x:c r="AB292" s="174"/>
      <x:c r="AC292" s="174"/>
      <x:c r="AD292" s="177"/>
      <x:c r="AE292" s="177"/>
      <x:c r="AF292" s="174"/>
      <x:c r="AG292" s="174"/>
      <x:c r="AH292" s="174"/>
      <x:c r="AI292" s="174"/>
      <x:c r="AJ292" s="174"/>
      <x:c r="AK292" s="175" t="str">
        <x:f>IF(AJ292="","",IF(OR(LOWER(AJ292)="brazil",LOWER(AJ292)="brasil"),"Yes","No"))</x:f>
      </x:c>
      <x:c r="AL292" s="174"/>
      <x:c r="AM292" s="174"/>
      <x:c r="AN292" s="174"/>
      <x:c r="AO292" s="178"/>
      <x:c r="AP292" s="174"/>
      <x:c r="AQ292" s="174"/>
      <x:c r="AR292" s="174"/>
      <x:c r="AS292" s="174"/>
      <x:c r="AT292" s="174"/>
      <x:c r="AU292" s="174"/>
      <x:c r="AV292" s="174"/>
      <x:c r="AW292" s="174"/>
      <x:c r="AX292" s="174"/>
      <x:c r="AY292" s="174"/>
      <x:c r="AZ292" s="174"/>
      <x:c r="BA292" s="174"/>
      <x:c r="BB292" s="174"/>
      <x:c r="BC292" s="174"/>
      <x:c r="BD292" s="174"/>
      <x:c r="BE292" s="174"/>
      <x:c r="BF292" s="174"/>
      <x:c r="BG292" s="174"/>
      <x:c r="BH292" s="174"/>
      <x:c r="BI292" s="174"/>
      <x:c r="BJ292" s="174"/>
      <x:c r="BK292" s="174"/>
      <x:c r="BL292" s="174"/>
      <x:c r="BM292" s="174"/>
      <x:c r="BN292" s="174"/>
      <x:c r="BO292" s="174"/>
      <x:c r="BP292" s="174"/>
      <x:c r="BQ292" s="174"/>
      <x:c r="BR292" s="174"/>
      <x:c r="BS292" s="174"/>
      <x:c r="BT292" s="174"/>
      <x:c r="BU292" s="174"/>
      <x:c r="BV292" s="174"/>
      <x:c r="BW292" s="174"/>
      <x:c r="BX292" s="174"/>
      <x:c r="BY292" s="174"/>
      <x:c r="BZ292" s="174"/>
      <x:c r="CA292" s="174"/>
      <x:c r="CB292" s="174"/>
      <x:c r="CC292" s="174"/>
      <x:c r="CD292" s="174"/>
      <x:c r="CE292" s="174"/>
      <x:c r="CF292" s="174"/>
      <x:c r="CG292" s="174"/>
      <x:c r="CH292" s="174"/>
      <x:c r="CI292" s="179"/>
      <x:c r="CJ292" s="174"/>
      <x:c r="CK292" s="174"/>
      <x:c r="CL292" s="174"/>
      <x:c r="CM292" s="174"/>
      <x:c r="CN292" s="174"/>
      <x:c r="CO292" s="177"/>
      <x:c r="CP292" s="174"/>
      <x:c r="CQ292" s="174"/>
      <x:c r="CR292" s="174"/>
      <x:c r="CS292" s="174"/>
      <x:c r="CT292" s="174"/>
      <x:c r="CU292" s="176"/>
      <x:c r="CV292" s="176"/>
      <x:c r="CW292" s="176"/>
      <x:c r="CX292" s="176"/>
      <x:c r="CY292" s="176"/>
      <x:c r="CZ292" s="176"/>
      <x:c r="DA292" s="176"/>
      <x:c r="DB292" s="175" t="str">
        <x:f>IF(L292="","",IF(COUNT(CU292:DA292)&lt;7,"",SUM(CU292:DA292)))</x:f>
      </x:c>
      <x:c r="DC292" s="180" t="str">
        <x:f>IF(DB292="","",ROUND(DB292/14*10,1))</x:f>
      </x:c>
      <x:c r="DD292" s="174"/>
      <x:c r="DE292" s="175" t="str">
        <x:f>IF(L292="","",IF(DC292="","Pending",IF(DD292="Yes","CONDITIONAL — safety override",IF(DC292&gt;=8,"HIGH",IF(DC292&gt;=5,"CONDITIONAL","LOW")))))</x:f>
      </x:c>
      <x:c r="DF292" s="174"/>
      <x:c r="DG292" s="174"/>
      <x:c r="DH292" s="174"/>
      <x:c r="DI292" s="174"/>
      <x:c r="DJ292" s="174"/>
      <x:c r="DK292" s="174"/>
      <x:c r="DL292" s="174"/>
      <x:c r="DM292" s="174"/>
      <x:c r="DN292" s="174"/>
      <x:c r="DO292" s="174"/>
      <x:c r="DP292" s="174"/>
      <x:c r="DQ292" s="174"/>
      <x:c r="DR292" s="174"/>
      <x:c r="DS292" s="174"/>
      <x:c r="DT292" s="174"/>
      <x:c r="DU292" s="174"/>
      <x:c r="DV292" s="174"/>
      <x:c r="DW292" s="174"/>
      <x:c r="DX292" s="174"/>
      <x:c r="DY292" s="174"/>
      <x:c r="DZ292" s="174"/>
      <x:c r="EA292" s="174"/>
      <x:c r="EB292" s="175" t="str">
        <x:f>IF(L292="","",IF(AND(F292="Claim-ready",CJ292="Yes",CL292="Yes",DZ292&lt;&gt;""),"Yes","No / Pending"))</x:f>
      </x:c>
      <x:c r="EC292" s="174"/>
      <x:c r="ED292" s="174"/>
      <x:c r="EE292" s="174"/>
      <x:c r="EF292" s="174"/>
      <x:c r="EG292" s="174"/>
      <x:c r="EH292" s="177"/>
      <x:c r="EI292" s="174"/>
      <x:c r="EJ292" s="174"/>
      <x:c r="EK292" s="174"/>
      <x:c r="EL292" s="177"/>
      <x:c r="EM292" s="174"/>
      <x:c r="EN292" s="181" t="str">
        <x:f>IF(L292="","",(IF(N292&lt;&gt;"",1,0)+IF(O292&lt;&gt;"",1,0)+IF(AJ292&lt;&gt;"",1,0)+IF(AU292&lt;&gt;"",1,0)+IF(BE292&lt;&gt;"",1,0)+IF(CF292&lt;&gt;"",1,0)+IF(CJ292="Yes",1,0)+IF(CL292="Yes",1,0)+IF(DE292&lt;&gt;"Pending",1,0)+IF(F292&lt;&gt;"",1,0)+IF(DZ292&lt;&gt;"",1,0)+IF(EI292&lt;&gt;"",1,0))/12)</x:f>
      </x:c>
    </x:row>
    <x:row r="293">
      <x:c r="A293" s="175" t="str">
        <x:f>IF(L293="","","EV-"&amp;TEXT(ROW()-3,"0000"))</x:f>
      </x:c>
      <x:c r="B293" s="174"/>
      <x:c r="C293" s="175" t="str">
        <x:f>IF(L293="","",IF(OR(CM293="Retracted",CN293="Retracted",F293="Not used"),"🔴 Do not use for conclusion",IF(OR(R293="Official / Institutional",I293="Official / contextual"),"🔵 Official / contextual",IF(OR(I293="Definition",I293="Framework",I293="Paradigm shift"),"🟣 Conceptual key source",IF(AND(CJ293="Yes",CL293="Yes",OR(CG293="High",CG293="Moderate"),CH293&lt;&gt;"High",CH293&lt;&gt;"Critical",F293="Claim-ready"),"🟢 Claim-ready","🟡 Caution / context")))))</x:f>
      </x:c>
      <x:c r="D293" s="174"/>
      <x:c r="E293" s="174"/>
      <x:c r="F293" s="174"/>
      <x:c r="G293" s="174"/>
      <x:c r="H293" s="174"/>
      <x:c r="I293" s="174"/>
      <x:c r="J293" s="174"/>
      <x:c r="K293" s="174"/>
      <x:c r="L293" s="174"/>
      <x:c r="M293" s="174"/>
      <x:c r="N293" s="174"/>
      <x:c r="O293" s="176"/>
      <x:c r="P293" s="174"/>
      <x:c r="Q293" s="174"/>
      <x:c r="R293" s="174"/>
      <x:c r="S293" s="174"/>
      <x:c r="T293" s="174"/>
      <x:c r="U293" s="174"/>
      <x:c r="V293" s="174"/>
      <x:c r="W293" s="175" t="str">
        <x:f>IF(V293="","",LOWER(SUBSTITUTE(SUBSTITUTE(SUBSTITUTE(SUBSTITUTE(TRIM(V293),"https://doi.org/",""),"http://doi.org/",""),"https://dx.doi.org/",""),"doi:","")))</x:f>
      </x:c>
      <x:c r="X293" s="174"/>
      <x:c r="Y293" s="174"/>
      <x:c r="Z293" s="174"/>
      <x:c r="AA293" s="174"/>
      <x:c r="AB293" s="174"/>
      <x:c r="AC293" s="174"/>
      <x:c r="AD293" s="177"/>
      <x:c r="AE293" s="177"/>
      <x:c r="AF293" s="174"/>
      <x:c r="AG293" s="174"/>
      <x:c r="AH293" s="174"/>
      <x:c r="AI293" s="174"/>
      <x:c r="AJ293" s="174"/>
      <x:c r="AK293" s="175" t="str">
        <x:f>IF(AJ293="","",IF(OR(LOWER(AJ293)="brazil",LOWER(AJ293)="brasil"),"Yes","No"))</x:f>
      </x:c>
      <x:c r="AL293" s="174"/>
      <x:c r="AM293" s="174"/>
      <x:c r="AN293" s="174"/>
      <x:c r="AO293" s="178"/>
      <x:c r="AP293" s="174"/>
      <x:c r="AQ293" s="174"/>
      <x:c r="AR293" s="174"/>
      <x:c r="AS293" s="174"/>
      <x:c r="AT293" s="174"/>
      <x:c r="AU293" s="174"/>
      <x:c r="AV293" s="174"/>
      <x:c r="AW293" s="174"/>
      <x:c r="AX293" s="174"/>
      <x:c r="AY293" s="174"/>
      <x:c r="AZ293" s="174"/>
      <x:c r="BA293" s="174"/>
      <x:c r="BB293" s="174"/>
      <x:c r="BC293" s="174"/>
      <x:c r="BD293" s="174"/>
      <x:c r="BE293" s="174"/>
      <x:c r="BF293" s="174"/>
      <x:c r="BG293" s="174"/>
      <x:c r="BH293" s="174"/>
      <x:c r="BI293" s="174"/>
      <x:c r="BJ293" s="174"/>
      <x:c r="BK293" s="174"/>
      <x:c r="BL293" s="174"/>
      <x:c r="BM293" s="174"/>
      <x:c r="BN293" s="174"/>
      <x:c r="BO293" s="174"/>
      <x:c r="BP293" s="174"/>
      <x:c r="BQ293" s="174"/>
      <x:c r="BR293" s="174"/>
      <x:c r="BS293" s="174"/>
      <x:c r="BT293" s="174"/>
      <x:c r="BU293" s="174"/>
      <x:c r="BV293" s="174"/>
      <x:c r="BW293" s="174"/>
      <x:c r="BX293" s="174"/>
      <x:c r="BY293" s="174"/>
      <x:c r="BZ293" s="174"/>
      <x:c r="CA293" s="174"/>
      <x:c r="CB293" s="174"/>
      <x:c r="CC293" s="174"/>
      <x:c r="CD293" s="174"/>
      <x:c r="CE293" s="174"/>
      <x:c r="CF293" s="174"/>
      <x:c r="CG293" s="174"/>
      <x:c r="CH293" s="174"/>
      <x:c r="CI293" s="179"/>
      <x:c r="CJ293" s="174"/>
      <x:c r="CK293" s="174"/>
      <x:c r="CL293" s="174"/>
      <x:c r="CM293" s="174"/>
      <x:c r="CN293" s="174"/>
      <x:c r="CO293" s="177"/>
      <x:c r="CP293" s="174"/>
      <x:c r="CQ293" s="174"/>
      <x:c r="CR293" s="174"/>
      <x:c r="CS293" s="174"/>
      <x:c r="CT293" s="174"/>
      <x:c r="CU293" s="176"/>
      <x:c r="CV293" s="176"/>
      <x:c r="CW293" s="176"/>
      <x:c r="CX293" s="176"/>
      <x:c r="CY293" s="176"/>
      <x:c r="CZ293" s="176"/>
      <x:c r="DA293" s="176"/>
      <x:c r="DB293" s="175" t="str">
        <x:f>IF(L293="","",IF(COUNT(CU293:DA293)&lt;7,"",SUM(CU293:DA293)))</x:f>
      </x:c>
      <x:c r="DC293" s="180" t="str">
        <x:f>IF(DB293="","",ROUND(DB293/14*10,1))</x:f>
      </x:c>
      <x:c r="DD293" s="174"/>
      <x:c r="DE293" s="175" t="str">
        <x:f>IF(L293="","",IF(DC293="","Pending",IF(DD293="Yes","CONDITIONAL — safety override",IF(DC293&gt;=8,"HIGH",IF(DC293&gt;=5,"CONDITIONAL","LOW")))))</x:f>
      </x:c>
      <x:c r="DF293" s="174"/>
      <x:c r="DG293" s="174"/>
      <x:c r="DH293" s="174"/>
      <x:c r="DI293" s="174"/>
      <x:c r="DJ293" s="174"/>
      <x:c r="DK293" s="174"/>
      <x:c r="DL293" s="174"/>
      <x:c r="DM293" s="174"/>
      <x:c r="DN293" s="174"/>
      <x:c r="DO293" s="174"/>
      <x:c r="DP293" s="174"/>
      <x:c r="DQ293" s="174"/>
      <x:c r="DR293" s="174"/>
      <x:c r="DS293" s="174"/>
      <x:c r="DT293" s="174"/>
      <x:c r="DU293" s="174"/>
      <x:c r="DV293" s="174"/>
      <x:c r="DW293" s="174"/>
      <x:c r="DX293" s="174"/>
      <x:c r="DY293" s="174"/>
      <x:c r="DZ293" s="174"/>
      <x:c r="EA293" s="174"/>
      <x:c r="EB293" s="175" t="str">
        <x:f>IF(L293="","",IF(AND(F293="Claim-ready",CJ293="Yes",CL293="Yes",DZ293&lt;&gt;""),"Yes","No / Pending"))</x:f>
      </x:c>
      <x:c r="EC293" s="174"/>
      <x:c r="ED293" s="174"/>
      <x:c r="EE293" s="174"/>
      <x:c r="EF293" s="174"/>
      <x:c r="EG293" s="174"/>
      <x:c r="EH293" s="177"/>
      <x:c r="EI293" s="174"/>
      <x:c r="EJ293" s="174"/>
      <x:c r="EK293" s="174"/>
      <x:c r="EL293" s="177"/>
      <x:c r="EM293" s="174"/>
      <x:c r="EN293" s="181" t="str">
        <x:f>IF(L293="","",(IF(N293&lt;&gt;"",1,0)+IF(O293&lt;&gt;"",1,0)+IF(AJ293&lt;&gt;"",1,0)+IF(AU293&lt;&gt;"",1,0)+IF(BE293&lt;&gt;"",1,0)+IF(CF293&lt;&gt;"",1,0)+IF(CJ293="Yes",1,0)+IF(CL293="Yes",1,0)+IF(DE293&lt;&gt;"Pending",1,0)+IF(F293&lt;&gt;"",1,0)+IF(DZ293&lt;&gt;"",1,0)+IF(EI293&lt;&gt;"",1,0))/12)</x:f>
      </x:c>
    </x:row>
    <x:row r="294">
      <x:c r="A294" s="175" t="str">
        <x:f>IF(L294="","","EV-"&amp;TEXT(ROW()-3,"0000"))</x:f>
      </x:c>
      <x:c r="B294" s="174"/>
      <x:c r="C294" s="175" t="str">
        <x:f>IF(L294="","",IF(OR(CM294="Retracted",CN294="Retracted",F294="Not used"),"🔴 Do not use for conclusion",IF(OR(R294="Official / Institutional",I294="Official / contextual"),"🔵 Official / contextual",IF(OR(I294="Definition",I294="Framework",I294="Paradigm shift"),"🟣 Conceptual key source",IF(AND(CJ294="Yes",CL294="Yes",OR(CG294="High",CG294="Moderate"),CH294&lt;&gt;"High",CH294&lt;&gt;"Critical",F294="Claim-ready"),"🟢 Claim-ready","🟡 Caution / context")))))</x:f>
      </x:c>
      <x:c r="D294" s="174"/>
      <x:c r="E294" s="174"/>
      <x:c r="F294" s="174"/>
      <x:c r="G294" s="174"/>
      <x:c r="H294" s="174"/>
      <x:c r="I294" s="174"/>
      <x:c r="J294" s="174"/>
      <x:c r="K294" s="174"/>
      <x:c r="L294" s="174"/>
      <x:c r="M294" s="174"/>
      <x:c r="N294" s="174"/>
      <x:c r="O294" s="176"/>
      <x:c r="P294" s="174"/>
      <x:c r="Q294" s="174"/>
      <x:c r="R294" s="174"/>
      <x:c r="S294" s="174"/>
      <x:c r="T294" s="174"/>
      <x:c r="U294" s="174"/>
      <x:c r="V294" s="174"/>
      <x:c r="W294" s="175" t="str">
        <x:f>IF(V294="","",LOWER(SUBSTITUTE(SUBSTITUTE(SUBSTITUTE(SUBSTITUTE(TRIM(V294),"https://doi.org/",""),"http://doi.org/",""),"https://dx.doi.org/",""),"doi:","")))</x:f>
      </x:c>
      <x:c r="X294" s="174"/>
      <x:c r="Y294" s="174"/>
      <x:c r="Z294" s="174"/>
      <x:c r="AA294" s="174"/>
      <x:c r="AB294" s="174"/>
      <x:c r="AC294" s="174"/>
      <x:c r="AD294" s="177"/>
      <x:c r="AE294" s="177"/>
      <x:c r="AF294" s="174"/>
      <x:c r="AG294" s="174"/>
      <x:c r="AH294" s="174"/>
      <x:c r="AI294" s="174"/>
      <x:c r="AJ294" s="174"/>
      <x:c r="AK294" s="175" t="str">
        <x:f>IF(AJ294="","",IF(OR(LOWER(AJ294)="brazil",LOWER(AJ294)="brasil"),"Yes","No"))</x:f>
      </x:c>
      <x:c r="AL294" s="174"/>
      <x:c r="AM294" s="174"/>
      <x:c r="AN294" s="174"/>
      <x:c r="AO294" s="178"/>
      <x:c r="AP294" s="174"/>
      <x:c r="AQ294" s="174"/>
      <x:c r="AR294" s="174"/>
      <x:c r="AS294" s="174"/>
      <x:c r="AT294" s="174"/>
      <x:c r="AU294" s="174"/>
      <x:c r="AV294" s="174"/>
      <x:c r="AW294" s="174"/>
      <x:c r="AX294" s="174"/>
      <x:c r="AY294" s="174"/>
      <x:c r="AZ294" s="174"/>
      <x:c r="BA294" s="174"/>
      <x:c r="BB294" s="174"/>
      <x:c r="BC294" s="174"/>
      <x:c r="BD294" s="174"/>
      <x:c r="BE294" s="174"/>
      <x:c r="BF294" s="174"/>
      <x:c r="BG294" s="174"/>
      <x:c r="BH294" s="174"/>
      <x:c r="BI294" s="174"/>
      <x:c r="BJ294" s="174"/>
      <x:c r="BK294" s="174"/>
      <x:c r="BL294" s="174"/>
      <x:c r="BM294" s="174"/>
      <x:c r="BN294" s="174"/>
      <x:c r="BO294" s="174"/>
      <x:c r="BP294" s="174"/>
      <x:c r="BQ294" s="174"/>
      <x:c r="BR294" s="174"/>
      <x:c r="BS294" s="174"/>
      <x:c r="BT294" s="174"/>
      <x:c r="BU294" s="174"/>
      <x:c r="BV294" s="174"/>
      <x:c r="BW294" s="174"/>
      <x:c r="BX294" s="174"/>
      <x:c r="BY294" s="174"/>
      <x:c r="BZ294" s="174"/>
      <x:c r="CA294" s="174"/>
      <x:c r="CB294" s="174"/>
      <x:c r="CC294" s="174"/>
      <x:c r="CD294" s="174"/>
      <x:c r="CE294" s="174"/>
      <x:c r="CF294" s="174"/>
      <x:c r="CG294" s="174"/>
      <x:c r="CH294" s="174"/>
      <x:c r="CI294" s="179"/>
      <x:c r="CJ294" s="174"/>
      <x:c r="CK294" s="174"/>
      <x:c r="CL294" s="174"/>
      <x:c r="CM294" s="174"/>
      <x:c r="CN294" s="174"/>
      <x:c r="CO294" s="177"/>
      <x:c r="CP294" s="174"/>
      <x:c r="CQ294" s="174"/>
      <x:c r="CR294" s="174"/>
      <x:c r="CS294" s="174"/>
      <x:c r="CT294" s="174"/>
      <x:c r="CU294" s="176"/>
      <x:c r="CV294" s="176"/>
      <x:c r="CW294" s="176"/>
      <x:c r="CX294" s="176"/>
      <x:c r="CY294" s="176"/>
      <x:c r="CZ294" s="176"/>
      <x:c r="DA294" s="176"/>
      <x:c r="DB294" s="175" t="str">
        <x:f>IF(L294="","",IF(COUNT(CU294:DA294)&lt;7,"",SUM(CU294:DA294)))</x:f>
      </x:c>
      <x:c r="DC294" s="180" t="str">
        <x:f>IF(DB294="","",ROUND(DB294/14*10,1))</x:f>
      </x:c>
      <x:c r="DD294" s="174"/>
      <x:c r="DE294" s="175" t="str">
        <x:f>IF(L294="","",IF(DC294="","Pending",IF(DD294="Yes","CONDITIONAL — safety override",IF(DC294&gt;=8,"HIGH",IF(DC294&gt;=5,"CONDITIONAL","LOW")))))</x:f>
      </x:c>
      <x:c r="DF294" s="174"/>
      <x:c r="DG294" s="174"/>
      <x:c r="DH294" s="174"/>
      <x:c r="DI294" s="174"/>
      <x:c r="DJ294" s="174"/>
      <x:c r="DK294" s="174"/>
      <x:c r="DL294" s="174"/>
      <x:c r="DM294" s="174"/>
      <x:c r="DN294" s="174"/>
      <x:c r="DO294" s="174"/>
      <x:c r="DP294" s="174"/>
      <x:c r="DQ294" s="174"/>
      <x:c r="DR294" s="174"/>
      <x:c r="DS294" s="174"/>
      <x:c r="DT294" s="174"/>
      <x:c r="DU294" s="174"/>
      <x:c r="DV294" s="174"/>
      <x:c r="DW294" s="174"/>
      <x:c r="DX294" s="174"/>
      <x:c r="DY294" s="174"/>
      <x:c r="DZ294" s="174"/>
      <x:c r="EA294" s="174"/>
      <x:c r="EB294" s="175" t="str">
        <x:f>IF(L294="","",IF(AND(F294="Claim-ready",CJ294="Yes",CL294="Yes",DZ294&lt;&gt;""),"Yes","No / Pending"))</x:f>
      </x:c>
      <x:c r="EC294" s="174"/>
      <x:c r="ED294" s="174"/>
      <x:c r="EE294" s="174"/>
      <x:c r="EF294" s="174"/>
      <x:c r="EG294" s="174"/>
      <x:c r="EH294" s="177"/>
      <x:c r="EI294" s="174"/>
      <x:c r="EJ294" s="174"/>
      <x:c r="EK294" s="174"/>
      <x:c r="EL294" s="177"/>
      <x:c r="EM294" s="174"/>
      <x:c r="EN294" s="181" t="str">
        <x:f>IF(L294="","",(IF(N294&lt;&gt;"",1,0)+IF(O294&lt;&gt;"",1,0)+IF(AJ294&lt;&gt;"",1,0)+IF(AU294&lt;&gt;"",1,0)+IF(BE294&lt;&gt;"",1,0)+IF(CF294&lt;&gt;"",1,0)+IF(CJ294="Yes",1,0)+IF(CL294="Yes",1,0)+IF(DE294&lt;&gt;"Pending",1,0)+IF(F294&lt;&gt;"",1,0)+IF(DZ294&lt;&gt;"",1,0)+IF(EI294&lt;&gt;"",1,0))/12)</x:f>
      </x:c>
    </x:row>
    <x:row r="295">
      <x:c r="A295" s="175" t="str">
        <x:f>IF(L295="","","EV-"&amp;TEXT(ROW()-3,"0000"))</x:f>
      </x:c>
      <x:c r="B295" s="174"/>
      <x:c r="C295" s="175" t="str">
        <x:f>IF(L295="","",IF(OR(CM295="Retracted",CN295="Retracted",F295="Not used"),"🔴 Do not use for conclusion",IF(OR(R295="Official / Institutional",I295="Official / contextual"),"🔵 Official / contextual",IF(OR(I295="Definition",I295="Framework",I295="Paradigm shift"),"🟣 Conceptual key source",IF(AND(CJ295="Yes",CL295="Yes",OR(CG295="High",CG295="Moderate"),CH295&lt;&gt;"High",CH295&lt;&gt;"Critical",F295="Claim-ready"),"🟢 Claim-ready","🟡 Caution / context")))))</x:f>
      </x:c>
      <x:c r="D295" s="174"/>
      <x:c r="E295" s="174"/>
      <x:c r="F295" s="174"/>
      <x:c r="G295" s="174"/>
      <x:c r="H295" s="174"/>
      <x:c r="I295" s="174"/>
      <x:c r="J295" s="174"/>
      <x:c r="K295" s="174"/>
      <x:c r="L295" s="174"/>
      <x:c r="M295" s="174"/>
      <x:c r="N295" s="174"/>
      <x:c r="O295" s="176"/>
      <x:c r="P295" s="174"/>
      <x:c r="Q295" s="174"/>
      <x:c r="R295" s="174"/>
      <x:c r="S295" s="174"/>
      <x:c r="T295" s="174"/>
      <x:c r="U295" s="174"/>
      <x:c r="V295" s="174"/>
      <x:c r="W295" s="175" t="str">
        <x:f>IF(V295="","",LOWER(SUBSTITUTE(SUBSTITUTE(SUBSTITUTE(SUBSTITUTE(TRIM(V295),"https://doi.org/",""),"http://doi.org/",""),"https://dx.doi.org/",""),"doi:","")))</x:f>
      </x:c>
      <x:c r="X295" s="174"/>
      <x:c r="Y295" s="174"/>
      <x:c r="Z295" s="174"/>
      <x:c r="AA295" s="174"/>
      <x:c r="AB295" s="174"/>
      <x:c r="AC295" s="174"/>
      <x:c r="AD295" s="177"/>
      <x:c r="AE295" s="177"/>
      <x:c r="AF295" s="174"/>
      <x:c r="AG295" s="174"/>
      <x:c r="AH295" s="174"/>
      <x:c r="AI295" s="174"/>
      <x:c r="AJ295" s="174"/>
      <x:c r="AK295" s="175" t="str">
        <x:f>IF(AJ295="","",IF(OR(LOWER(AJ295)="brazil",LOWER(AJ295)="brasil"),"Yes","No"))</x:f>
      </x:c>
      <x:c r="AL295" s="174"/>
      <x:c r="AM295" s="174"/>
      <x:c r="AN295" s="174"/>
      <x:c r="AO295" s="178"/>
      <x:c r="AP295" s="174"/>
      <x:c r="AQ295" s="174"/>
      <x:c r="AR295" s="174"/>
      <x:c r="AS295" s="174"/>
      <x:c r="AT295" s="174"/>
      <x:c r="AU295" s="174"/>
      <x:c r="AV295" s="174"/>
      <x:c r="AW295" s="174"/>
      <x:c r="AX295" s="174"/>
      <x:c r="AY295" s="174"/>
      <x:c r="AZ295" s="174"/>
      <x:c r="BA295" s="174"/>
      <x:c r="BB295" s="174"/>
      <x:c r="BC295" s="174"/>
      <x:c r="BD295" s="174"/>
      <x:c r="BE295" s="174"/>
      <x:c r="BF295" s="174"/>
      <x:c r="BG295" s="174"/>
      <x:c r="BH295" s="174"/>
      <x:c r="BI295" s="174"/>
      <x:c r="BJ295" s="174"/>
      <x:c r="BK295" s="174"/>
      <x:c r="BL295" s="174"/>
      <x:c r="BM295" s="174"/>
      <x:c r="BN295" s="174"/>
      <x:c r="BO295" s="174"/>
      <x:c r="BP295" s="174"/>
      <x:c r="BQ295" s="174"/>
      <x:c r="BR295" s="174"/>
      <x:c r="BS295" s="174"/>
      <x:c r="BT295" s="174"/>
      <x:c r="BU295" s="174"/>
      <x:c r="BV295" s="174"/>
      <x:c r="BW295" s="174"/>
      <x:c r="BX295" s="174"/>
      <x:c r="BY295" s="174"/>
      <x:c r="BZ295" s="174"/>
      <x:c r="CA295" s="174"/>
      <x:c r="CB295" s="174"/>
      <x:c r="CC295" s="174"/>
      <x:c r="CD295" s="174"/>
      <x:c r="CE295" s="174"/>
      <x:c r="CF295" s="174"/>
      <x:c r="CG295" s="174"/>
      <x:c r="CH295" s="174"/>
      <x:c r="CI295" s="179"/>
      <x:c r="CJ295" s="174"/>
      <x:c r="CK295" s="174"/>
      <x:c r="CL295" s="174"/>
      <x:c r="CM295" s="174"/>
      <x:c r="CN295" s="174"/>
      <x:c r="CO295" s="177"/>
      <x:c r="CP295" s="174"/>
      <x:c r="CQ295" s="174"/>
      <x:c r="CR295" s="174"/>
      <x:c r="CS295" s="174"/>
      <x:c r="CT295" s="174"/>
      <x:c r="CU295" s="176"/>
      <x:c r="CV295" s="176"/>
      <x:c r="CW295" s="176"/>
      <x:c r="CX295" s="176"/>
      <x:c r="CY295" s="176"/>
      <x:c r="CZ295" s="176"/>
      <x:c r="DA295" s="176"/>
      <x:c r="DB295" s="175" t="str">
        <x:f>IF(L295="","",IF(COUNT(CU295:DA295)&lt;7,"",SUM(CU295:DA295)))</x:f>
      </x:c>
      <x:c r="DC295" s="180" t="str">
        <x:f>IF(DB295="","",ROUND(DB295/14*10,1))</x:f>
      </x:c>
      <x:c r="DD295" s="174"/>
      <x:c r="DE295" s="175" t="str">
        <x:f>IF(L295="","",IF(DC295="","Pending",IF(DD295="Yes","CONDITIONAL — safety override",IF(DC295&gt;=8,"HIGH",IF(DC295&gt;=5,"CONDITIONAL","LOW")))))</x:f>
      </x:c>
      <x:c r="DF295" s="174"/>
      <x:c r="DG295" s="174"/>
      <x:c r="DH295" s="174"/>
      <x:c r="DI295" s="174"/>
      <x:c r="DJ295" s="174"/>
      <x:c r="DK295" s="174"/>
      <x:c r="DL295" s="174"/>
      <x:c r="DM295" s="174"/>
      <x:c r="DN295" s="174"/>
      <x:c r="DO295" s="174"/>
      <x:c r="DP295" s="174"/>
      <x:c r="DQ295" s="174"/>
      <x:c r="DR295" s="174"/>
      <x:c r="DS295" s="174"/>
      <x:c r="DT295" s="174"/>
      <x:c r="DU295" s="174"/>
      <x:c r="DV295" s="174"/>
      <x:c r="DW295" s="174"/>
      <x:c r="DX295" s="174"/>
      <x:c r="DY295" s="174"/>
      <x:c r="DZ295" s="174"/>
      <x:c r="EA295" s="174"/>
      <x:c r="EB295" s="175" t="str">
        <x:f>IF(L295="","",IF(AND(F295="Claim-ready",CJ295="Yes",CL295="Yes",DZ295&lt;&gt;""),"Yes","No / Pending"))</x:f>
      </x:c>
      <x:c r="EC295" s="174"/>
      <x:c r="ED295" s="174"/>
      <x:c r="EE295" s="174"/>
      <x:c r="EF295" s="174"/>
      <x:c r="EG295" s="174"/>
      <x:c r="EH295" s="177"/>
      <x:c r="EI295" s="174"/>
      <x:c r="EJ295" s="174"/>
      <x:c r="EK295" s="174"/>
      <x:c r="EL295" s="177"/>
      <x:c r="EM295" s="174"/>
      <x:c r="EN295" s="181" t="str">
        <x:f>IF(L295="","",(IF(N295&lt;&gt;"",1,0)+IF(O295&lt;&gt;"",1,0)+IF(AJ295&lt;&gt;"",1,0)+IF(AU295&lt;&gt;"",1,0)+IF(BE295&lt;&gt;"",1,0)+IF(CF295&lt;&gt;"",1,0)+IF(CJ295="Yes",1,0)+IF(CL295="Yes",1,0)+IF(DE295&lt;&gt;"Pending",1,0)+IF(F295&lt;&gt;"",1,0)+IF(DZ295&lt;&gt;"",1,0)+IF(EI295&lt;&gt;"",1,0))/12)</x:f>
      </x:c>
    </x:row>
    <x:row r="296">
      <x:c r="A296" s="175" t="str">
        <x:f>IF(L296="","","EV-"&amp;TEXT(ROW()-3,"0000"))</x:f>
      </x:c>
      <x:c r="B296" s="174"/>
      <x:c r="C296" s="175" t="str">
        <x:f>IF(L296="","",IF(OR(CM296="Retracted",CN296="Retracted",F296="Not used"),"🔴 Do not use for conclusion",IF(OR(R296="Official / Institutional",I296="Official / contextual"),"🔵 Official / contextual",IF(OR(I296="Definition",I296="Framework",I296="Paradigm shift"),"🟣 Conceptual key source",IF(AND(CJ296="Yes",CL296="Yes",OR(CG296="High",CG296="Moderate"),CH296&lt;&gt;"High",CH296&lt;&gt;"Critical",F296="Claim-ready"),"🟢 Claim-ready","🟡 Caution / context")))))</x:f>
      </x:c>
      <x:c r="D296" s="174"/>
      <x:c r="E296" s="174"/>
      <x:c r="F296" s="174"/>
      <x:c r="G296" s="174"/>
      <x:c r="H296" s="174"/>
      <x:c r="I296" s="174"/>
      <x:c r="J296" s="174"/>
      <x:c r="K296" s="174"/>
      <x:c r="L296" s="174"/>
      <x:c r="M296" s="174"/>
      <x:c r="N296" s="174"/>
      <x:c r="O296" s="176"/>
      <x:c r="P296" s="174"/>
      <x:c r="Q296" s="174"/>
      <x:c r="R296" s="174"/>
      <x:c r="S296" s="174"/>
      <x:c r="T296" s="174"/>
      <x:c r="U296" s="174"/>
      <x:c r="V296" s="174"/>
      <x:c r="W296" s="175" t="str">
        <x:f>IF(V296="","",LOWER(SUBSTITUTE(SUBSTITUTE(SUBSTITUTE(SUBSTITUTE(TRIM(V296),"https://doi.org/",""),"http://doi.org/",""),"https://dx.doi.org/",""),"doi:","")))</x:f>
      </x:c>
      <x:c r="X296" s="174"/>
      <x:c r="Y296" s="174"/>
      <x:c r="Z296" s="174"/>
      <x:c r="AA296" s="174"/>
      <x:c r="AB296" s="174"/>
      <x:c r="AC296" s="174"/>
      <x:c r="AD296" s="177"/>
      <x:c r="AE296" s="177"/>
      <x:c r="AF296" s="174"/>
      <x:c r="AG296" s="174"/>
      <x:c r="AH296" s="174"/>
      <x:c r="AI296" s="174"/>
      <x:c r="AJ296" s="174"/>
      <x:c r="AK296" s="175" t="str">
        <x:f>IF(AJ296="","",IF(OR(LOWER(AJ296)="brazil",LOWER(AJ296)="brasil"),"Yes","No"))</x:f>
      </x:c>
      <x:c r="AL296" s="174"/>
      <x:c r="AM296" s="174"/>
      <x:c r="AN296" s="174"/>
      <x:c r="AO296" s="178"/>
      <x:c r="AP296" s="174"/>
      <x:c r="AQ296" s="174"/>
      <x:c r="AR296" s="174"/>
      <x:c r="AS296" s="174"/>
      <x:c r="AT296" s="174"/>
      <x:c r="AU296" s="174"/>
      <x:c r="AV296" s="174"/>
      <x:c r="AW296" s="174"/>
      <x:c r="AX296" s="174"/>
      <x:c r="AY296" s="174"/>
      <x:c r="AZ296" s="174"/>
      <x:c r="BA296" s="174"/>
      <x:c r="BB296" s="174"/>
      <x:c r="BC296" s="174"/>
      <x:c r="BD296" s="174"/>
      <x:c r="BE296" s="174"/>
      <x:c r="BF296" s="174"/>
      <x:c r="BG296" s="174"/>
      <x:c r="BH296" s="174"/>
      <x:c r="BI296" s="174"/>
      <x:c r="BJ296" s="174"/>
      <x:c r="BK296" s="174"/>
      <x:c r="BL296" s="174"/>
      <x:c r="BM296" s="174"/>
      <x:c r="BN296" s="174"/>
      <x:c r="BO296" s="174"/>
      <x:c r="BP296" s="174"/>
      <x:c r="BQ296" s="174"/>
      <x:c r="BR296" s="174"/>
      <x:c r="BS296" s="174"/>
      <x:c r="BT296" s="174"/>
      <x:c r="BU296" s="174"/>
      <x:c r="BV296" s="174"/>
      <x:c r="BW296" s="174"/>
      <x:c r="BX296" s="174"/>
      <x:c r="BY296" s="174"/>
      <x:c r="BZ296" s="174"/>
      <x:c r="CA296" s="174"/>
      <x:c r="CB296" s="174"/>
      <x:c r="CC296" s="174"/>
      <x:c r="CD296" s="174"/>
      <x:c r="CE296" s="174"/>
      <x:c r="CF296" s="174"/>
      <x:c r="CG296" s="174"/>
      <x:c r="CH296" s="174"/>
      <x:c r="CI296" s="179"/>
      <x:c r="CJ296" s="174"/>
      <x:c r="CK296" s="174"/>
      <x:c r="CL296" s="174"/>
      <x:c r="CM296" s="174"/>
      <x:c r="CN296" s="174"/>
      <x:c r="CO296" s="177"/>
      <x:c r="CP296" s="174"/>
      <x:c r="CQ296" s="174"/>
      <x:c r="CR296" s="174"/>
      <x:c r="CS296" s="174"/>
      <x:c r="CT296" s="174"/>
      <x:c r="CU296" s="176"/>
      <x:c r="CV296" s="176"/>
      <x:c r="CW296" s="176"/>
      <x:c r="CX296" s="176"/>
      <x:c r="CY296" s="176"/>
      <x:c r="CZ296" s="176"/>
      <x:c r="DA296" s="176"/>
      <x:c r="DB296" s="175" t="str">
        <x:f>IF(L296="","",IF(COUNT(CU296:DA296)&lt;7,"",SUM(CU296:DA296)))</x:f>
      </x:c>
      <x:c r="DC296" s="180" t="str">
        <x:f>IF(DB296="","",ROUND(DB296/14*10,1))</x:f>
      </x:c>
      <x:c r="DD296" s="174"/>
      <x:c r="DE296" s="175" t="str">
        <x:f>IF(L296="","",IF(DC296="","Pending",IF(DD296="Yes","CONDITIONAL — safety override",IF(DC296&gt;=8,"HIGH",IF(DC296&gt;=5,"CONDITIONAL","LOW")))))</x:f>
      </x:c>
      <x:c r="DF296" s="174"/>
      <x:c r="DG296" s="174"/>
      <x:c r="DH296" s="174"/>
      <x:c r="DI296" s="174"/>
      <x:c r="DJ296" s="174"/>
      <x:c r="DK296" s="174"/>
      <x:c r="DL296" s="174"/>
      <x:c r="DM296" s="174"/>
      <x:c r="DN296" s="174"/>
      <x:c r="DO296" s="174"/>
      <x:c r="DP296" s="174"/>
      <x:c r="DQ296" s="174"/>
      <x:c r="DR296" s="174"/>
      <x:c r="DS296" s="174"/>
      <x:c r="DT296" s="174"/>
      <x:c r="DU296" s="174"/>
      <x:c r="DV296" s="174"/>
      <x:c r="DW296" s="174"/>
      <x:c r="DX296" s="174"/>
      <x:c r="DY296" s="174"/>
      <x:c r="DZ296" s="174"/>
      <x:c r="EA296" s="174"/>
      <x:c r="EB296" s="175" t="str">
        <x:f>IF(L296="","",IF(AND(F296="Claim-ready",CJ296="Yes",CL296="Yes",DZ296&lt;&gt;""),"Yes","No / Pending"))</x:f>
      </x:c>
      <x:c r="EC296" s="174"/>
      <x:c r="ED296" s="174"/>
      <x:c r="EE296" s="174"/>
      <x:c r="EF296" s="174"/>
      <x:c r="EG296" s="174"/>
      <x:c r="EH296" s="177"/>
      <x:c r="EI296" s="174"/>
      <x:c r="EJ296" s="174"/>
      <x:c r="EK296" s="174"/>
      <x:c r="EL296" s="177"/>
      <x:c r="EM296" s="174"/>
      <x:c r="EN296" s="181" t="str">
        <x:f>IF(L296="","",(IF(N296&lt;&gt;"",1,0)+IF(O296&lt;&gt;"",1,0)+IF(AJ296&lt;&gt;"",1,0)+IF(AU296&lt;&gt;"",1,0)+IF(BE296&lt;&gt;"",1,0)+IF(CF296&lt;&gt;"",1,0)+IF(CJ296="Yes",1,0)+IF(CL296="Yes",1,0)+IF(DE296&lt;&gt;"Pending",1,0)+IF(F296&lt;&gt;"",1,0)+IF(DZ296&lt;&gt;"",1,0)+IF(EI296&lt;&gt;"",1,0))/12)</x:f>
      </x:c>
    </x:row>
    <x:row r="297">
      <x:c r="A297" s="175" t="str">
        <x:f>IF(L297="","","EV-"&amp;TEXT(ROW()-3,"0000"))</x:f>
      </x:c>
      <x:c r="B297" s="174"/>
      <x:c r="C297" s="175" t="str">
        <x:f>IF(L297="","",IF(OR(CM297="Retracted",CN297="Retracted",F297="Not used"),"🔴 Do not use for conclusion",IF(OR(R297="Official / Institutional",I297="Official / contextual"),"🔵 Official / contextual",IF(OR(I297="Definition",I297="Framework",I297="Paradigm shift"),"🟣 Conceptual key source",IF(AND(CJ297="Yes",CL297="Yes",OR(CG297="High",CG297="Moderate"),CH297&lt;&gt;"High",CH297&lt;&gt;"Critical",F297="Claim-ready"),"🟢 Claim-ready","🟡 Caution / context")))))</x:f>
      </x:c>
      <x:c r="D297" s="174"/>
      <x:c r="E297" s="174"/>
      <x:c r="F297" s="174"/>
      <x:c r="G297" s="174"/>
      <x:c r="H297" s="174"/>
      <x:c r="I297" s="174"/>
      <x:c r="J297" s="174"/>
      <x:c r="K297" s="174"/>
      <x:c r="L297" s="174"/>
      <x:c r="M297" s="174"/>
      <x:c r="N297" s="174"/>
      <x:c r="O297" s="176"/>
      <x:c r="P297" s="174"/>
      <x:c r="Q297" s="174"/>
      <x:c r="R297" s="174"/>
      <x:c r="S297" s="174"/>
      <x:c r="T297" s="174"/>
      <x:c r="U297" s="174"/>
      <x:c r="V297" s="174"/>
      <x:c r="W297" s="175" t="str">
        <x:f>IF(V297="","",LOWER(SUBSTITUTE(SUBSTITUTE(SUBSTITUTE(SUBSTITUTE(TRIM(V297),"https://doi.org/",""),"http://doi.org/",""),"https://dx.doi.org/",""),"doi:","")))</x:f>
      </x:c>
      <x:c r="X297" s="174"/>
      <x:c r="Y297" s="174"/>
      <x:c r="Z297" s="174"/>
      <x:c r="AA297" s="174"/>
      <x:c r="AB297" s="174"/>
      <x:c r="AC297" s="174"/>
      <x:c r="AD297" s="177"/>
      <x:c r="AE297" s="177"/>
      <x:c r="AF297" s="174"/>
      <x:c r="AG297" s="174"/>
      <x:c r="AH297" s="174"/>
      <x:c r="AI297" s="174"/>
      <x:c r="AJ297" s="174"/>
      <x:c r="AK297" s="175" t="str">
        <x:f>IF(AJ297="","",IF(OR(LOWER(AJ297)="brazil",LOWER(AJ297)="brasil"),"Yes","No"))</x:f>
      </x:c>
      <x:c r="AL297" s="174"/>
      <x:c r="AM297" s="174"/>
      <x:c r="AN297" s="174"/>
      <x:c r="AO297" s="178"/>
      <x:c r="AP297" s="174"/>
      <x:c r="AQ297" s="174"/>
      <x:c r="AR297" s="174"/>
      <x:c r="AS297" s="174"/>
      <x:c r="AT297" s="174"/>
      <x:c r="AU297" s="174"/>
      <x:c r="AV297" s="174"/>
      <x:c r="AW297" s="174"/>
      <x:c r="AX297" s="174"/>
      <x:c r="AY297" s="174"/>
      <x:c r="AZ297" s="174"/>
      <x:c r="BA297" s="174"/>
      <x:c r="BB297" s="174"/>
      <x:c r="BC297" s="174"/>
      <x:c r="BD297" s="174"/>
      <x:c r="BE297" s="174"/>
      <x:c r="BF297" s="174"/>
      <x:c r="BG297" s="174"/>
      <x:c r="BH297" s="174"/>
      <x:c r="BI297" s="174"/>
      <x:c r="BJ297" s="174"/>
      <x:c r="BK297" s="174"/>
      <x:c r="BL297" s="174"/>
      <x:c r="BM297" s="174"/>
      <x:c r="BN297" s="174"/>
      <x:c r="BO297" s="174"/>
      <x:c r="BP297" s="174"/>
      <x:c r="BQ297" s="174"/>
      <x:c r="BR297" s="174"/>
      <x:c r="BS297" s="174"/>
      <x:c r="BT297" s="174"/>
      <x:c r="BU297" s="174"/>
      <x:c r="BV297" s="174"/>
      <x:c r="BW297" s="174"/>
      <x:c r="BX297" s="174"/>
      <x:c r="BY297" s="174"/>
      <x:c r="BZ297" s="174"/>
      <x:c r="CA297" s="174"/>
      <x:c r="CB297" s="174"/>
      <x:c r="CC297" s="174"/>
      <x:c r="CD297" s="174"/>
      <x:c r="CE297" s="174"/>
      <x:c r="CF297" s="174"/>
      <x:c r="CG297" s="174"/>
      <x:c r="CH297" s="174"/>
      <x:c r="CI297" s="179"/>
      <x:c r="CJ297" s="174"/>
      <x:c r="CK297" s="174"/>
      <x:c r="CL297" s="174"/>
      <x:c r="CM297" s="174"/>
      <x:c r="CN297" s="174"/>
      <x:c r="CO297" s="177"/>
      <x:c r="CP297" s="174"/>
      <x:c r="CQ297" s="174"/>
      <x:c r="CR297" s="174"/>
      <x:c r="CS297" s="174"/>
      <x:c r="CT297" s="174"/>
      <x:c r="CU297" s="176"/>
      <x:c r="CV297" s="176"/>
      <x:c r="CW297" s="176"/>
      <x:c r="CX297" s="176"/>
      <x:c r="CY297" s="176"/>
      <x:c r="CZ297" s="176"/>
      <x:c r="DA297" s="176"/>
      <x:c r="DB297" s="175" t="str">
        <x:f>IF(L297="","",IF(COUNT(CU297:DA297)&lt;7,"",SUM(CU297:DA297)))</x:f>
      </x:c>
      <x:c r="DC297" s="180" t="str">
        <x:f>IF(DB297="","",ROUND(DB297/14*10,1))</x:f>
      </x:c>
      <x:c r="DD297" s="174"/>
      <x:c r="DE297" s="175" t="str">
        <x:f>IF(L297="","",IF(DC297="","Pending",IF(DD297="Yes","CONDITIONAL — safety override",IF(DC297&gt;=8,"HIGH",IF(DC297&gt;=5,"CONDITIONAL","LOW")))))</x:f>
      </x:c>
      <x:c r="DF297" s="174"/>
      <x:c r="DG297" s="174"/>
      <x:c r="DH297" s="174"/>
      <x:c r="DI297" s="174"/>
      <x:c r="DJ297" s="174"/>
      <x:c r="DK297" s="174"/>
      <x:c r="DL297" s="174"/>
      <x:c r="DM297" s="174"/>
      <x:c r="DN297" s="174"/>
      <x:c r="DO297" s="174"/>
      <x:c r="DP297" s="174"/>
      <x:c r="DQ297" s="174"/>
      <x:c r="DR297" s="174"/>
      <x:c r="DS297" s="174"/>
      <x:c r="DT297" s="174"/>
      <x:c r="DU297" s="174"/>
      <x:c r="DV297" s="174"/>
      <x:c r="DW297" s="174"/>
      <x:c r="DX297" s="174"/>
      <x:c r="DY297" s="174"/>
      <x:c r="DZ297" s="174"/>
      <x:c r="EA297" s="174"/>
      <x:c r="EB297" s="175" t="str">
        <x:f>IF(L297="","",IF(AND(F297="Claim-ready",CJ297="Yes",CL297="Yes",DZ297&lt;&gt;""),"Yes","No / Pending"))</x:f>
      </x:c>
      <x:c r="EC297" s="174"/>
      <x:c r="ED297" s="174"/>
      <x:c r="EE297" s="174"/>
      <x:c r="EF297" s="174"/>
      <x:c r="EG297" s="174"/>
      <x:c r="EH297" s="177"/>
      <x:c r="EI297" s="174"/>
      <x:c r="EJ297" s="174"/>
      <x:c r="EK297" s="174"/>
      <x:c r="EL297" s="177"/>
      <x:c r="EM297" s="174"/>
      <x:c r="EN297" s="181" t="str">
        <x:f>IF(L297="","",(IF(N297&lt;&gt;"",1,0)+IF(O297&lt;&gt;"",1,0)+IF(AJ297&lt;&gt;"",1,0)+IF(AU297&lt;&gt;"",1,0)+IF(BE297&lt;&gt;"",1,0)+IF(CF297&lt;&gt;"",1,0)+IF(CJ297="Yes",1,0)+IF(CL297="Yes",1,0)+IF(DE297&lt;&gt;"Pending",1,0)+IF(F297&lt;&gt;"",1,0)+IF(DZ297&lt;&gt;"",1,0)+IF(EI297&lt;&gt;"",1,0))/12)</x:f>
      </x:c>
    </x:row>
    <x:row r="298">
      <x:c r="A298" s="175" t="str">
        <x:f>IF(L298="","","EV-"&amp;TEXT(ROW()-3,"0000"))</x:f>
      </x:c>
      <x:c r="B298" s="174"/>
      <x:c r="C298" s="175" t="str">
        <x:f>IF(L298="","",IF(OR(CM298="Retracted",CN298="Retracted",F298="Not used"),"🔴 Do not use for conclusion",IF(OR(R298="Official / Institutional",I298="Official / contextual"),"🔵 Official / contextual",IF(OR(I298="Definition",I298="Framework",I298="Paradigm shift"),"🟣 Conceptual key source",IF(AND(CJ298="Yes",CL298="Yes",OR(CG298="High",CG298="Moderate"),CH298&lt;&gt;"High",CH298&lt;&gt;"Critical",F298="Claim-ready"),"🟢 Claim-ready","🟡 Caution / context")))))</x:f>
      </x:c>
      <x:c r="D298" s="174"/>
      <x:c r="E298" s="174"/>
      <x:c r="F298" s="174"/>
      <x:c r="G298" s="174"/>
      <x:c r="H298" s="174"/>
      <x:c r="I298" s="174"/>
      <x:c r="J298" s="174"/>
      <x:c r="K298" s="174"/>
      <x:c r="L298" s="174"/>
      <x:c r="M298" s="174"/>
      <x:c r="N298" s="174"/>
      <x:c r="O298" s="176"/>
      <x:c r="P298" s="174"/>
      <x:c r="Q298" s="174"/>
      <x:c r="R298" s="174"/>
      <x:c r="S298" s="174"/>
      <x:c r="T298" s="174"/>
      <x:c r="U298" s="174"/>
      <x:c r="V298" s="174"/>
      <x:c r="W298" s="175" t="str">
        <x:f>IF(V298="","",LOWER(SUBSTITUTE(SUBSTITUTE(SUBSTITUTE(SUBSTITUTE(TRIM(V298),"https://doi.org/",""),"http://doi.org/",""),"https://dx.doi.org/",""),"doi:","")))</x:f>
      </x:c>
      <x:c r="X298" s="174"/>
      <x:c r="Y298" s="174"/>
      <x:c r="Z298" s="174"/>
      <x:c r="AA298" s="174"/>
      <x:c r="AB298" s="174"/>
      <x:c r="AC298" s="174"/>
      <x:c r="AD298" s="177"/>
      <x:c r="AE298" s="177"/>
      <x:c r="AF298" s="174"/>
      <x:c r="AG298" s="174"/>
      <x:c r="AH298" s="174"/>
      <x:c r="AI298" s="174"/>
      <x:c r="AJ298" s="174"/>
      <x:c r="AK298" s="175" t="str">
        <x:f>IF(AJ298="","",IF(OR(LOWER(AJ298)="brazil",LOWER(AJ298)="brasil"),"Yes","No"))</x:f>
      </x:c>
      <x:c r="AL298" s="174"/>
      <x:c r="AM298" s="174"/>
      <x:c r="AN298" s="174"/>
      <x:c r="AO298" s="178"/>
      <x:c r="AP298" s="174"/>
      <x:c r="AQ298" s="174"/>
      <x:c r="AR298" s="174"/>
      <x:c r="AS298" s="174"/>
      <x:c r="AT298" s="174"/>
      <x:c r="AU298" s="174"/>
      <x:c r="AV298" s="174"/>
      <x:c r="AW298" s="174"/>
      <x:c r="AX298" s="174"/>
      <x:c r="AY298" s="174"/>
      <x:c r="AZ298" s="174"/>
      <x:c r="BA298" s="174"/>
      <x:c r="BB298" s="174"/>
      <x:c r="BC298" s="174"/>
      <x:c r="BD298" s="174"/>
      <x:c r="BE298" s="174"/>
      <x:c r="BF298" s="174"/>
      <x:c r="BG298" s="174"/>
      <x:c r="BH298" s="174"/>
      <x:c r="BI298" s="174"/>
      <x:c r="BJ298" s="174"/>
      <x:c r="BK298" s="174"/>
      <x:c r="BL298" s="174"/>
      <x:c r="BM298" s="174"/>
      <x:c r="BN298" s="174"/>
      <x:c r="BO298" s="174"/>
      <x:c r="BP298" s="174"/>
      <x:c r="BQ298" s="174"/>
      <x:c r="BR298" s="174"/>
      <x:c r="BS298" s="174"/>
      <x:c r="BT298" s="174"/>
      <x:c r="BU298" s="174"/>
      <x:c r="BV298" s="174"/>
      <x:c r="BW298" s="174"/>
      <x:c r="BX298" s="174"/>
      <x:c r="BY298" s="174"/>
      <x:c r="BZ298" s="174"/>
      <x:c r="CA298" s="174"/>
      <x:c r="CB298" s="174"/>
      <x:c r="CC298" s="174"/>
      <x:c r="CD298" s="174"/>
      <x:c r="CE298" s="174"/>
      <x:c r="CF298" s="174"/>
      <x:c r="CG298" s="174"/>
      <x:c r="CH298" s="174"/>
      <x:c r="CI298" s="179"/>
      <x:c r="CJ298" s="174"/>
      <x:c r="CK298" s="174"/>
      <x:c r="CL298" s="174"/>
      <x:c r="CM298" s="174"/>
      <x:c r="CN298" s="174"/>
      <x:c r="CO298" s="177"/>
      <x:c r="CP298" s="174"/>
      <x:c r="CQ298" s="174"/>
      <x:c r="CR298" s="174"/>
      <x:c r="CS298" s="174"/>
      <x:c r="CT298" s="174"/>
      <x:c r="CU298" s="176"/>
      <x:c r="CV298" s="176"/>
      <x:c r="CW298" s="176"/>
      <x:c r="CX298" s="176"/>
      <x:c r="CY298" s="176"/>
      <x:c r="CZ298" s="176"/>
      <x:c r="DA298" s="176"/>
      <x:c r="DB298" s="175" t="str">
        <x:f>IF(L298="","",IF(COUNT(CU298:DA298)&lt;7,"",SUM(CU298:DA298)))</x:f>
      </x:c>
      <x:c r="DC298" s="180" t="str">
        <x:f>IF(DB298="","",ROUND(DB298/14*10,1))</x:f>
      </x:c>
      <x:c r="DD298" s="174"/>
      <x:c r="DE298" s="175" t="str">
        <x:f>IF(L298="","",IF(DC298="","Pending",IF(DD298="Yes","CONDITIONAL — safety override",IF(DC298&gt;=8,"HIGH",IF(DC298&gt;=5,"CONDITIONAL","LOW")))))</x:f>
      </x:c>
      <x:c r="DF298" s="174"/>
      <x:c r="DG298" s="174"/>
      <x:c r="DH298" s="174"/>
      <x:c r="DI298" s="174"/>
      <x:c r="DJ298" s="174"/>
      <x:c r="DK298" s="174"/>
      <x:c r="DL298" s="174"/>
      <x:c r="DM298" s="174"/>
      <x:c r="DN298" s="174"/>
      <x:c r="DO298" s="174"/>
      <x:c r="DP298" s="174"/>
      <x:c r="DQ298" s="174"/>
      <x:c r="DR298" s="174"/>
      <x:c r="DS298" s="174"/>
      <x:c r="DT298" s="174"/>
      <x:c r="DU298" s="174"/>
      <x:c r="DV298" s="174"/>
      <x:c r="DW298" s="174"/>
      <x:c r="DX298" s="174"/>
      <x:c r="DY298" s="174"/>
      <x:c r="DZ298" s="174"/>
      <x:c r="EA298" s="174"/>
      <x:c r="EB298" s="175" t="str">
        <x:f>IF(L298="","",IF(AND(F298="Claim-ready",CJ298="Yes",CL298="Yes",DZ298&lt;&gt;""),"Yes","No / Pending"))</x:f>
      </x:c>
      <x:c r="EC298" s="174"/>
      <x:c r="ED298" s="174"/>
      <x:c r="EE298" s="174"/>
      <x:c r="EF298" s="174"/>
      <x:c r="EG298" s="174"/>
      <x:c r="EH298" s="177"/>
      <x:c r="EI298" s="174"/>
      <x:c r="EJ298" s="174"/>
      <x:c r="EK298" s="174"/>
      <x:c r="EL298" s="177"/>
      <x:c r="EM298" s="174"/>
      <x:c r="EN298" s="181" t="str">
        <x:f>IF(L298="","",(IF(N298&lt;&gt;"",1,0)+IF(O298&lt;&gt;"",1,0)+IF(AJ298&lt;&gt;"",1,0)+IF(AU298&lt;&gt;"",1,0)+IF(BE298&lt;&gt;"",1,0)+IF(CF298&lt;&gt;"",1,0)+IF(CJ298="Yes",1,0)+IF(CL298="Yes",1,0)+IF(DE298&lt;&gt;"Pending",1,0)+IF(F298&lt;&gt;"",1,0)+IF(DZ298&lt;&gt;"",1,0)+IF(EI298&lt;&gt;"",1,0))/12)</x:f>
      </x:c>
    </x:row>
    <x:row r="299">
      <x:c r="A299" s="175" t="str">
        <x:f>IF(L299="","","EV-"&amp;TEXT(ROW()-3,"0000"))</x:f>
      </x:c>
      <x:c r="B299" s="174"/>
      <x:c r="C299" s="175" t="str">
        <x:f>IF(L299="","",IF(OR(CM299="Retracted",CN299="Retracted",F299="Not used"),"🔴 Do not use for conclusion",IF(OR(R299="Official / Institutional",I299="Official / contextual"),"🔵 Official / contextual",IF(OR(I299="Definition",I299="Framework",I299="Paradigm shift"),"🟣 Conceptual key source",IF(AND(CJ299="Yes",CL299="Yes",OR(CG299="High",CG299="Moderate"),CH299&lt;&gt;"High",CH299&lt;&gt;"Critical",F299="Claim-ready"),"🟢 Claim-ready","🟡 Caution / context")))))</x:f>
      </x:c>
      <x:c r="D299" s="174"/>
      <x:c r="E299" s="174"/>
      <x:c r="F299" s="174"/>
      <x:c r="G299" s="174"/>
      <x:c r="H299" s="174"/>
      <x:c r="I299" s="174"/>
      <x:c r="J299" s="174"/>
      <x:c r="K299" s="174"/>
      <x:c r="L299" s="174"/>
      <x:c r="M299" s="174"/>
      <x:c r="N299" s="174"/>
      <x:c r="O299" s="176"/>
      <x:c r="P299" s="174"/>
      <x:c r="Q299" s="174"/>
      <x:c r="R299" s="174"/>
      <x:c r="S299" s="174"/>
      <x:c r="T299" s="174"/>
      <x:c r="U299" s="174"/>
      <x:c r="V299" s="174"/>
      <x:c r="W299" s="175" t="str">
        <x:f>IF(V299="","",LOWER(SUBSTITUTE(SUBSTITUTE(SUBSTITUTE(SUBSTITUTE(TRIM(V299),"https://doi.org/",""),"http://doi.org/",""),"https://dx.doi.org/",""),"doi:","")))</x:f>
      </x:c>
      <x:c r="X299" s="174"/>
      <x:c r="Y299" s="174"/>
      <x:c r="Z299" s="174"/>
      <x:c r="AA299" s="174"/>
      <x:c r="AB299" s="174"/>
      <x:c r="AC299" s="174"/>
      <x:c r="AD299" s="177"/>
      <x:c r="AE299" s="177"/>
      <x:c r="AF299" s="174"/>
      <x:c r="AG299" s="174"/>
      <x:c r="AH299" s="174"/>
      <x:c r="AI299" s="174"/>
      <x:c r="AJ299" s="174"/>
      <x:c r="AK299" s="175" t="str">
        <x:f>IF(AJ299="","",IF(OR(LOWER(AJ299)="brazil",LOWER(AJ299)="brasil"),"Yes","No"))</x:f>
      </x:c>
      <x:c r="AL299" s="174"/>
      <x:c r="AM299" s="174"/>
      <x:c r="AN299" s="174"/>
      <x:c r="AO299" s="178"/>
      <x:c r="AP299" s="174"/>
      <x:c r="AQ299" s="174"/>
      <x:c r="AR299" s="174"/>
      <x:c r="AS299" s="174"/>
      <x:c r="AT299" s="174"/>
      <x:c r="AU299" s="174"/>
      <x:c r="AV299" s="174"/>
      <x:c r="AW299" s="174"/>
      <x:c r="AX299" s="174"/>
      <x:c r="AY299" s="174"/>
      <x:c r="AZ299" s="174"/>
      <x:c r="BA299" s="174"/>
      <x:c r="BB299" s="174"/>
      <x:c r="BC299" s="174"/>
      <x:c r="BD299" s="174"/>
      <x:c r="BE299" s="174"/>
      <x:c r="BF299" s="174"/>
      <x:c r="BG299" s="174"/>
      <x:c r="BH299" s="174"/>
      <x:c r="BI299" s="174"/>
      <x:c r="BJ299" s="174"/>
      <x:c r="BK299" s="174"/>
      <x:c r="BL299" s="174"/>
      <x:c r="BM299" s="174"/>
      <x:c r="BN299" s="174"/>
      <x:c r="BO299" s="174"/>
      <x:c r="BP299" s="174"/>
      <x:c r="BQ299" s="174"/>
      <x:c r="BR299" s="174"/>
      <x:c r="BS299" s="174"/>
      <x:c r="BT299" s="174"/>
      <x:c r="BU299" s="174"/>
      <x:c r="BV299" s="174"/>
      <x:c r="BW299" s="174"/>
      <x:c r="BX299" s="174"/>
      <x:c r="BY299" s="174"/>
      <x:c r="BZ299" s="174"/>
      <x:c r="CA299" s="174"/>
      <x:c r="CB299" s="174"/>
      <x:c r="CC299" s="174"/>
      <x:c r="CD299" s="174"/>
      <x:c r="CE299" s="174"/>
      <x:c r="CF299" s="174"/>
      <x:c r="CG299" s="174"/>
      <x:c r="CH299" s="174"/>
      <x:c r="CI299" s="179"/>
      <x:c r="CJ299" s="174"/>
      <x:c r="CK299" s="174"/>
      <x:c r="CL299" s="174"/>
      <x:c r="CM299" s="174"/>
      <x:c r="CN299" s="174"/>
      <x:c r="CO299" s="177"/>
      <x:c r="CP299" s="174"/>
      <x:c r="CQ299" s="174"/>
      <x:c r="CR299" s="174"/>
      <x:c r="CS299" s="174"/>
      <x:c r="CT299" s="174"/>
      <x:c r="CU299" s="176"/>
      <x:c r="CV299" s="176"/>
      <x:c r="CW299" s="176"/>
      <x:c r="CX299" s="176"/>
      <x:c r="CY299" s="176"/>
      <x:c r="CZ299" s="176"/>
      <x:c r="DA299" s="176"/>
      <x:c r="DB299" s="175" t="str">
        <x:f>IF(L299="","",IF(COUNT(CU299:DA299)&lt;7,"",SUM(CU299:DA299)))</x:f>
      </x:c>
      <x:c r="DC299" s="180" t="str">
        <x:f>IF(DB299="","",ROUND(DB299/14*10,1))</x:f>
      </x:c>
      <x:c r="DD299" s="174"/>
      <x:c r="DE299" s="175" t="str">
        <x:f>IF(L299="","",IF(DC299="","Pending",IF(DD299="Yes","CONDITIONAL — safety override",IF(DC299&gt;=8,"HIGH",IF(DC299&gt;=5,"CONDITIONAL","LOW")))))</x:f>
      </x:c>
      <x:c r="DF299" s="174"/>
      <x:c r="DG299" s="174"/>
      <x:c r="DH299" s="174"/>
      <x:c r="DI299" s="174"/>
      <x:c r="DJ299" s="174"/>
      <x:c r="DK299" s="174"/>
      <x:c r="DL299" s="174"/>
      <x:c r="DM299" s="174"/>
      <x:c r="DN299" s="174"/>
      <x:c r="DO299" s="174"/>
      <x:c r="DP299" s="174"/>
      <x:c r="DQ299" s="174"/>
      <x:c r="DR299" s="174"/>
      <x:c r="DS299" s="174"/>
      <x:c r="DT299" s="174"/>
      <x:c r="DU299" s="174"/>
      <x:c r="DV299" s="174"/>
      <x:c r="DW299" s="174"/>
      <x:c r="DX299" s="174"/>
      <x:c r="DY299" s="174"/>
      <x:c r="DZ299" s="174"/>
      <x:c r="EA299" s="174"/>
      <x:c r="EB299" s="175" t="str">
        <x:f>IF(L299="","",IF(AND(F299="Claim-ready",CJ299="Yes",CL299="Yes",DZ299&lt;&gt;""),"Yes","No / Pending"))</x:f>
      </x:c>
      <x:c r="EC299" s="174"/>
      <x:c r="ED299" s="174"/>
      <x:c r="EE299" s="174"/>
      <x:c r="EF299" s="174"/>
      <x:c r="EG299" s="174"/>
      <x:c r="EH299" s="177"/>
      <x:c r="EI299" s="174"/>
      <x:c r="EJ299" s="174"/>
      <x:c r="EK299" s="174"/>
      <x:c r="EL299" s="177"/>
      <x:c r="EM299" s="174"/>
      <x:c r="EN299" s="181" t="str">
        <x:f>IF(L299="","",(IF(N299&lt;&gt;"",1,0)+IF(O299&lt;&gt;"",1,0)+IF(AJ299&lt;&gt;"",1,0)+IF(AU299&lt;&gt;"",1,0)+IF(BE299&lt;&gt;"",1,0)+IF(CF299&lt;&gt;"",1,0)+IF(CJ299="Yes",1,0)+IF(CL299="Yes",1,0)+IF(DE299&lt;&gt;"Pending",1,0)+IF(F299&lt;&gt;"",1,0)+IF(DZ299&lt;&gt;"",1,0)+IF(EI299&lt;&gt;"",1,0))/12)</x:f>
      </x:c>
    </x:row>
    <x:row r="300">
      <x:c r="A300" s="175" t="str">
        <x:f>IF(L300="","","EV-"&amp;TEXT(ROW()-3,"0000"))</x:f>
      </x:c>
      <x:c r="B300" s="174"/>
      <x:c r="C300" s="175" t="str">
        <x:f>IF(L300="","",IF(OR(CM300="Retracted",CN300="Retracted",F300="Not used"),"🔴 Do not use for conclusion",IF(OR(R300="Official / Institutional",I300="Official / contextual"),"🔵 Official / contextual",IF(OR(I300="Definition",I300="Framework",I300="Paradigm shift"),"🟣 Conceptual key source",IF(AND(CJ300="Yes",CL300="Yes",OR(CG300="High",CG300="Moderate"),CH300&lt;&gt;"High",CH300&lt;&gt;"Critical",F300="Claim-ready"),"🟢 Claim-ready","🟡 Caution / context")))))</x:f>
      </x:c>
      <x:c r="D300" s="174"/>
      <x:c r="E300" s="174"/>
      <x:c r="F300" s="174"/>
      <x:c r="G300" s="174"/>
      <x:c r="H300" s="174"/>
      <x:c r="I300" s="174"/>
      <x:c r="J300" s="174"/>
      <x:c r="K300" s="174"/>
      <x:c r="L300" s="174"/>
      <x:c r="M300" s="174"/>
      <x:c r="N300" s="174"/>
      <x:c r="O300" s="176"/>
      <x:c r="P300" s="174"/>
      <x:c r="Q300" s="174"/>
      <x:c r="R300" s="174"/>
      <x:c r="S300" s="174"/>
      <x:c r="T300" s="174"/>
      <x:c r="U300" s="174"/>
      <x:c r="V300" s="174"/>
      <x:c r="W300" s="175" t="str">
        <x:f>IF(V300="","",LOWER(SUBSTITUTE(SUBSTITUTE(SUBSTITUTE(SUBSTITUTE(TRIM(V300),"https://doi.org/",""),"http://doi.org/",""),"https://dx.doi.org/",""),"doi:","")))</x:f>
      </x:c>
      <x:c r="X300" s="174"/>
      <x:c r="Y300" s="174"/>
      <x:c r="Z300" s="174"/>
      <x:c r="AA300" s="174"/>
      <x:c r="AB300" s="174"/>
      <x:c r="AC300" s="174"/>
      <x:c r="AD300" s="177"/>
      <x:c r="AE300" s="177"/>
      <x:c r="AF300" s="174"/>
      <x:c r="AG300" s="174"/>
      <x:c r="AH300" s="174"/>
      <x:c r="AI300" s="174"/>
      <x:c r="AJ300" s="174"/>
      <x:c r="AK300" s="175" t="str">
        <x:f>IF(AJ300="","",IF(OR(LOWER(AJ300)="brazil",LOWER(AJ300)="brasil"),"Yes","No"))</x:f>
      </x:c>
      <x:c r="AL300" s="174"/>
      <x:c r="AM300" s="174"/>
      <x:c r="AN300" s="174"/>
      <x:c r="AO300" s="178"/>
      <x:c r="AP300" s="174"/>
      <x:c r="AQ300" s="174"/>
      <x:c r="AR300" s="174"/>
      <x:c r="AS300" s="174"/>
      <x:c r="AT300" s="174"/>
      <x:c r="AU300" s="174"/>
      <x:c r="AV300" s="174"/>
      <x:c r="AW300" s="174"/>
      <x:c r="AX300" s="174"/>
      <x:c r="AY300" s="174"/>
      <x:c r="AZ300" s="174"/>
      <x:c r="BA300" s="174"/>
      <x:c r="BB300" s="174"/>
      <x:c r="BC300" s="174"/>
      <x:c r="BD300" s="174"/>
      <x:c r="BE300" s="174"/>
      <x:c r="BF300" s="174"/>
      <x:c r="BG300" s="174"/>
      <x:c r="BH300" s="174"/>
      <x:c r="BI300" s="174"/>
      <x:c r="BJ300" s="174"/>
      <x:c r="BK300" s="174"/>
      <x:c r="BL300" s="174"/>
      <x:c r="BM300" s="174"/>
      <x:c r="BN300" s="174"/>
      <x:c r="BO300" s="174"/>
      <x:c r="BP300" s="174"/>
      <x:c r="BQ300" s="174"/>
      <x:c r="BR300" s="174"/>
      <x:c r="BS300" s="174"/>
      <x:c r="BT300" s="174"/>
      <x:c r="BU300" s="174"/>
      <x:c r="BV300" s="174"/>
      <x:c r="BW300" s="174"/>
      <x:c r="BX300" s="174"/>
      <x:c r="BY300" s="174"/>
      <x:c r="BZ300" s="174"/>
      <x:c r="CA300" s="174"/>
      <x:c r="CB300" s="174"/>
      <x:c r="CC300" s="174"/>
      <x:c r="CD300" s="174"/>
      <x:c r="CE300" s="174"/>
      <x:c r="CF300" s="174"/>
      <x:c r="CG300" s="174"/>
      <x:c r="CH300" s="174"/>
      <x:c r="CI300" s="179"/>
      <x:c r="CJ300" s="174"/>
      <x:c r="CK300" s="174"/>
      <x:c r="CL300" s="174"/>
      <x:c r="CM300" s="174"/>
      <x:c r="CN300" s="174"/>
      <x:c r="CO300" s="177"/>
      <x:c r="CP300" s="174"/>
      <x:c r="CQ300" s="174"/>
      <x:c r="CR300" s="174"/>
      <x:c r="CS300" s="174"/>
      <x:c r="CT300" s="174"/>
      <x:c r="CU300" s="176"/>
      <x:c r="CV300" s="176"/>
      <x:c r="CW300" s="176"/>
      <x:c r="CX300" s="176"/>
      <x:c r="CY300" s="176"/>
      <x:c r="CZ300" s="176"/>
      <x:c r="DA300" s="176"/>
      <x:c r="DB300" s="175" t="str">
        <x:f>IF(L300="","",IF(COUNT(CU300:DA300)&lt;7,"",SUM(CU300:DA300)))</x:f>
      </x:c>
      <x:c r="DC300" s="180" t="str">
        <x:f>IF(DB300="","",ROUND(DB300/14*10,1))</x:f>
      </x:c>
      <x:c r="DD300" s="174"/>
      <x:c r="DE300" s="175" t="str">
        <x:f>IF(L300="","",IF(DC300="","Pending",IF(DD300="Yes","CONDITIONAL — safety override",IF(DC300&gt;=8,"HIGH",IF(DC300&gt;=5,"CONDITIONAL","LOW")))))</x:f>
      </x:c>
      <x:c r="DF300" s="174"/>
      <x:c r="DG300" s="174"/>
      <x:c r="DH300" s="174"/>
      <x:c r="DI300" s="174"/>
      <x:c r="DJ300" s="174"/>
      <x:c r="DK300" s="174"/>
      <x:c r="DL300" s="174"/>
      <x:c r="DM300" s="174"/>
      <x:c r="DN300" s="174"/>
      <x:c r="DO300" s="174"/>
      <x:c r="DP300" s="174"/>
      <x:c r="DQ300" s="174"/>
      <x:c r="DR300" s="174"/>
      <x:c r="DS300" s="174"/>
      <x:c r="DT300" s="174"/>
      <x:c r="DU300" s="174"/>
      <x:c r="DV300" s="174"/>
      <x:c r="DW300" s="174"/>
      <x:c r="DX300" s="174"/>
      <x:c r="DY300" s="174"/>
      <x:c r="DZ300" s="174"/>
      <x:c r="EA300" s="174"/>
      <x:c r="EB300" s="175" t="str">
        <x:f>IF(L300="","",IF(AND(F300="Claim-ready",CJ300="Yes",CL300="Yes",DZ300&lt;&gt;""),"Yes","No / Pending"))</x:f>
      </x:c>
      <x:c r="EC300" s="174"/>
      <x:c r="ED300" s="174"/>
      <x:c r="EE300" s="174"/>
      <x:c r="EF300" s="174"/>
      <x:c r="EG300" s="174"/>
      <x:c r="EH300" s="177"/>
      <x:c r="EI300" s="174"/>
      <x:c r="EJ300" s="174"/>
      <x:c r="EK300" s="174"/>
      <x:c r="EL300" s="177"/>
      <x:c r="EM300" s="174"/>
      <x:c r="EN300" s="181" t="str">
        <x:f>IF(L300="","",(IF(N300&lt;&gt;"",1,0)+IF(O300&lt;&gt;"",1,0)+IF(AJ300&lt;&gt;"",1,0)+IF(AU300&lt;&gt;"",1,0)+IF(BE300&lt;&gt;"",1,0)+IF(CF300&lt;&gt;"",1,0)+IF(CJ300="Yes",1,0)+IF(CL300="Yes",1,0)+IF(DE300&lt;&gt;"Pending",1,0)+IF(F300&lt;&gt;"",1,0)+IF(DZ300&lt;&gt;"",1,0)+IF(EI300&lt;&gt;"",1,0))/12)</x:f>
      </x:c>
    </x:row>
    <x:row r="301">
      <x:c r="A301" s="175" t="str">
        <x:f>IF(L301="","","EV-"&amp;TEXT(ROW()-3,"0000"))</x:f>
      </x:c>
      <x:c r="B301" s="174"/>
      <x:c r="C301" s="175" t="str">
        <x:f>IF(L301="","",IF(OR(CM301="Retracted",CN301="Retracted",F301="Not used"),"🔴 Do not use for conclusion",IF(OR(R301="Official / Institutional",I301="Official / contextual"),"🔵 Official / contextual",IF(OR(I301="Definition",I301="Framework",I301="Paradigm shift"),"🟣 Conceptual key source",IF(AND(CJ301="Yes",CL301="Yes",OR(CG301="High",CG301="Moderate"),CH301&lt;&gt;"High",CH301&lt;&gt;"Critical",F301="Claim-ready"),"🟢 Claim-ready","🟡 Caution / context")))))</x:f>
      </x:c>
      <x:c r="D301" s="174"/>
      <x:c r="E301" s="174"/>
      <x:c r="F301" s="174"/>
      <x:c r="G301" s="174"/>
      <x:c r="H301" s="174"/>
      <x:c r="I301" s="174"/>
      <x:c r="J301" s="174"/>
      <x:c r="K301" s="174"/>
      <x:c r="L301" s="174"/>
      <x:c r="M301" s="174"/>
      <x:c r="N301" s="174"/>
      <x:c r="O301" s="176"/>
      <x:c r="P301" s="174"/>
      <x:c r="Q301" s="174"/>
      <x:c r="R301" s="174"/>
      <x:c r="S301" s="174"/>
      <x:c r="T301" s="174"/>
      <x:c r="U301" s="174"/>
      <x:c r="V301" s="174"/>
      <x:c r="W301" s="175" t="str">
        <x:f>IF(V301="","",LOWER(SUBSTITUTE(SUBSTITUTE(SUBSTITUTE(SUBSTITUTE(TRIM(V301),"https://doi.org/",""),"http://doi.org/",""),"https://dx.doi.org/",""),"doi:","")))</x:f>
      </x:c>
      <x:c r="X301" s="174"/>
      <x:c r="Y301" s="174"/>
      <x:c r="Z301" s="174"/>
      <x:c r="AA301" s="174"/>
      <x:c r="AB301" s="174"/>
      <x:c r="AC301" s="174"/>
      <x:c r="AD301" s="177"/>
      <x:c r="AE301" s="177"/>
      <x:c r="AF301" s="174"/>
      <x:c r="AG301" s="174"/>
      <x:c r="AH301" s="174"/>
      <x:c r="AI301" s="174"/>
      <x:c r="AJ301" s="174"/>
      <x:c r="AK301" s="175" t="str">
        <x:f>IF(AJ301="","",IF(OR(LOWER(AJ301)="brazil",LOWER(AJ301)="brasil"),"Yes","No"))</x:f>
      </x:c>
      <x:c r="AL301" s="174"/>
      <x:c r="AM301" s="174"/>
      <x:c r="AN301" s="174"/>
      <x:c r="AO301" s="178"/>
      <x:c r="AP301" s="174"/>
      <x:c r="AQ301" s="174"/>
      <x:c r="AR301" s="174"/>
      <x:c r="AS301" s="174"/>
      <x:c r="AT301" s="174"/>
      <x:c r="AU301" s="174"/>
      <x:c r="AV301" s="174"/>
      <x:c r="AW301" s="174"/>
      <x:c r="AX301" s="174"/>
      <x:c r="AY301" s="174"/>
      <x:c r="AZ301" s="174"/>
      <x:c r="BA301" s="174"/>
      <x:c r="BB301" s="174"/>
      <x:c r="BC301" s="174"/>
      <x:c r="BD301" s="174"/>
      <x:c r="BE301" s="174"/>
      <x:c r="BF301" s="174"/>
      <x:c r="BG301" s="174"/>
      <x:c r="BH301" s="174"/>
      <x:c r="BI301" s="174"/>
      <x:c r="BJ301" s="174"/>
      <x:c r="BK301" s="174"/>
      <x:c r="BL301" s="174"/>
      <x:c r="BM301" s="174"/>
      <x:c r="BN301" s="174"/>
      <x:c r="BO301" s="174"/>
      <x:c r="BP301" s="174"/>
      <x:c r="BQ301" s="174"/>
      <x:c r="BR301" s="174"/>
      <x:c r="BS301" s="174"/>
      <x:c r="BT301" s="174"/>
      <x:c r="BU301" s="174"/>
      <x:c r="BV301" s="174"/>
      <x:c r="BW301" s="174"/>
      <x:c r="BX301" s="174"/>
      <x:c r="BY301" s="174"/>
      <x:c r="BZ301" s="174"/>
      <x:c r="CA301" s="174"/>
      <x:c r="CB301" s="174"/>
      <x:c r="CC301" s="174"/>
      <x:c r="CD301" s="174"/>
      <x:c r="CE301" s="174"/>
      <x:c r="CF301" s="174"/>
      <x:c r="CG301" s="174"/>
      <x:c r="CH301" s="174"/>
      <x:c r="CI301" s="179"/>
      <x:c r="CJ301" s="174"/>
      <x:c r="CK301" s="174"/>
      <x:c r="CL301" s="174"/>
      <x:c r="CM301" s="174"/>
      <x:c r="CN301" s="174"/>
      <x:c r="CO301" s="177"/>
      <x:c r="CP301" s="174"/>
      <x:c r="CQ301" s="174"/>
      <x:c r="CR301" s="174"/>
      <x:c r="CS301" s="174"/>
      <x:c r="CT301" s="174"/>
      <x:c r="CU301" s="176"/>
      <x:c r="CV301" s="176"/>
      <x:c r="CW301" s="176"/>
      <x:c r="CX301" s="176"/>
      <x:c r="CY301" s="176"/>
      <x:c r="CZ301" s="176"/>
      <x:c r="DA301" s="176"/>
      <x:c r="DB301" s="175" t="str">
        <x:f>IF(L301="","",IF(COUNT(CU301:DA301)&lt;7,"",SUM(CU301:DA301)))</x:f>
      </x:c>
      <x:c r="DC301" s="180" t="str">
        <x:f>IF(DB301="","",ROUND(DB301/14*10,1))</x:f>
      </x:c>
      <x:c r="DD301" s="174"/>
      <x:c r="DE301" s="175" t="str">
        <x:f>IF(L301="","",IF(DC301="","Pending",IF(DD301="Yes","CONDITIONAL — safety override",IF(DC301&gt;=8,"HIGH",IF(DC301&gt;=5,"CONDITIONAL","LOW")))))</x:f>
      </x:c>
      <x:c r="DF301" s="174"/>
      <x:c r="DG301" s="174"/>
      <x:c r="DH301" s="174"/>
      <x:c r="DI301" s="174"/>
      <x:c r="DJ301" s="174"/>
      <x:c r="DK301" s="174"/>
      <x:c r="DL301" s="174"/>
      <x:c r="DM301" s="174"/>
      <x:c r="DN301" s="174"/>
      <x:c r="DO301" s="174"/>
      <x:c r="DP301" s="174"/>
      <x:c r="DQ301" s="174"/>
      <x:c r="DR301" s="174"/>
      <x:c r="DS301" s="174"/>
      <x:c r="DT301" s="174"/>
      <x:c r="DU301" s="174"/>
      <x:c r="DV301" s="174"/>
      <x:c r="DW301" s="174"/>
      <x:c r="DX301" s="174"/>
      <x:c r="DY301" s="174"/>
      <x:c r="DZ301" s="174"/>
      <x:c r="EA301" s="174"/>
      <x:c r="EB301" s="175" t="str">
        <x:f>IF(L301="","",IF(AND(F301="Claim-ready",CJ301="Yes",CL301="Yes",DZ301&lt;&gt;""),"Yes","No / Pending"))</x:f>
      </x:c>
      <x:c r="EC301" s="174"/>
      <x:c r="ED301" s="174"/>
      <x:c r="EE301" s="174"/>
      <x:c r="EF301" s="174"/>
      <x:c r="EG301" s="174"/>
      <x:c r="EH301" s="177"/>
      <x:c r="EI301" s="174"/>
      <x:c r="EJ301" s="174"/>
      <x:c r="EK301" s="174"/>
      <x:c r="EL301" s="177"/>
      <x:c r="EM301" s="174"/>
      <x:c r="EN301" s="181" t="str">
        <x:f>IF(L301="","",(IF(N301&lt;&gt;"",1,0)+IF(O301&lt;&gt;"",1,0)+IF(AJ301&lt;&gt;"",1,0)+IF(AU301&lt;&gt;"",1,0)+IF(BE301&lt;&gt;"",1,0)+IF(CF301&lt;&gt;"",1,0)+IF(CJ301="Yes",1,0)+IF(CL301="Yes",1,0)+IF(DE301&lt;&gt;"Pending",1,0)+IF(F301&lt;&gt;"",1,0)+IF(DZ301&lt;&gt;"",1,0)+IF(EI301&lt;&gt;"",1,0))/12)</x:f>
      </x:c>
    </x:row>
    <x:row r="302">
      <x:c r="A302" s="175" t="str">
        <x:f>IF(L302="","","EV-"&amp;TEXT(ROW()-3,"0000"))</x:f>
      </x:c>
      <x:c r="B302" s="174"/>
      <x:c r="C302" s="175" t="str">
        <x:f>IF(L302="","",IF(OR(CM302="Retracted",CN302="Retracted",F302="Not used"),"🔴 Do not use for conclusion",IF(OR(R302="Official / Institutional",I302="Official / contextual"),"🔵 Official / contextual",IF(OR(I302="Definition",I302="Framework",I302="Paradigm shift"),"🟣 Conceptual key source",IF(AND(CJ302="Yes",CL302="Yes",OR(CG302="High",CG302="Moderate"),CH302&lt;&gt;"High",CH302&lt;&gt;"Critical",F302="Claim-ready"),"🟢 Claim-ready","🟡 Caution / context")))))</x:f>
      </x:c>
      <x:c r="D302" s="174"/>
      <x:c r="E302" s="174"/>
      <x:c r="F302" s="174"/>
      <x:c r="G302" s="174"/>
      <x:c r="H302" s="174"/>
      <x:c r="I302" s="174"/>
      <x:c r="J302" s="174"/>
      <x:c r="K302" s="174"/>
      <x:c r="L302" s="174"/>
      <x:c r="M302" s="174"/>
      <x:c r="N302" s="174"/>
      <x:c r="O302" s="176"/>
      <x:c r="P302" s="174"/>
      <x:c r="Q302" s="174"/>
      <x:c r="R302" s="174"/>
      <x:c r="S302" s="174"/>
      <x:c r="T302" s="174"/>
      <x:c r="U302" s="174"/>
      <x:c r="V302" s="174"/>
      <x:c r="W302" s="175" t="str">
        <x:f>IF(V302="","",LOWER(SUBSTITUTE(SUBSTITUTE(SUBSTITUTE(SUBSTITUTE(TRIM(V302),"https://doi.org/",""),"http://doi.org/",""),"https://dx.doi.org/",""),"doi:","")))</x:f>
      </x:c>
      <x:c r="X302" s="174"/>
      <x:c r="Y302" s="174"/>
      <x:c r="Z302" s="174"/>
      <x:c r="AA302" s="174"/>
      <x:c r="AB302" s="174"/>
      <x:c r="AC302" s="174"/>
      <x:c r="AD302" s="177"/>
      <x:c r="AE302" s="177"/>
      <x:c r="AF302" s="174"/>
      <x:c r="AG302" s="174"/>
      <x:c r="AH302" s="174"/>
      <x:c r="AI302" s="174"/>
      <x:c r="AJ302" s="174"/>
      <x:c r="AK302" s="175" t="str">
        <x:f>IF(AJ302="","",IF(OR(LOWER(AJ302)="brazil",LOWER(AJ302)="brasil"),"Yes","No"))</x:f>
      </x:c>
      <x:c r="AL302" s="174"/>
      <x:c r="AM302" s="174"/>
      <x:c r="AN302" s="174"/>
      <x:c r="AO302" s="178"/>
      <x:c r="AP302" s="174"/>
      <x:c r="AQ302" s="174"/>
      <x:c r="AR302" s="174"/>
      <x:c r="AS302" s="174"/>
      <x:c r="AT302" s="174"/>
      <x:c r="AU302" s="174"/>
      <x:c r="AV302" s="174"/>
      <x:c r="AW302" s="174"/>
      <x:c r="AX302" s="174"/>
      <x:c r="AY302" s="174"/>
      <x:c r="AZ302" s="174"/>
      <x:c r="BA302" s="174"/>
      <x:c r="BB302" s="174"/>
      <x:c r="BC302" s="174"/>
      <x:c r="BD302" s="174"/>
      <x:c r="BE302" s="174"/>
      <x:c r="BF302" s="174"/>
      <x:c r="BG302" s="174"/>
      <x:c r="BH302" s="174"/>
      <x:c r="BI302" s="174"/>
      <x:c r="BJ302" s="174"/>
      <x:c r="BK302" s="174"/>
      <x:c r="BL302" s="174"/>
      <x:c r="BM302" s="174"/>
      <x:c r="BN302" s="174"/>
      <x:c r="BO302" s="174"/>
      <x:c r="BP302" s="174"/>
      <x:c r="BQ302" s="174"/>
      <x:c r="BR302" s="174"/>
      <x:c r="BS302" s="174"/>
      <x:c r="BT302" s="174"/>
      <x:c r="BU302" s="174"/>
      <x:c r="BV302" s="174"/>
      <x:c r="BW302" s="174"/>
      <x:c r="BX302" s="174"/>
      <x:c r="BY302" s="174"/>
      <x:c r="BZ302" s="174"/>
      <x:c r="CA302" s="174"/>
      <x:c r="CB302" s="174"/>
      <x:c r="CC302" s="174"/>
      <x:c r="CD302" s="174"/>
      <x:c r="CE302" s="174"/>
      <x:c r="CF302" s="174"/>
      <x:c r="CG302" s="174"/>
      <x:c r="CH302" s="174"/>
      <x:c r="CI302" s="179"/>
      <x:c r="CJ302" s="174"/>
      <x:c r="CK302" s="174"/>
      <x:c r="CL302" s="174"/>
      <x:c r="CM302" s="174"/>
      <x:c r="CN302" s="174"/>
      <x:c r="CO302" s="177"/>
      <x:c r="CP302" s="174"/>
      <x:c r="CQ302" s="174"/>
      <x:c r="CR302" s="174"/>
      <x:c r="CS302" s="174"/>
      <x:c r="CT302" s="174"/>
      <x:c r="CU302" s="176"/>
      <x:c r="CV302" s="176"/>
      <x:c r="CW302" s="176"/>
      <x:c r="CX302" s="176"/>
      <x:c r="CY302" s="176"/>
      <x:c r="CZ302" s="176"/>
      <x:c r="DA302" s="176"/>
      <x:c r="DB302" s="175" t="str">
        <x:f>IF(L302="","",IF(COUNT(CU302:DA302)&lt;7,"",SUM(CU302:DA302)))</x:f>
      </x:c>
      <x:c r="DC302" s="180" t="str">
        <x:f>IF(DB302="","",ROUND(DB302/14*10,1))</x:f>
      </x:c>
      <x:c r="DD302" s="174"/>
      <x:c r="DE302" s="175" t="str">
        <x:f>IF(L302="","",IF(DC302="","Pending",IF(DD302="Yes","CONDITIONAL — safety override",IF(DC302&gt;=8,"HIGH",IF(DC302&gt;=5,"CONDITIONAL","LOW")))))</x:f>
      </x:c>
      <x:c r="DF302" s="174"/>
      <x:c r="DG302" s="174"/>
      <x:c r="DH302" s="174"/>
      <x:c r="DI302" s="174"/>
      <x:c r="DJ302" s="174"/>
      <x:c r="DK302" s="174"/>
      <x:c r="DL302" s="174"/>
      <x:c r="DM302" s="174"/>
      <x:c r="DN302" s="174"/>
      <x:c r="DO302" s="174"/>
      <x:c r="DP302" s="174"/>
      <x:c r="DQ302" s="174"/>
      <x:c r="DR302" s="174"/>
      <x:c r="DS302" s="174"/>
      <x:c r="DT302" s="174"/>
      <x:c r="DU302" s="174"/>
      <x:c r="DV302" s="174"/>
      <x:c r="DW302" s="174"/>
      <x:c r="DX302" s="174"/>
      <x:c r="DY302" s="174"/>
      <x:c r="DZ302" s="174"/>
      <x:c r="EA302" s="174"/>
      <x:c r="EB302" s="175" t="str">
        <x:f>IF(L302="","",IF(AND(F302="Claim-ready",CJ302="Yes",CL302="Yes",DZ302&lt;&gt;""),"Yes","No / Pending"))</x:f>
      </x:c>
      <x:c r="EC302" s="174"/>
      <x:c r="ED302" s="174"/>
      <x:c r="EE302" s="174"/>
      <x:c r="EF302" s="174"/>
      <x:c r="EG302" s="174"/>
      <x:c r="EH302" s="177"/>
      <x:c r="EI302" s="174"/>
      <x:c r="EJ302" s="174"/>
      <x:c r="EK302" s="174"/>
      <x:c r="EL302" s="177"/>
      <x:c r="EM302" s="174"/>
      <x:c r="EN302" s="181" t="str">
        <x:f>IF(L302="","",(IF(N302&lt;&gt;"",1,0)+IF(O302&lt;&gt;"",1,0)+IF(AJ302&lt;&gt;"",1,0)+IF(AU302&lt;&gt;"",1,0)+IF(BE302&lt;&gt;"",1,0)+IF(CF302&lt;&gt;"",1,0)+IF(CJ302="Yes",1,0)+IF(CL302="Yes",1,0)+IF(DE302&lt;&gt;"Pending",1,0)+IF(F302&lt;&gt;"",1,0)+IF(DZ302&lt;&gt;"",1,0)+IF(EI302&lt;&gt;"",1,0))/12)</x:f>
      </x:c>
    </x:row>
    <x:row r="303">
      <x:c r="A303" s="175" t="str">
        <x:f>IF(L303="","","EV-"&amp;TEXT(ROW()-3,"0000"))</x:f>
      </x:c>
      <x:c r="B303" s="174"/>
      <x:c r="C303" s="175" t="str">
        <x:f>IF(L303="","",IF(OR(CM303="Retracted",CN303="Retracted",F303="Not used"),"🔴 Do not use for conclusion",IF(OR(R303="Official / Institutional",I303="Official / contextual"),"🔵 Official / contextual",IF(OR(I303="Definition",I303="Framework",I303="Paradigm shift"),"🟣 Conceptual key source",IF(AND(CJ303="Yes",CL303="Yes",OR(CG303="High",CG303="Moderate"),CH303&lt;&gt;"High",CH303&lt;&gt;"Critical",F303="Claim-ready"),"🟢 Claim-ready","🟡 Caution / context")))))</x:f>
      </x:c>
      <x:c r="D303" s="174"/>
      <x:c r="E303" s="174"/>
      <x:c r="F303" s="174"/>
      <x:c r="G303" s="174"/>
      <x:c r="H303" s="174"/>
      <x:c r="I303" s="174"/>
      <x:c r="J303" s="174"/>
      <x:c r="K303" s="174"/>
      <x:c r="L303" s="174"/>
      <x:c r="M303" s="174"/>
      <x:c r="N303" s="174"/>
      <x:c r="O303" s="176"/>
      <x:c r="P303" s="174"/>
      <x:c r="Q303" s="174"/>
      <x:c r="R303" s="174"/>
      <x:c r="S303" s="174"/>
      <x:c r="T303" s="174"/>
      <x:c r="U303" s="174"/>
      <x:c r="V303" s="174"/>
      <x:c r="W303" s="175" t="str">
        <x:f>IF(V303="","",LOWER(SUBSTITUTE(SUBSTITUTE(SUBSTITUTE(SUBSTITUTE(TRIM(V303),"https://doi.org/",""),"http://doi.org/",""),"https://dx.doi.org/",""),"doi:","")))</x:f>
      </x:c>
      <x:c r="X303" s="174"/>
      <x:c r="Y303" s="174"/>
      <x:c r="Z303" s="174"/>
      <x:c r="AA303" s="174"/>
      <x:c r="AB303" s="174"/>
      <x:c r="AC303" s="174"/>
      <x:c r="AD303" s="177"/>
      <x:c r="AE303" s="177"/>
      <x:c r="AF303" s="174"/>
      <x:c r="AG303" s="174"/>
      <x:c r="AH303" s="174"/>
      <x:c r="AI303" s="174"/>
      <x:c r="AJ303" s="174"/>
      <x:c r="AK303" s="175" t="str">
        <x:f>IF(AJ303="","",IF(OR(LOWER(AJ303)="brazil",LOWER(AJ303)="brasil"),"Yes","No"))</x:f>
      </x:c>
      <x:c r="AL303" s="174"/>
      <x:c r="AM303" s="174"/>
      <x:c r="AN303" s="174"/>
      <x:c r="AO303" s="178"/>
      <x:c r="AP303" s="174"/>
      <x:c r="AQ303" s="174"/>
      <x:c r="AR303" s="174"/>
      <x:c r="AS303" s="174"/>
      <x:c r="AT303" s="174"/>
      <x:c r="AU303" s="174"/>
      <x:c r="AV303" s="174"/>
      <x:c r="AW303" s="174"/>
      <x:c r="AX303" s="174"/>
      <x:c r="AY303" s="174"/>
      <x:c r="AZ303" s="174"/>
      <x:c r="BA303" s="174"/>
      <x:c r="BB303" s="174"/>
      <x:c r="BC303" s="174"/>
      <x:c r="BD303" s="174"/>
      <x:c r="BE303" s="174"/>
      <x:c r="BF303" s="174"/>
      <x:c r="BG303" s="174"/>
      <x:c r="BH303" s="174"/>
      <x:c r="BI303" s="174"/>
      <x:c r="BJ303" s="174"/>
      <x:c r="BK303" s="174"/>
      <x:c r="BL303" s="174"/>
      <x:c r="BM303" s="174"/>
      <x:c r="BN303" s="174"/>
      <x:c r="BO303" s="174"/>
      <x:c r="BP303" s="174"/>
      <x:c r="BQ303" s="174"/>
      <x:c r="BR303" s="174"/>
      <x:c r="BS303" s="174"/>
      <x:c r="BT303" s="174"/>
      <x:c r="BU303" s="174"/>
      <x:c r="BV303" s="174"/>
      <x:c r="BW303" s="174"/>
      <x:c r="BX303" s="174"/>
      <x:c r="BY303" s="174"/>
      <x:c r="BZ303" s="174"/>
      <x:c r="CA303" s="174"/>
      <x:c r="CB303" s="174"/>
      <x:c r="CC303" s="174"/>
      <x:c r="CD303" s="174"/>
      <x:c r="CE303" s="174"/>
      <x:c r="CF303" s="174"/>
      <x:c r="CG303" s="174"/>
      <x:c r="CH303" s="174"/>
      <x:c r="CI303" s="179"/>
      <x:c r="CJ303" s="174"/>
      <x:c r="CK303" s="174"/>
      <x:c r="CL303" s="174"/>
      <x:c r="CM303" s="174"/>
      <x:c r="CN303" s="174"/>
      <x:c r="CO303" s="177"/>
      <x:c r="CP303" s="174"/>
      <x:c r="CQ303" s="174"/>
      <x:c r="CR303" s="174"/>
      <x:c r="CS303" s="174"/>
      <x:c r="CT303" s="174"/>
      <x:c r="CU303" s="176"/>
      <x:c r="CV303" s="176"/>
      <x:c r="CW303" s="176"/>
      <x:c r="CX303" s="176"/>
      <x:c r="CY303" s="176"/>
      <x:c r="CZ303" s="176"/>
      <x:c r="DA303" s="176"/>
      <x:c r="DB303" s="175" t="str">
        <x:f>IF(L303="","",IF(COUNT(CU303:DA303)&lt;7,"",SUM(CU303:DA303)))</x:f>
      </x:c>
      <x:c r="DC303" s="180" t="str">
        <x:f>IF(DB303="","",ROUND(DB303/14*10,1))</x:f>
      </x:c>
      <x:c r="DD303" s="174"/>
      <x:c r="DE303" s="175" t="str">
        <x:f>IF(L303="","",IF(DC303="","Pending",IF(DD303="Yes","CONDITIONAL — safety override",IF(DC303&gt;=8,"HIGH",IF(DC303&gt;=5,"CONDITIONAL","LOW")))))</x:f>
      </x:c>
      <x:c r="DF303" s="174"/>
      <x:c r="DG303" s="174"/>
      <x:c r="DH303" s="174"/>
      <x:c r="DI303" s="174"/>
      <x:c r="DJ303" s="174"/>
      <x:c r="DK303" s="174"/>
      <x:c r="DL303" s="174"/>
      <x:c r="DM303" s="174"/>
      <x:c r="DN303" s="174"/>
      <x:c r="DO303" s="174"/>
      <x:c r="DP303" s="174"/>
      <x:c r="DQ303" s="174"/>
      <x:c r="DR303" s="174"/>
      <x:c r="DS303" s="174"/>
      <x:c r="DT303" s="174"/>
      <x:c r="DU303" s="174"/>
      <x:c r="DV303" s="174"/>
      <x:c r="DW303" s="174"/>
      <x:c r="DX303" s="174"/>
      <x:c r="DY303" s="174"/>
      <x:c r="DZ303" s="174"/>
      <x:c r="EA303" s="174"/>
      <x:c r="EB303" s="175" t="str">
        <x:f>IF(L303="","",IF(AND(F303="Claim-ready",CJ303="Yes",CL303="Yes",DZ303&lt;&gt;""),"Yes","No / Pending"))</x:f>
      </x:c>
      <x:c r="EC303" s="174"/>
      <x:c r="ED303" s="174"/>
      <x:c r="EE303" s="174"/>
      <x:c r="EF303" s="174"/>
      <x:c r="EG303" s="174"/>
      <x:c r="EH303" s="177"/>
      <x:c r="EI303" s="174"/>
      <x:c r="EJ303" s="174"/>
      <x:c r="EK303" s="174"/>
      <x:c r="EL303" s="177"/>
      <x:c r="EM303" s="174"/>
      <x:c r="EN303" s="181" t="str">
        <x:f>IF(L303="","",(IF(N303&lt;&gt;"",1,0)+IF(O303&lt;&gt;"",1,0)+IF(AJ303&lt;&gt;"",1,0)+IF(AU303&lt;&gt;"",1,0)+IF(BE303&lt;&gt;"",1,0)+IF(CF303&lt;&gt;"",1,0)+IF(CJ303="Yes",1,0)+IF(CL303="Yes",1,0)+IF(DE303&lt;&gt;"Pending",1,0)+IF(F303&lt;&gt;"",1,0)+IF(DZ303&lt;&gt;"",1,0)+IF(EI303&lt;&gt;"",1,0))/12)</x:f>
      </x:c>
    </x:row>
    <x:row r="304">
      <x:c r="A304" s="175" t="str">
        <x:f>IF(L304="","","EV-"&amp;TEXT(ROW()-3,"0000"))</x:f>
      </x:c>
      <x:c r="B304" s="174"/>
      <x:c r="C304" s="175" t="str">
        <x:f>IF(L304="","",IF(OR(CM304="Retracted",CN304="Retracted",F304="Not used"),"🔴 Do not use for conclusion",IF(OR(R304="Official / Institutional",I304="Official / contextual"),"🔵 Official / contextual",IF(OR(I304="Definition",I304="Framework",I304="Paradigm shift"),"🟣 Conceptual key source",IF(AND(CJ304="Yes",CL304="Yes",OR(CG304="High",CG304="Moderate"),CH304&lt;&gt;"High",CH304&lt;&gt;"Critical",F304="Claim-ready"),"🟢 Claim-ready","🟡 Caution / context")))))</x:f>
      </x:c>
      <x:c r="D304" s="174"/>
      <x:c r="E304" s="174"/>
      <x:c r="F304" s="174"/>
      <x:c r="G304" s="174"/>
      <x:c r="H304" s="174"/>
      <x:c r="I304" s="174"/>
      <x:c r="J304" s="174"/>
      <x:c r="K304" s="174"/>
      <x:c r="L304" s="174"/>
      <x:c r="M304" s="174"/>
      <x:c r="N304" s="174"/>
      <x:c r="O304" s="176"/>
      <x:c r="P304" s="174"/>
      <x:c r="Q304" s="174"/>
      <x:c r="R304" s="174"/>
      <x:c r="S304" s="174"/>
      <x:c r="T304" s="174"/>
      <x:c r="U304" s="174"/>
      <x:c r="V304" s="174"/>
      <x:c r="W304" s="175" t="str">
        <x:f>IF(V304="","",LOWER(SUBSTITUTE(SUBSTITUTE(SUBSTITUTE(SUBSTITUTE(TRIM(V304),"https://doi.org/",""),"http://doi.org/",""),"https://dx.doi.org/",""),"doi:","")))</x:f>
      </x:c>
      <x:c r="X304" s="174"/>
      <x:c r="Y304" s="174"/>
      <x:c r="Z304" s="174"/>
      <x:c r="AA304" s="174"/>
      <x:c r="AB304" s="174"/>
      <x:c r="AC304" s="174"/>
      <x:c r="AD304" s="177"/>
      <x:c r="AE304" s="177"/>
      <x:c r="AF304" s="174"/>
      <x:c r="AG304" s="174"/>
      <x:c r="AH304" s="174"/>
      <x:c r="AI304" s="174"/>
      <x:c r="AJ304" s="174"/>
      <x:c r="AK304" s="175" t="str">
        <x:f>IF(AJ304="","",IF(OR(LOWER(AJ304)="brazil",LOWER(AJ304)="brasil"),"Yes","No"))</x:f>
      </x:c>
      <x:c r="AL304" s="174"/>
      <x:c r="AM304" s="174"/>
      <x:c r="AN304" s="174"/>
      <x:c r="AO304" s="178"/>
      <x:c r="AP304" s="174"/>
      <x:c r="AQ304" s="174"/>
      <x:c r="AR304" s="174"/>
      <x:c r="AS304" s="174"/>
      <x:c r="AT304" s="174"/>
      <x:c r="AU304" s="174"/>
      <x:c r="AV304" s="174"/>
      <x:c r="AW304" s="174"/>
      <x:c r="AX304" s="174"/>
      <x:c r="AY304" s="174"/>
      <x:c r="AZ304" s="174"/>
      <x:c r="BA304" s="174"/>
      <x:c r="BB304" s="174"/>
      <x:c r="BC304" s="174"/>
      <x:c r="BD304" s="174"/>
      <x:c r="BE304" s="174"/>
      <x:c r="BF304" s="174"/>
      <x:c r="BG304" s="174"/>
      <x:c r="BH304" s="174"/>
      <x:c r="BI304" s="174"/>
      <x:c r="BJ304" s="174"/>
      <x:c r="BK304" s="174"/>
      <x:c r="BL304" s="174"/>
      <x:c r="BM304" s="174"/>
      <x:c r="BN304" s="174"/>
      <x:c r="BO304" s="174"/>
      <x:c r="BP304" s="174"/>
      <x:c r="BQ304" s="174"/>
      <x:c r="BR304" s="174"/>
      <x:c r="BS304" s="174"/>
      <x:c r="BT304" s="174"/>
      <x:c r="BU304" s="174"/>
      <x:c r="BV304" s="174"/>
      <x:c r="BW304" s="174"/>
      <x:c r="BX304" s="174"/>
      <x:c r="BY304" s="174"/>
      <x:c r="BZ304" s="174"/>
      <x:c r="CA304" s="174"/>
      <x:c r="CB304" s="174"/>
      <x:c r="CC304" s="174"/>
      <x:c r="CD304" s="174"/>
      <x:c r="CE304" s="174"/>
      <x:c r="CF304" s="174"/>
      <x:c r="CG304" s="174"/>
      <x:c r="CH304" s="174"/>
      <x:c r="CI304" s="179"/>
      <x:c r="CJ304" s="174"/>
      <x:c r="CK304" s="174"/>
      <x:c r="CL304" s="174"/>
      <x:c r="CM304" s="174"/>
      <x:c r="CN304" s="174"/>
      <x:c r="CO304" s="177"/>
      <x:c r="CP304" s="174"/>
      <x:c r="CQ304" s="174"/>
      <x:c r="CR304" s="174"/>
      <x:c r="CS304" s="174"/>
      <x:c r="CT304" s="174"/>
      <x:c r="CU304" s="176"/>
      <x:c r="CV304" s="176"/>
      <x:c r="CW304" s="176"/>
      <x:c r="CX304" s="176"/>
      <x:c r="CY304" s="176"/>
      <x:c r="CZ304" s="176"/>
      <x:c r="DA304" s="176"/>
      <x:c r="DB304" s="175" t="str">
        <x:f>IF(L304="","",IF(COUNT(CU304:DA304)&lt;7,"",SUM(CU304:DA304)))</x:f>
      </x:c>
      <x:c r="DC304" s="180" t="str">
        <x:f>IF(DB304="","",ROUND(DB304/14*10,1))</x:f>
      </x:c>
      <x:c r="DD304" s="174"/>
      <x:c r="DE304" s="175" t="str">
        <x:f>IF(L304="","",IF(DC304="","Pending",IF(DD304="Yes","CONDITIONAL — safety override",IF(DC304&gt;=8,"HIGH",IF(DC304&gt;=5,"CONDITIONAL","LOW")))))</x:f>
      </x:c>
      <x:c r="DF304" s="174"/>
      <x:c r="DG304" s="174"/>
      <x:c r="DH304" s="174"/>
      <x:c r="DI304" s="174"/>
      <x:c r="DJ304" s="174"/>
      <x:c r="DK304" s="174"/>
      <x:c r="DL304" s="174"/>
      <x:c r="DM304" s="174"/>
      <x:c r="DN304" s="174"/>
      <x:c r="DO304" s="174"/>
      <x:c r="DP304" s="174"/>
      <x:c r="DQ304" s="174"/>
      <x:c r="DR304" s="174"/>
      <x:c r="DS304" s="174"/>
      <x:c r="DT304" s="174"/>
      <x:c r="DU304" s="174"/>
      <x:c r="DV304" s="174"/>
      <x:c r="DW304" s="174"/>
      <x:c r="DX304" s="174"/>
      <x:c r="DY304" s="174"/>
      <x:c r="DZ304" s="174"/>
      <x:c r="EA304" s="174"/>
      <x:c r="EB304" s="175" t="str">
        <x:f>IF(L304="","",IF(AND(F304="Claim-ready",CJ304="Yes",CL304="Yes",DZ304&lt;&gt;""),"Yes","No / Pending"))</x:f>
      </x:c>
      <x:c r="EC304" s="174"/>
      <x:c r="ED304" s="174"/>
      <x:c r="EE304" s="174"/>
      <x:c r="EF304" s="174"/>
      <x:c r="EG304" s="174"/>
      <x:c r="EH304" s="177"/>
      <x:c r="EI304" s="174"/>
      <x:c r="EJ304" s="174"/>
      <x:c r="EK304" s="174"/>
      <x:c r="EL304" s="177"/>
      <x:c r="EM304" s="174"/>
      <x:c r="EN304" s="181" t="str">
        <x:f>IF(L304="","",(IF(N304&lt;&gt;"",1,0)+IF(O304&lt;&gt;"",1,0)+IF(AJ304&lt;&gt;"",1,0)+IF(AU304&lt;&gt;"",1,0)+IF(BE304&lt;&gt;"",1,0)+IF(CF304&lt;&gt;"",1,0)+IF(CJ304="Yes",1,0)+IF(CL304="Yes",1,0)+IF(DE304&lt;&gt;"Pending",1,0)+IF(F304&lt;&gt;"",1,0)+IF(DZ304&lt;&gt;"",1,0)+IF(EI304&lt;&gt;"",1,0))/12)</x:f>
      </x:c>
    </x:row>
    <x:row r="305">
      <x:c r="A305" s="175" t="str">
        <x:f>IF(L305="","","EV-"&amp;TEXT(ROW()-3,"0000"))</x:f>
      </x:c>
      <x:c r="B305" s="174"/>
      <x:c r="C305" s="175" t="str">
        <x:f>IF(L305="","",IF(OR(CM305="Retracted",CN305="Retracted",F305="Not used"),"🔴 Do not use for conclusion",IF(OR(R305="Official / Institutional",I305="Official / contextual"),"🔵 Official / contextual",IF(OR(I305="Definition",I305="Framework",I305="Paradigm shift"),"🟣 Conceptual key source",IF(AND(CJ305="Yes",CL305="Yes",OR(CG305="High",CG305="Moderate"),CH305&lt;&gt;"High",CH305&lt;&gt;"Critical",F305="Claim-ready"),"🟢 Claim-ready","🟡 Caution / context")))))</x:f>
      </x:c>
      <x:c r="D305" s="174"/>
      <x:c r="E305" s="174"/>
      <x:c r="F305" s="174"/>
      <x:c r="G305" s="174"/>
      <x:c r="H305" s="174"/>
      <x:c r="I305" s="174"/>
      <x:c r="J305" s="174"/>
      <x:c r="K305" s="174"/>
      <x:c r="L305" s="174"/>
      <x:c r="M305" s="174"/>
      <x:c r="N305" s="174"/>
      <x:c r="O305" s="176"/>
      <x:c r="P305" s="174"/>
      <x:c r="Q305" s="174"/>
      <x:c r="R305" s="174"/>
      <x:c r="S305" s="174"/>
      <x:c r="T305" s="174"/>
      <x:c r="U305" s="174"/>
      <x:c r="V305" s="174"/>
      <x:c r="W305" s="175" t="str">
        <x:f>IF(V305="","",LOWER(SUBSTITUTE(SUBSTITUTE(SUBSTITUTE(SUBSTITUTE(TRIM(V305),"https://doi.org/",""),"http://doi.org/",""),"https://dx.doi.org/",""),"doi:","")))</x:f>
      </x:c>
      <x:c r="X305" s="174"/>
      <x:c r="Y305" s="174"/>
      <x:c r="Z305" s="174"/>
      <x:c r="AA305" s="174"/>
      <x:c r="AB305" s="174"/>
      <x:c r="AC305" s="174"/>
      <x:c r="AD305" s="177"/>
      <x:c r="AE305" s="177"/>
      <x:c r="AF305" s="174"/>
      <x:c r="AG305" s="174"/>
      <x:c r="AH305" s="174"/>
      <x:c r="AI305" s="174"/>
      <x:c r="AJ305" s="174"/>
      <x:c r="AK305" s="175" t="str">
        <x:f>IF(AJ305="","",IF(OR(LOWER(AJ305)="brazil",LOWER(AJ305)="brasil"),"Yes","No"))</x:f>
      </x:c>
      <x:c r="AL305" s="174"/>
      <x:c r="AM305" s="174"/>
      <x:c r="AN305" s="174"/>
      <x:c r="AO305" s="178"/>
      <x:c r="AP305" s="174"/>
      <x:c r="AQ305" s="174"/>
      <x:c r="AR305" s="174"/>
      <x:c r="AS305" s="174"/>
      <x:c r="AT305" s="174"/>
      <x:c r="AU305" s="174"/>
      <x:c r="AV305" s="174"/>
      <x:c r="AW305" s="174"/>
      <x:c r="AX305" s="174"/>
      <x:c r="AY305" s="174"/>
      <x:c r="AZ305" s="174"/>
      <x:c r="BA305" s="174"/>
      <x:c r="BB305" s="174"/>
      <x:c r="BC305" s="174"/>
      <x:c r="BD305" s="174"/>
      <x:c r="BE305" s="174"/>
      <x:c r="BF305" s="174"/>
      <x:c r="BG305" s="174"/>
      <x:c r="BH305" s="174"/>
      <x:c r="BI305" s="174"/>
      <x:c r="BJ305" s="174"/>
      <x:c r="BK305" s="174"/>
      <x:c r="BL305" s="174"/>
      <x:c r="BM305" s="174"/>
      <x:c r="BN305" s="174"/>
      <x:c r="BO305" s="174"/>
      <x:c r="BP305" s="174"/>
      <x:c r="BQ305" s="174"/>
      <x:c r="BR305" s="174"/>
      <x:c r="BS305" s="174"/>
      <x:c r="BT305" s="174"/>
      <x:c r="BU305" s="174"/>
      <x:c r="BV305" s="174"/>
      <x:c r="BW305" s="174"/>
      <x:c r="BX305" s="174"/>
      <x:c r="BY305" s="174"/>
      <x:c r="BZ305" s="174"/>
      <x:c r="CA305" s="174"/>
      <x:c r="CB305" s="174"/>
      <x:c r="CC305" s="174"/>
      <x:c r="CD305" s="174"/>
      <x:c r="CE305" s="174"/>
      <x:c r="CF305" s="174"/>
      <x:c r="CG305" s="174"/>
      <x:c r="CH305" s="174"/>
      <x:c r="CI305" s="179"/>
      <x:c r="CJ305" s="174"/>
      <x:c r="CK305" s="174"/>
      <x:c r="CL305" s="174"/>
      <x:c r="CM305" s="174"/>
      <x:c r="CN305" s="174"/>
      <x:c r="CO305" s="177"/>
      <x:c r="CP305" s="174"/>
      <x:c r="CQ305" s="174"/>
      <x:c r="CR305" s="174"/>
      <x:c r="CS305" s="174"/>
      <x:c r="CT305" s="174"/>
      <x:c r="CU305" s="176"/>
      <x:c r="CV305" s="176"/>
      <x:c r="CW305" s="176"/>
      <x:c r="CX305" s="176"/>
      <x:c r="CY305" s="176"/>
      <x:c r="CZ305" s="176"/>
      <x:c r="DA305" s="176"/>
      <x:c r="DB305" s="175" t="str">
        <x:f>IF(L305="","",IF(COUNT(CU305:DA305)&lt;7,"",SUM(CU305:DA305)))</x:f>
      </x:c>
      <x:c r="DC305" s="180" t="str">
        <x:f>IF(DB305="","",ROUND(DB305/14*10,1))</x:f>
      </x:c>
      <x:c r="DD305" s="174"/>
      <x:c r="DE305" s="175" t="str">
        <x:f>IF(L305="","",IF(DC305="","Pending",IF(DD305="Yes","CONDITIONAL — safety override",IF(DC305&gt;=8,"HIGH",IF(DC305&gt;=5,"CONDITIONAL","LOW")))))</x:f>
      </x:c>
      <x:c r="DF305" s="174"/>
      <x:c r="DG305" s="174"/>
      <x:c r="DH305" s="174"/>
      <x:c r="DI305" s="174"/>
      <x:c r="DJ305" s="174"/>
      <x:c r="DK305" s="174"/>
      <x:c r="DL305" s="174"/>
      <x:c r="DM305" s="174"/>
      <x:c r="DN305" s="174"/>
      <x:c r="DO305" s="174"/>
      <x:c r="DP305" s="174"/>
      <x:c r="DQ305" s="174"/>
      <x:c r="DR305" s="174"/>
      <x:c r="DS305" s="174"/>
      <x:c r="DT305" s="174"/>
      <x:c r="DU305" s="174"/>
      <x:c r="DV305" s="174"/>
      <x:c r="DW305" s="174"/>
      <x:c r="DX305" s="174"/>
      <x:c r="DY305" s="174"/>
      <x:c r="DZ305" s="174"/>
      <x:c r="EA305" s="174"/>
      <x:c r="EB305" s="175" t="str">
        <x:f>IF(L305="","",IF(AND(F305="Claim-ready",CJ305="Yes",CL305="Yes",DZ305&lt;&gt;""),"Yes","No / Pending"))</x:f>
      </x:c>
      <x:c r="EC305" s="174"/>
      <x:c r="ED305" s="174"/>
      <x:c r="EE305" s="174"/>
      <x:c r="EF305" s="174"/>
      <x:c r="EG305" s="174"/>
      <x:c r="EH305" s="177"/>
      <x:c r="EI305" s="174"/>
      <x:c r="EJ305" s="174"/>
      <x:c r="EK305" s="174"/>
      <x:c r="EL305" s="177"/>
      <x:c r="EM305" s="174"/>
      <x:c r="EN305" s="181" t="str">
        <x:f>IF(L305="","",(IF(N305&lt;&gt;"",1,0)+IF(O305&lt;&gt;"",1,0)+IF(AJ305&lt;&gt;"",1,0)+IF(AU305&lt;&gt;"",1,0)+IF(BE305&lt;&gt;"",1,0)+IF(CF305&lt;&gt;"",1,0)+IF(CJ305="Yes",1,0)+IF(CL305="Yes",1,0)+IF(DE305&lt;&gt;"Pending",1,0)+IF(F305&lt;&gt;"",1,0)+IF(DZ305&lt;&gt;"",1,0)+IF(EI305&lt;&gt;"",1,0))/12)</x:f>
      </x:c>
    </x:row>
    <x:row r="306">
      <x:c r="A306" s="175" t="str">
        <x:f>IF(L306="","","EV-"&amp;TEXT(ROW()-3,"0000"))</x:f>
      </x:c>
      <x:c r="B306" s="174"/>
      <x:c r="C306" s="175" t="str">
        <x:f>IF(L306="","",IF(OR(CM306="Retracted",CN306="Retracted",F306="Not used"),"🔴 Do not use for conclusion",IF(OR(R306="Official / Institutional",I306="Official / contextual"),"🔵 Official / contextual",IF(OR(I306="Definition",I306="Framework",I306="Paradigm shift"),"🟣 Conceptual key source",IF(AND(CJ306="Yes",CL306="Yes",OR(CG306="High",CG306="Moderate"),CH306&lt;&gt;"High",CH306&lt;&gt;"Critical",F306="Claim-ready"),"🟢 Claim-ready","🟡 Caution / context")))))</x:f>
      </x:c>
      <x:c r="D306" s="174"/>
      <x:c r="E306" s="174"/>
      <x:c r="F306" s="174"/>
      <x:c r="G306" s="174"/>
      <x:c r="H306" s="174"/>
      <x:c r="I306" s="174"/>
      <x:c r="J306" s="174"/>
      <x:c r="K306" s="174"/>
      <x:c r="L306" s="174"/>
      <x:c r="M306" s="174"/>
      <x:c r="N306" s="174"/>
      <x:c r="O306" s="176"/>
      <x:c r="P306" s="174"/>
      <x:c r="Q306" s="174"/>
      <x:c r="R306" s="174"/>
      <x:c r="S306" s="174"/>
      <x:c r="T306" s="174"/>
      <x:c r="U306" s="174"/>
      <x:c r="V306" s="174"/>
      <x:c r="W306" s="175" t="str">
        <x:f>IF(V306="","",LOWER(SUBSTITUTE(SUBSTITUTE(SUBSTITUTE(SUBSTITUTE(TRIM(V306),"https://doi.org/",""),"http://doi.org/",""),"https://dx.doi.org/",""),"doi:","")))</x:f>
      </x:c>
      <x:c r="X306" s="174"/>
      <x:c r="Y306" s="174"/>
      <x:c r="Z306" s="174"/>
      <x:c r="AA306" s="174"/>
      <x:c r="AB306" s="174"/>
      <x:c r="AC306" s="174"/>
      <x:c r="AD306" s="177"/>
      <x:c r="AE306" s="177"/>
      <x:c r="AF306" s="174"/>
      <x:c r="AG306" s="174"/>
      <x:c r="AH306" s="174"/>
      <x:c r="AI306" s="174"/>
      <x:c r="AJ306" s="174"/>
      <x:c r="AK306" s="175" t="str">
        <x:f>IF(AJ306="","",IF(OR(LOWER(AJ306)="brazil",LOWER(AJ306)="brasil"),"Yes","No"))</x:f>
      </x:c>
      <x:c r="AL306" s="174"/>
      <x:c r="AM306" s="174"/>
      <x:c r="AN306" s="174"/>
      <x:c r="AO306" s="178"/>
      <x:c r="AP306" s="174"/>
      <x:c r="AQ306" s="174"/>
      <x:c r="AR306" s="174"/>
      <x:c r="AS306" s="174"/>
      <x:c r="AT306" s="174"/>
      <x:c r="AU306" s="174"/>
      <x:c r="AV306" s="174"/>
      <x:c r="AW306" s="174"/>
      <x:c r="AX306" s="174"/>
      <x:c r="AY306" s="174"/>
      <x:c r="AZ306" s="174"/>
      <x:c r="BA306" s="174"/>
      <x:c r="BB306" s="174"/>
      <x:c r="BC306" s="174"/>
      <x:c r="BD306" s="174"/>
      <x:c r="BE306" s="174"/>
      <x:c r="BF306" s="174"/>
      <x:c r="BG306" s="174"/>
      <x:c r="BH306" s="174"/>
      <x:c r="BI306" s="174"/>
      <x:c r="BJ306" s="174"/>
      <x:c r="BK306" s="174"/>
      <x:c r="BL306" s="174"/>
      <x:c r="BM306" s="174"/>
      <x:c r="BN306" s="174"/>
      <x:c r="BO306" s="174"/>
      <x:c r="BP306" s="174"/>
      <x:c r="BQ306" s="174"/>
      <x:c r="BR306" s="174"/>
      <x:c r="BS306" s="174"/>
      <x:c r="BT306" s="174"/>
      <x:c r="BU306" s="174"/>
      <x:c r="BV306" s="174"/>
      <x:c r="BW306" s="174"/>
      <x:c r="BX306" s="174"/>
      <x:c r="BY306" s="174"/>
      <x:c r="BZ306" s="174"/>
      <x:c r="CA306" s="174"/>
      <x:c r="CB306" s="174"/>
      <x:c r="CC306" s="174"/>
      <x:c r="CD306" s="174"/>
      <x:c r="CE306" s="174"/>
      <x:c r="CF306" s="174"/>
      <x:c r="CG306" s="174"/>
      <x:c r="CH306" s="174"/>
      <x:c r="CI306" s="179"/>
      <x:c r="CJ306" s="174"/>
      <x:c r="CK306" s="174"/>
      <x:c r="CL306" s="174"/>
      <x:c r="CM306" s="174"/>
      <x:c r="CN306" s="174"/>
      <x:c r="CO306" s="177"/>
      <x:c r="CP306" s="174"/>
      <x:c r="CQ306" s="174"/>
      <x:c r="CR306" s="174"/>
      <x:c r="CS306" s="174"/>
      <x:c r="CT306" s="174"/>
      <x:c r="CU306" s="176"/>
      <x:c r="CV306" s="176"/>
      <x:c r="CW306" s="176"/>
      <x:c r="CX306" s="176"/>
      <x:c r="CY306" s="176"/>
      <x:c r="CZ306" s="176"/>
      <x:c r="DA306" s="176"/>
      <x:c r="DB306" s="175" t="str">
        <x:f>IF(L306="","",IF(COUNT(CU306:DA306)&lt;7,"",SUM(CU306:DA306)))</x:f>
      </x:c>
      <x:c r="DC306" s="180" t="str">
        <x:f>IF(DB306="","",ROUND(DB306/14*10,1))</x:f>
      </x:c>
      <x:c r="DD306" s="174"/>
      <x:c r="DE306" s="175" t="str">
        <x:f>IF(L306="","",IF(DC306="","Pending",IF(DD306="Yes","CONDITIONAL — safety override",IF(DC306&gt;=8,"HIGH",IF(DC306&gt;=5,"CONDITIONAL","LOW")))))</x:f>
      </x:c>
      <x:c r="DF306" s="174"/>
      <x:c r="DG306" s="174"/>
      <x:c r="DH306" s="174"/>
      <x:c r="DI306" s="174"/>
      <x:c r="DJ306" s="174"/>
      <x:c r="DK306" s="174"/>
      <x:c r="DL306" s="174"/>
      <x:c r="DM306" s="174"/>
      <x:c r="DN306" s="174"/>
      <x:c r="DO306" s="174"/>
      <x:c r="DP306" s="174"/>
      <x:c r="DQ306" s="174"/>
      <x:c r="DR306" s="174"/>
      <x:c r="DS306" s="174"/>
      <x:c r="DT306" s="174"/>
      <x:c r="DU306" s="174"/>
      <x:c r="DV306" s="174"/>
      <x:c r="DW306" s="174"/>
      <x:c r="DX306" s="174"/>
      <x:c r="DY306" s="174"/>
      <x:c r="DZ306" s="174"/>
      <x:c r="EA306" s="174"/>
      <x:c r="EB306" s="175" t="str">
        <x:f>IF(L306="","",IF(AND(F306="Claim-ready",CJ306="Yes",CL306="Yes",DZ306&lt;&gt;""),"Yes","No / Pending"))</x:f>
      </x:c>
      <x:c r="EC306" s="174"/>
      <x:c r="ED306" s="174"/>
      <x:c r="EE306" s="174"/>
      <x:c r="EF306" s="174"/>
      <x:c r="EG306" s="174"/>
      <x:c r="EH306" s="177"/>
      <x:c r="EI306" s="174"/>
      <x:c r="EJ306" s="174"/>
      <x:c r="EK306" s="174"/>
      <x:c r="EL306" s="177"/>
      <x:c r="EM306" s="174"/>
      <x:c r="EN306" s="181" t="str">
        <x:f>IF(L306="","",(IF(N306&lt;&gt;"",1,0)+IF(O306&lt;&gt;"",1,0)+IF(AJ306&lt;&gt;"",1,0)+IF(AU306&lt;&gt;"",1,0)+IF(BE306&lt;&gt;"",1,0)+IF(CF306&lt;&gt;"",1,0)+IF(CJ306="Yes",1,0)+IF(CL306="Yes",1,0)+IF(DE306&lt;&gt;"Pending",1,0)+IF(F306&lt;&gt;"",1,0)+IF(DZ306&lt;&gt;"",1,0)+IF(EI306&lt;&gt;"",1,0))/12)</x:f>
      </x:c>
    </x:row>
    <x:row r="307">
      <x:c r="A307" s="175" t="str">
        <x:f>IF(L307="","","EV-"&amp;TEXT(ROW()-3,"0000"))</x:f>
      </x:c>
      <x:c r="B307" s="174"/>
      <x:c r="C307" s="175" t="str">
        <x:f>IF(L307="","",IF(OR(CM307="Retracted",CN307="Retracted",F307="Not used"),"🔴 Do not use for conclusion",IF(OR(R307="Official / Institutional",I307="Official / contextual"),"🔵 Official / contextual",IF(OR(I307="Definition",I307="Framework",I307="Paradigm shift"),"🟣 Conceptual key source",IF(AND(CJ307="Yes",CL307="Yes",OR(CG307="High",CG307="Moderate"),CH307&lt;&gt;"High",CH307&lt;&gt;"Critical",F307="Claim-ready"),"🟢 Claim-ready","🟡 Caution / context")))))</x:f>
      </x:c>
      <x:c r="D307" s="174"/>
      <x:c r="E307" s="174"/>
      <x:c r="F307" s="174"/>
      <x:c r="G307" s="174"/>
      <x:c r="H307" s="174"/>
      <x:c r="I307" s="174"/>
      <x:c r="J307" s="174"/>
      <x:c r="K307" s="174"/>
      <x:c r="L307" s="174"/>
      <x:c r="M307" s="174"/>
      <x:c r="N307" s="174"/>
      <x:c r="O307" s="176"/>
      <x:c r="P307" s="174"/>
      <x:c r="Q307" s="174"/>
      <x:c r="R307" s="174"/>
      <x:c r="S307" s="174"/>
      <x:c r="T307" s="174"/>
      <x:c r="U307" s="174"/>
      <x:c r="V307" s="174"/>
      <x:c r="W307" s="175" t="str">
        <x:f>IF(V307="","",LOWER(SUBSTITUTE(SUBSTITUTE(SUBSTITUTE(SUBSTITUTE(TRIM(V307),"https://doi.org/",""),"http://doi.org/",""),"https://dx.doi.org/",""),"doi:","")))</x:f>
      </x:c>
      <x:c r="X307" s="174"/>
      <x:c r="Y307" s="174"/>
      <x:c r="Z307" s="174"/>
      <x:c r="AA307" s="174"/>
      <x:c r="AB307" s="174"/>
      <x:c r="AC307" s="174"/>
      <x:c r="AD307" s="177"/>
      <x:c r="AE307" s="177"/>
      <x:c r="AF307" s="174"/>
      <x:c r="AG307" s="174"/>
      <x:c r="AH307" s="174"/>
      <x:c r="AI307" s="174"/>
      <x:c r="AJ307" s="174"/>
      <x:c r="AK307" s="175" t="str">
        <x:f>IF(AJ307="","",IF(OR(LOWER(AJ307)="brazil",LOWER(AJ307)="brasil"),"Yes","No"))</x:f>
      </x:c>
      <x:c r="AL307" s="174"/>
      <x:c r="AM307" s="174"/>
      <x:c r="AN307" s="174"/>
      <x:c r="AO307" s="178"/>
      <x:c r="AP307" s="174"/>
      <x:c r="AQ307" s="174"/>
      <x:c r="AR307" s="174"/>
      <x:c r="AS307" s="174"/>
      <x:c r="AT307" s="174"/>
      <x:c r="AU307" s="174"/>
      <x:c r="AV307" s="174"/>
      <x:c r="AW307" s="174"/>
      <x:c r="AX307" s="174"/>
      <x:c r="AY307" s="174"/>
      <x:c r="AZ307" s="174"/>
      <x:c r="BA307" s="174"/>
      <x:c r="BB307" s="174"/>
      <x:c r="BC307" s="174"/>
      <x:c r="BD307" s="174"/>
      <x:c r="BE307" s="174"/>
      <x:c r="BF307" s="174"/>
      <x:c r="BG307" s="174"/>
      <x:c r="BH307" s="174"/>
      <x:c r="BI307" s="174"/>
      <x:c r="BJ307" s="174"/>
      <x:c r="BK307" s="174"/>
      <x:c r="BL307" s="174"/>
      <x:c r="BM307" s="174"/>
      <x:c r="BN307" s="174"/>
      <x:c r="BO307" s="174"/>
      <x:c r="BP307" s="174"/>
      <x:c r="BQ307" s="174"/>
      <x:c r="BR307" s="174"/>
      <x:c r="BS307" s="174"/>
      <x:c r="BT307" s="174"/>
      <x:c r="BU307" s="174"/>
      <x:c r="BV307" s="174"/>
      <x:c r="BW307" s="174"/>
      <x:c r="BX307" s="174"/>
      <x:c r="BY307" s="174"/>
      <x:c r="BZ307" s="174"/>
      <x:c r="CA307" s="174"/>
      <x:c r="CB307" s="174"/>
      <x:c r="CC307" s="174"/>
      <x:c r="CD307" s="174"/>
      <x:c r="CE307" s="174"/>
      <x:c r="CF307" s="174"/>
      <x:c r="CG307" s="174"/>
      <x:c r="CH307" s="174"/>
      <x:c r="CI307" s="179"/>
      <x:c r="CJ307" s="174"/>
      <x:c r="CK307" s="174"/>
      <x:c r="CL307" s="174"/>
      <x:c r="CM307" s="174"/>
      <x:c r="CN307" s="174"/>
      <x:c r="CO307" s="177"/>
      <x:c r="CP307" s="174"/>
      <x:c r="CQ307" s="174"/>
      <x:c r="CR307" s="174"/>
      <x:c r="CS307" s="174"/>
      <x:c r="CT307" s="174"/>
      <x:c r="CU307" s="176"/>
      <x:c r="CV307" s="176"/>
      <x:c r="CW307" s="176"/>
      <x:c r="CX307" s="176"/>
      <x:c r="CY307" s="176"/>
      <x:c r="CZ307" s="176"/>
      <x:c r="DA307" s="176"/>
      <x:c r="DB307" s="175" t="str">
        <x:f>IF(L307="","",IF(COUNT(CU307:DA307)&lt;7,"",SUM(CU307:DA307)))</x:f>
      </x:c>
      <x:c r="DC307" s="180" t="str">
        <x:f>IF(DB307="","",ROUND(DB307/14*10,1))</x:f>
      </x:c>
      <x:c r="DD307" s="174"/>
      <x:c r="DE307" s="175" t="str">
        <x:f>IF(L307="","",IF(DC307="","Pending",IF(DD307="Yes","CONDITIONAL — safety override",IF(DC307&gt;=8,"HIGH",IF(DC307&gt;=5,"CONDITIONAL","LOW")))))</x:f>
      </x:c>
      <x:c r="DF307" s="174"/>
      <x:c r="DG307" s="174"/>
      <x:c r="DH307" s="174"/>
      <x:c r="DI307" s="174"/>
      <x:c r="DJ307" s="174"/>
      <x:c r="DK307" s="174"/>
      <x:c r="DL307" s="174"/>
      <x:c r="DM307" s="174"/>
      <x:c r="DN307" s="174"/>
      <x:c r="DO307" s="174"/>
      <x:c r="DP307" s="174"/>
      <x:c r="DQ307" s="174"/>
      <x:c r="DR307" s="174"/>
      <x:c r="DS307" s="174"/>
      <x:c r="DT307" s="174"/>
      <x:c r="DU307" s="174"/>
      <x:c r="DV307" s="174"/>
      <x:c r="DW307" s="174"/>
      <x:c r="DX307" s="174"/>
      <x:c r="DY307" s="174"/>
      <x:c r="DZ307" s="174"/>
      <x:c r="EA307" s="174"/>
      <x:c r="EB307" s="175" t="str">
        <x:f>IF(L307="","",IF(AND(F307="Claim-ready",CJ307="Yes",CL307="Yes",DZ307&lt;&gt;""),"Yes","No / Pending"))</x:f>
      </x:c>
      <x:c r="EC307" s="174"/>
      <x:c r="ED307" s="174"/>
      <x:c r="EE307" s="174"/>
      <x:c r="EF307" s="174"/>
      <x:c r="EG307" s="174"/>
      <x:c r="EH307" s="177"/>
      <x:c r="EI307" s="174"/>
      <x:c r="EJ307" s="174"/>
      <x:c r="EK307" s="174"/>
      <x:c r="EL307" s="177"/>
      <x:c r="EM307" s="174"/>
      <x:c r="EN307" s="181" t="str">
        <x:f>IF(L307="","",(IF(N307&lt;&gt;"",1,0)+IF(O307&lt;&gt;"",1,0)+IF(AJ307&lt;&gt;"",1,0)+IF(AU307&lt;&gt;"",1,0)+IF(BE307&lt;&gt;"",1,0)+IF(CF307&lt;&gt;"",1,0)+IF(CJ307="Yes",1,0)+IF(CL307="Yes",1,0)+IF(DE307&lt;&gt;"Pending",1,0)+IF(F307&lt;&gt;"",1,0)+IF(DZ307&lt;&gt;"",1,0)+IF(EI307&lt;&gt;"",1,0))/12)</x:f>
      </x:c>
    </x:row>
    <x:row r="308">
      <x:c r="A308" s="175" t="str">
        <x:f>IF(L308="","","EV-"&amp;TEXT(ROW()-3,"0000"))</x:f>
      </x:c>
      <x:c r="B308" s="174"/>
      <x:c r="C308" s="175" t="str">
        <x:f>IF(L308="","",IF(OR(CM308="Retracted",CN308="Retracted",F308="Not used"),"🔴 Do not use for conclusion",IF(OR(R308="Official / Institutional",I308="Official / contextual"),"🔵 Official / contextual",IF(OR(I308="Definition",I308="Framework",I308="Paradigm shift"),"🟣 Conceptual key source",IF(AND(CJ308="Yes",CL308="Yes",OR(CG308="High",CG308="Moderate"),CH308&lt;&gt;"High",CH308&lt;&gt;"Critical",F308="Claim-ready"),"🟢 Claim-ready","🟡 Caution / context")))))</x:f>
      </x:c>
      <x:c r="D308" s="174"/>
      <x:c r="E308" s="174"/>
      <x:c r="F308" s="174"/>
      <x:c r="G308" s="174"/>
      <x:c r="H308" s="174"/>
      <x:c r="I308" s="174"/>
      <x:c r="J308" s="174"/>
      <x:c r="K308" s="174"/>
      <x:c r="L308" s="174"/>
      <x:c r="M308" s="174"/>
      <x:c r="N308" s="174"/>
      <x:c r="O308" s="176"/>
      <x:c r="P308" s="174"/>
      <x:c r="Q308" s="174"/>
      <x:c r="R308" s="174"/>
      <x:c r="S308" s="174"/>
      <x:c r="T308" s="174"/>
      <x:c r="U308" s="174"/>
      <x:c r="V308" s="174"/>
      <x:c r="W308" s="175" t="str">
        <x:f>IF(V308="","",LOWER(SUBSTITUTE(SUBSTITUTE(SUBSTITUTE(SUBSTITUTE(TRIM(V308),"https://doi.org/",""),"http://doi.org/",""),"https://dx.doi.org/",""),"doi:","")))</x:f>
      </x:c>
      <x:c r="X308" s="174"/>
      <x:c r="Y308" s="174"/>
      <x:c r="Z308" s="174"/>
      <x:c r="AA308" s="174"/>
      <x:c r="AB308" s="174"/>
      <x:c r="AC308" s="174"/>
      <x:c r="AD308" s="177"/>
      <x:c r="AE308" s="177"/>
      <x:c r="AF308" s="174"/>
      <x:c r="AG308" s="174"/>
      <x:c r="AH308" s="174"/>
      <x:c r="AI308" s="174"/>
      <x:c r="AJ308" s="174"/>
      <x:c r="AK308" s="175" t="str">
        <x:f>IF(AJ308="","",IF(OR(LOWER(AJ308)="brazil",LOWER(AJ308)="brasil"),"Yes","No"))</x:f>
      </x:c>
      <x:c r="AL308" s="174"/>
      <x:c r="AM308" s="174"/>
      <x:c r="AN308" s="174"/>
      <x:c r="AO308" s="178"/>
      <x:c r="AP308" s="174"/>
      <x:c r="AQ308" s="174"/>
      <x:c r="AR308" s="174"/>
      <x:c r="AS308" s="174"/>
      <x:c r="AT308" s="174"/>
      <x:c r="AU308" s="174"/>
      <x:c r="AV308" s="174"/>
      <x:c r="AW308" s="174"/>
      <x:c r="AX308" s="174"/>
      <x:c r="AY308" s="174"/>
      <x:c r="AZ308" s="174"/>
      <x:c r="BA308" s="174"/>
      <x:c r="BB308" s="174"/>
      <x:c r="BC308" s="174"/>
      <x:c r="BD308" s="174"/>
      <x:c r="BE308" s="174"/>
      <x:c r="BF308" s="174"/>
      <x:c r="BG308" s="174"/>
      <x:c r="BH308" s="174"/>
      <x:c r="BI308" s="174"/>
      <x:c r="BJ308" s="174"/>
      <x:c r="BK308" s="174"/>
      <x:c r="BL308" s="174"/>
      <x:c r="BM308" s="174"/>
      <x:c r="BN308" s="174"/>
      <x:c r="BO308" s="174"/>
      <x:c r="BP308" s="174"/>
      <x:c r="BQ308" s="174"/>
      <x:c r="BR308" s="174"/>
      <x:c r="BS308" s="174"/>
      <x:c r="BT308" s="174"/>
      <x:c r="BU308" s="174"/>
      <x:c r="BV308" s="174"/>
      <x:c r="BW308" s="174"/>
      <x:c r="BX308" s="174"/>
      <x:c r="BY308" s="174"/>
      <x:c r="BZ308" s="174"/>
      <x:c r="CA308" s="174"/>
      <x:c r="CB308" s="174"/>
      <x:c r="CC308" s="174"/>
      <x:c r="CD308" s="174"/>
      <x:c r="CE308" s="174"/>
      <x:c r="CF308" s="174"/>
      <x:c r="CG308" s="174"/>
      <x:c r="CH308" s="174"/>
      <x:c r="CI308" s="179"/>
      <x:c r="CJ308" s="174"/>
      <x:c r="CK308" s="174"/>
      <x:c r="CL308" s="174"/>
      <x:c r="CM308" s="174"/>
      <x:c r="CN308" s="174"/>
      <x:c r="CO308" s="177"/>
      <x:c r="CP308" s="174"/>
      <x:c r="CQ308" s="174"/>
      <x:c r="CR308" s="174"/>
      <x:c r="CS308" s="174"/>
      <x:c r="CT308" s="174"/>
      <x:c r="CU308" s="176"/>
      <x:c r="CV308" s="176"/>
      <x:c r="CW308" s="176"/>
      <x:c r="CX308" s="176"/>
      <x:c r="CY308" s="176"/>
      <x:c r="CZ308" s="176"/>
      <x:c r="DA308" s="176"/>
      <x:c r="DB308" s="175" t="str">
        <x:f>IF(L308="","",IF(COUNT(CU308:DA308)&lt;7,"",SUM(CU308:DA308)))</x:f>
      </x:c>
      <x:c r="DC308" s="180" t="str">
        <x:f>IF(DB308="","",ROUND(DB308/14*10,1))</x:f>
      </x:c>
      <x:c r="DD308" s="174"/>
      <x:c r="DE308" s="175" t="str">
        <x:f>IF(L308="","",IF(DC308="","Pending",IF(DD308="Yes","CONDITIONAL — safety override",IF(DC308&gt;=8,"HIGH",IF(DC308&gt;=5,"CONDITIONAL","LOW")))))</x:f>
      </x:c>
      <x:c r="DF308" s="174"/>
      <x:c r="DG308" s="174"/>
      <x:c r="DH308" s="174"/>
      <x:c r="DI308" s="174"/>
      <x:c r="DJ308" s="174"/>
      <x:c r="DK308" s="174"/>
      <x:c r="DL308" s="174"/>
      <x:c r="DM308" s="174"/>
      <x:c r="DN308" s="174"/>
      <x:c r="DO308" s="174"/>
      <x:c r="DP308" s="174"/>
      <x:c r="DQ308" s="174"/>
      <x:c r="DR308" s="174"/>
      <x:c r="DS308" s="174"/>
      <x:c r="DT308" s="174"/>
      <x:c r="DU308" s="174"/>
      <x:c r="DV308" s="174"/>
      <x:c r="DW308" s="174"/>
      <x:c r="DX308" s="174"/>
      <x:c r="DY308" s="174"/>
      <x:c r="DZ308" s="174"/>
      <x:c r="EA308" s="174"/>
      <x:c r="EB308" s="175" t="str">
        <x:f>IF(L308="","",IF(AND(F308="Claim-ready",CJ308="Yes",CL308="Yes",DZ308&lt;&gt;""),"Yes","No / Pending"))</x:f>
      </x:c>
      <x:c r="EC308" s="174"/>
      <x:c r="ED308" s="174"/>
      <x:c r="EE308" s="174"/>
      <x:c r="EF308" s="174"/>
      <x:c r="EG308" s="174"/>
      <x:c r="EH308" s="177"/>
      <x:c r="EI308" s="174"/>
      <x:c r="EJ308" s="174"/>
      <x:c r="EK308" s="174"/>
      <x:c r="EL308" s="177"/>
      <x:c r="EM308" s="174"/>
      <x:c r="EN308" s="181" t="str">
        <x:f>IF(L308="","",(IF(N308&lt;&gt;"",1,0)+IF(O308&lt;&gt;"",1,0)+IF(AJ308&lt;&gt;"",1,0)+IF(AU308&lt;&gt;"",1,0)+IF(BE308&lt;&gt;"",1,0)+IF(CF308&lt;&gt;"",1,0)+IF(CJ308="Yes",1,0)+IF(CL308="Yes",1,0)+IF(DE308&lt;&gt;"Pending",1,0)+IF(F308&lt;&gt;"",1,0)+IF(DZ308&lt;&gt;"",1,0)+IF(EI308&lt;&gt;"",1,0))/12)</x:f>
      </x:c>
    </x:row>
    <x:row r="309">
      <x:c r="A309" s="175" t="str">
        <x:f>IF(L309="","","EV-"&amp;TEXT(ROW()-3,"0000"))</x:f>
      </x:c>
      <x:c r="B309" s="174"/>
      <x:c r="C309" s="175" t="str">
        <x:f>IF(L309="","",IF(OR(CM309="Retracted",CN309="Retracted",F309="Not used"),"🔴 Do not use for conclusion",IF(OR(R309="Official / Institutional",I309="Official / contextual"),"🔵 Official / contextual",IF(OR(I309="Definition",I309="Framework",I309="Paradigm shift"),"🟣 Conceptual key source",IF(AND(CJ309="Yes",CL309="Yes",OR(CG309="High",CG309="Moderate"),CH309&lt;&gt;"High",CH309&lt;&gt;"Critical",F309="Claim-ready"),"🟢 Claim-ready","🟡 Caution / context")))))</x:f>
      </x:c>
      <x:c r="D309" s="174"/>
      <x:c r="E309" s="174"/>
      <x:c r="F309" s="174"/>
      <x:c r="G309" s="174"/>
      <x:c r="H309" s="174"/>
      <x:c r="I309" s="174"/>
      <x:c r="J309" s="174"/>
      <x:c r="K309" s="174"/>
      <x:c r="L309" s="174"/>
      <x:c r="M309" s="174"/>
      <x:c r="N309" s="174"/>
      <x:c r="O309" s="176"/>
      <x:c r="P309" s="174"/>
      <x:c r="Q309" s="174"/>
      <x:c r="R309" s="174"/>
      <x:c r="S309" s="174"/>
      <x:c r="T309" s="174"/>
      <x:c r="U309" s="174"/>
      <x:c r="V309" s="174"/>
      <x:c r="W309" s="175" t="str">
        <x:f>IF(V309="","",LOWER(SUBSTITUTE(SUBSTITUTE(SUBSTITUTE(SUBSTITUTE(TRIM(V309),"https://doi.org/",""),"http://doi.org/",""),"https://dx.doi.org/",""),"doi:","")))</x:f>
      </x:c>
      <x:c r="X309" s="174"/>
      <x:c r="Y309" s="174"/>
      <x:c r="Z309" s="174"/>
      <x:c r="AA309" s="174"/>
      <x:c r="AB309" s="174"/>
      <x:c r="AC309" s="174"/>
      <x:c r="AD309" s="177"/>
      <x:c r="AE309" s="177"/>
      <x:c r="AF309" s="174"/>
      <x:c r="AG309" s="174"/>
      <x:c r="AH309" s="174"/>
      <x:c r="AI309" s="174"/>
      <x:c r="AJ309" s="174"/>
      <x:c r="AK309" s="175" t="str">
        <x:f>IF(AJ309="","",IF(OR(LOWER(AJ309)="brazil",LOWER(AJ309)="brasil"),"Yes","No"))</x:f>
      </x:c>
      <x:c r="AL309" s="174"/>
      <x:c r="AM309" s="174"/>
      <x:c r="AN309" s="174"/>
      <x:c r="AO309" s="178"/>
      <x:c r="AP309" s="174"/>
      <x:c r="AQ309" s="174"/>
      <x:c r="AR309" s="174"/>
      <x:c r="AS309" s="174"/>
      <x:c r="AT309" s="174"/>
      <x:c r="AU309" s="174"/>
      <x:c r="AV309" s="174"/>
      <x:c r="AW309" s="174"/>
      <x:c r="AX309" s="174"/>
      <x:c r="AY309" s="174"/>
      <x:c r="AZ309" s="174"/>
      <x:c r="BA309" s="174"/>
      <x:c r="BB309" s="174"/>
      <x:c r="BC309" s="174"/>
      <x:c r="BD309" s="174"/>
      <x:c r="BE309" s="174"/>
      <x:c r="BF309" s="174"/>
      <x:c r="BG309" s="174"/>
      <x:c r="BH309" s="174"/>
      <x:c r="BI309" s="174"/>
      <x:c r="BJ309" s="174"/>
      <x:c r="BK309" s="174"/>
      <x:c r="BL309" s="174"/>
      <x:c r="BM309" s="174"/>
      <x:c r="BN309" s="174"/>
      <x:c r="BO309" s="174"/>
      <x:c r="BP309" s="174"/>
      <x:c r="BQ309" s="174"/>
      <x:c r="BR309" s="174"/>
      <x:c r="BS309" s="174"/>
      <x:c r="BT309" s="174"/>
      <x:c r="BU309" s="174"/>
      <x:c r="BV309" s="174"/>
      <x:c r="BW309" s="174"/>
      <x:c r="BX309" s="174"/>
      <x:c r="BY309" s="174"/>
      <x:c r="BZ309" s="174"/>
      <x:c r="CA309" s="174"/>
      <x:c r="CB309" s="174"/>
      <x:c r="CC309" s="174"/>
      <x:c r="CD309" s="174"/>
      <x:c r="CE309" s="174"/>
      <x:c r="CF309" s="174"/>
      <x:c r="CG309" s="174"/>
      <x:c r="CH309" s="174"/>
      <x:c r="CI309" s="179"/>
      <x:c r="CJ309" s="174"/>
      <x:c r="CK309" s="174"/>
      <x:c r="CL309" s="174"/>
      <x:c r="CM309" s="174"/>
      <x:c r="CN309" s="174"/>
      <x:c r="CO309" s="177"/>
      <x:c r="CP309" s="174"/>
      <x:c r="CQ309" s="174"/>
      <x:c r="CR309" s="174"/>
      <x:c r="CS309" s="174"/>
      <x:c r="CT309" s="174"/>
      <x:c r="CU309" s="176"/>
      <x:c r="CV309" s="176"/>
      <x:c r="CW309" s="176"/>
      <x:c r="CX309" s="176"/>
      <x:c r="CY309" s="176"/>
      <x:c r="CZ309" s="176"/>
      <x:c r="DA309" s="176"/>
      <x:c r="DB309" s="175" t="str">
        <x:f>IF(L309="","",IF(COUNT(CU309:DA309)&lt;7,"",SUM(CU309:DA309)))</x:f>
      </x:c>
      <x:c r="DC309" s="180" t="str">
        <x:f>IF(DB309="","",ROUND(DB309/14*10,1))</x:f>
      </x:c>
      <x:c r="DD309" s="174"/>
      <x:c r="DE309" s="175" t="str">
        <x:f>IF(L309="","",IF(DC309="","Pending",IF(DD309="Yes","CONDITIONAL — safety override",IF(DC309&gt;=8,"HIGH",IF(DC309&gt;=5,"CONDITIONAL","LOW")))))</x:f>
      </x:c>
      <x:c r="DF309" s="174"/>
      <x:c r="DG309" s="174"/>
      <x:c r="DH309" s="174"/>
      <x:c r="DI309" s="174"/>
      <x:c r="DJ309" s="174"/>
      <x:c r="DK309" s="174"/>
      <x:c r="DL309" s="174"/>
      <x:c r="DM309" s="174"/>
      <x:c r="DN309" s="174"/>
      <x:c r="DO309" s="174"/>
      <x:c r="DP309" s="174"/>
      <x:c r="DQ309" s="174"/>
      <x:c r="DR309" s="174"/>
      <x:c r="DS309" s="174"/>
      <x:c r="DT309" s="174"/>
      <x:c r="DU309" s="174"/>
      <x:c r="DV309" s="174"/>
      <x:c r="DW309" s="174"/>
      <x:c r="DX309" s="174"/>
      <x:c r="DY309" s="174"/>
      <x:c r="DZ309" s="174"/>
      <x:c r="EA309" s="174"/>
      <x:c r="EB309" s="175" t="str">
        <x:f>IF(L309="","",IF(AND(F309="Claim-ready",CJ309="Yes",CL309="Yes",DZ309&lt;&gt;""),"Yes","No / Pending"))</x:f>
      </x:c>
      <x:c r="EC309" s="174"/>
      <x:c r="ED309" s="174"/>
      <x:c r="EE309" s="174"/>
      <x:c r="EF309" s="174"/>
      <x:c r="EG309" s="174"/>
      <x:c r="EH309" s="177"/>
      <x:c r="EI309" s="174"/>
      <x:c r="EJ309" s="174"/>
      <x:c r="EK309" s="174"/>
      <x:c r="EL309" s="177"/>
      <x:c r="EM309" s="174"/>
      <x:c r="EN309" s="181" t="str">
        <x:f>IF(L309="","",(IF(N309&lt;&gt;"",1,0)+IF(O309&lt;&gt;"",1,0)+IF(AJ309&lt;&gt;"",1,0)+IF(AU309&lt;&gt;"",1,0)+IF(BE309&lt;&gt;"",1,0)+IF(CF309&lt;&gt;"",1,0)+IF(CJ309="Yes",1,0)+IF(CL309="Yes",1,0)+IF(DE309&lt;&gt;"Pending",1,0)+IF(F309&lt;&gt;"",1,0)+IF(DZ309&lt;&gt;"",1,0)+IF(EI309&lt;&gt;"",1,0))/12)</x:f>
      </x:c>
    </x:row>
    <x:row r="310">
      <x:c r="A310" s="175" t="str">
        <x:f>IF(L310="","","EV-"&amp;TEXT(ROW()-3,"0000"))</x:f>
      </x:c>
      <x:c r="B310" s="174"/>
      <x:c r="C310" s="175" t="str">
        <x:f>IF(L310="","",IF(OR(CM310="Retracted",CN310="Retracted",F310="Not used"),"🔴 Do not use for conclusion",IF(OR(R310="Official / Institutional",I310="Official / contextual"),"🔵 Official / contextual",IF(OR(I310="Definition",I310="Framework",I310="Paradigm shift"),"🟣 Conceptual key source",IF(AND(CJ310="Yes",CL310="Yes",OR(CG310="High",CG310="Moderate"),CH310&lt;&gt;"High",CH310&lt;&gt;"Critical",F310="Claim-ready"),"🟢 Claim-ready","🟡 Caution / context")))))</x:f>
      </x:c>
      <x:c r="D310" s="174"/>
      <x:c r="E310" s="174"/>
      <x:c r="F310" s="174"/>
      <x:c r="G310" s="174"/>
      <x:c r="H310" s="174"/>
      <x:c r="I310" s="174"/>
      <x:c r="J310" s="174"/>
      <x:c r="K310" s="174"/>
      <x:c r="L310" s="174"/>
      <x:c r="M310" s="174"/>
      <x:c r="N310" s="174"/>
      <x:c r="O310" s="176"/>
      <x:c r="P310" s="174"/>
      <x:c r="Q310" s="174"/>
      <x:c r="R310" s="174"/>
      <x:c r="S310" s="174"/>
      <x:c r="T310" s="174"/>
      <x:c r="U310" s="174"/>
      <x:c r="V310" s="174"/>
      <x:c r="W310" s="175" t="str">
        <x:f>IF(V310="","",LOWER(SUBSTITUTE(SUBSTITUTE(SUBSTITUTE(SUBSTITUTE(TRIM(V310),"https://doi.org/",""),"http://doi.org/",""),"https://dx.doi.org/",""),"doi:","")))</x:f>
      </x:c>
      <x:c r="X310" s="174"/>
      <x:c r="Y310" s="174"/>
      <x:c r="Z310" s="174"/>
      <x:c r="AA310" s="174"/>
      <x:c r="AB310" s="174"/>
      <x:c r="AC310" s="174"/>
      <x:c r="AD310" s="177"/>
      <x:c r="AE310" s="177"/>
      <x:c r="AF310" s="174"/>
      <x:c r="AG310" s="174"/>
      <x:c r="AH310" s="174"/>
      <x:c r="AI310" s="174"/>
      <x:c r="AJ310" s="174"/>
      <x:c r="AK310" s="175" t="str">
        <x:f>IF(AJ310="","",IF(OR(LOWER(AJ310)="brazil",LOWER(AJ310)="brasil"),"Yes","No"))</x:f>
      </x:c>
      <x:c r="AL310" s="174"/>
      <x:c r="AM310" s="174"/>
      <x:c r="AN310" s="174"/>
      <x:c r="AO310" s="178"/>
      <x:c r="AP310" s="174"/>
      <x:c r="AQ310" s="174"/>
      <x:c r="AR310" s="174"/>
      <x:c r="AS310" s="174"/>
      <x:c r="AT310" s="174"/>
      <x:c r="AU310" s="174"/>
      <x:c r="AV310" s="174"/>
      <x:c r="AW310" s="174"/>
      <x:c r="AX310" s="174"/>
      <x:c r="AY310" s="174"/>
      <x:c r="AZ310" s="174"/>
      <x:c r="BA310" s="174"/>
      <x:c r="BB310" s="174"/>
      <x:c r="BC310" s="174"/>
      <x:c r="BD310" s="174"/>
      <x:c r="BE310" s="174"/>
      <x:c r="BF310" s="174"/>
      <x:c r="BG310" s="174"/>
      <x:c r="BH310" s="174"/>
      <x:c r="BI310" s="174"/>
      <x:c r="BJ310" s="174"/>
      <x:c r="BK310" s="174"/>
      <x:c r="BL310" s="174"/>
      <x:c r="BM310" s="174"/>
      <x:c r="BN310" s="174"/>
      <x:c r="BO310" s="174"/>
      <x:c r="BP310" s="174"/>
      <x:c r="BQ310" s="174"/>
      <x:c r="BR310" s="174"/>
      <x:c r="BS310" s="174"/>
      <x:c r="BT310" s="174"/>
      <x:c r="BU310" s="174"/>
      <x:c r="BV310" s="174"/>
      <x:c r="BW310" s="174"/>
      <x:c r="BX310" s="174"/>
      <x:c r="BY310" s="174"/>
      <x:c r="BZ310" s="174"/>
      <x:c r="CA310" s="174"/>
      <x:c r="CB310" s="174"/>
      <x:c r="CC310" s="174"/>
      <x:c r="CD310" s="174"/>
      <x:c r="CE310" s="174"/>
      <x:c r="CF310" s="174"/>
      <x:c r="CG310" s="174"/>
      <x:c r="CH310" s="174"/>
      <x:c r="CI310" s="179"/>
      <x:c r="CJ310" s="174"/>
      <x:c r="CK310" s="174"/>
      <x:c r="CL310" s="174"/>
      <x:c r="CM310" s="174"/>
      <x:c r="CN310" s="174"/>
      <x:c r="CO310" s="177"/>
      <x:c r="CP310" s="174"/>
      <x:c r="CQ310" s="174"/>
      <x:c r="CR310" s="174"/>
      <x:c r="CS310" s="174"/>
      <x:c r="CT310" s="174"/>
      <x:c r="CU310" s="176"/>
      <x:c r="CV310" s="176"/>
      <x:c r="CW310" s="176"/>
      <x:c r="CX310" s="176"/>
      <x:c r="CY310" s="176"/>
      <x:c r="CZ310" s="176"/>
      <x:c r="DA310" s="176"/>
      <x:c r="DB310" s="175" t="str">
        <x:f>IF(L310="","",IF(COUNT(CU310:DA310)&lt;7,"",SUM(CU310:DA310)))</x:f>
      </x:c>
      <x:c r="DC310" s="180" t="str">
        <x:f>IF(DB310="","",ROUND(DB310/14*10,1))</x:f>
      </x:c>
      <x:c r="DD310" s="174"/>
      <x:c r="DE310" s="175" t="str">
        <x:f>IF(L310="","",IF(DC310="","Pending",IF(DD310="Yes","CONDITIONAL — safety override",IF(DC310&gt;=8,"HIGH",IF(DC310&gt;=5,"CONDITIONAL","LOW")))))</x:f>
      </x:c>
      <x:c r="DF310" s="174"/>
      <x:c r="DG310" s="174"/>
      <x:c r="DH310" s="174"/>
      <x:c r="DI310" s="174"/>
      <x:c r="DJ310" s="174"/>
      <x:c r="DK310" s="174"/>
      <x:c r="DL310" s="174"/>
      <x:c r="DM310" s="174"/>
      <x:c r="DN310" s="174"/>
      <x:c r="DO310" s="174"/>
      <x:c r="DP310" s="174"/>
      <x:c r="DQ310" s="174"/>
      <x:c r="DR310" s="174"/>
      <x:c r="DS310" s="174"/>
      <x:c r="DT310" s="174"/>
      <x:c r="DU310" s="174"/>
      <x:c r="DV310" s="174"/>
      <x:c r="DW310" s="174"/>
      <x:c r="DX310" s="174"/>
      <x:c r="DY310" s="174"/>
      <x:c r="DZ310" s="174"/>
      <x:c r="EA310" s="174"/>
      <x:c r="EB310" s="175" t="str">
        <x:f>IF(L310="","",IF(AND(F310="Claim-ready",CJ310="Yes",CL310="Yes",DZ310&lt;&gt;""),"Yes","No / Pending"))</x:f>
      </x:c>
      <x:c r="EC310" s="174"/>
      <x:c r="ED310" s="174"/>
      <x:c r="EE310" s="174"/>
      <x:c r="EF310" s="174"/>
      <x:c r="EG310" s="174"/>
      <x:c r="EH310" s="177"/>
      <x:c r="EI310" s="174"/>
      <x:c r="EJ310" s="174"/>
      <x:c r="EK310" s="174"/>
      <x:c r="EL310" s="177"/>
      <x:c r="EM310" s="174"/>
      <x:c r="EN310" s="181" t="str">
        <x:f>IF(L310="","",(IF(N310&lt;&gt;"",1,0)+IF(O310&lt;&gt;"",1,0)+IF(AJ310&lt;&gt;"",1,0)+IF(AU310&lt;&gt;"",1,0)+IF(BE310&lt;&gt;"",1,0)+IF(CF310&lt;&gt;"",1,0)+IF(CJ310="Yes",1,0)+IF(CL310="Yes",1,0)+IF(DE310&lt;&gt;"Pending",1,0)+IF(F310&lt;&gt;"",1,0)+IF(DZ310&lt;&gt;"",1,0)+IF(EI310&lt;&gt;"",1,0))/12)</x:f>
      </x:c>
    </x:row>
    <x:row r="311">
      <x:c r="A311" s="175" t="str">
        <x:f>IF(L311="","","EV-"&amp;TEXT(ROW()-3,"0000"))</x:f>
      </x:c>
      <x:c r="B311" s="174"/>
      <x:c r="C311" s="175" t="str">
        <x:f>IF(L311="","",IF(OR(CM311="Retracted",CN311="Retracted",F311="Not used"),"🔴 Do not use for conclusion",IF(OR(R311="Official / Institutional",I311="Official / contextual"),"🔵 Official / contextual",IF(OR(I311="Definition",I311="Framework",I311="Paradigm shift"),"🟣 Conceptual key source",IF(AND(CJ311="Yes",CL311="Yes",OR(CG311="High",CG311="Moderate"),CH311&lt;&gt;"High",CH311&lt;&gt;"Critical",F311="Claim-ready"),"🟢 Claim-ready","🟡 Caution / context")))))</x:f>
      </x:c>
      <x:c r="D311" s="174"/>
      <x:c r="E311" s="174"/>
      <x:c r="F311" s="174"/>
      <x:c r="G311" s="174"/>
      <x:c r="H311" s="174"/>
      <x:c r="I311" s="174"/>
      <x:c r="J311" s="174"/>
      <x:c r="K311" s="174"/>
      <x:c r="L311" s="174"/>
      <x:c r="M311" s="174"/>
      <x:c r="N311" s="174"/>
      <x:c r="O311" s="176"/>
      <x:c r="P311" s="174"/>
      <x:c r="Q311" s="174"/>
      <x:c r="R311" s="174"/>
      <x:c r="S311" s="174"/>
      <x:c r="T311" s="174"/>
      <x:c r="U311" s="174"/>
      <x:c r="V311" s="174"/>
      <x:c r="W311" s="175" t="str">
        <x:f>IF(V311="","",LOWER(SUBSTITUTE(SUBSTITUTE(SUBSTITUTE(SUBSTITUTE(TRIM(V311),"https://doi.org/",""),"http://doi.org/",""),"https://dx.doi.org/",""),"doi:","")))</x:f>
      </x:c>
      <x:c r="X311" s="174"/>
      <x:c r="Y311" s="174"/>
      <x:c r="Z311" s="174"/>
      <x:c r="AA311" s="174"/>
      <x:c r="AB311" s="174"/>
      <x:c r="AC311" s="174"/>
      <x:c r="AD311" s="177"/>
      <x:c r="AE311" s="177"/>
      <x:c r="AF311" s="174"/>
      <x:c r="AG311" s="174"/>
      <x:c r="AH311" s="174"/>
      <x:c r="AI311" s="174"/>
      <x:c r="AJ311" s="174"/>
      <x:c r="AK311" s="175" t="str">
        <x:f>IF(AJ311="","",IF(OR(LOWER(AJ311)="brazil",LOWER(AJ311)="brasil"),"Yes","No"))</x:f>
      </x:c>
      <x:c r="AL311" s="174"/>
      <x:c r="AM311" s="174"/>
      <x:c r="AN311" s="174"/>
      <x:c r="AO311" s="178"/>
      <x:c r="AP311" s="174"/>
      <x:c r="AQ311" s="174"/>
      <x:c r="AR311" s="174"/>
      <x:c r="AS311" s="174"/>
      <x:c r="AT311" s="174"/>
      <x:c r="AU311" s="174"/>
      <x:c r="AV311" s="174"/>
      <x:c r="AW311" s="174"/>
      <x:c r="AX311" s="174"/>
      <x:c r="AY311" s="174"/>
      <x:c r="AZ311" s="174"/>
      <x:c r="BA311" s="174"/>
      <x:c r="BB311" s="174"/>
      <x:c r="BC311" s="174"/>
      <x:c r="BD311" s="174"/>
      <x:c r="BE311" s="174"/>
      <x:c r="BF311" s="174"/>
      <x:c r="BG311" s="174"/>
      <x:c r="BH311" s="174"/>
      <x:c r="BI311" s="174"/>
      <x:c r="BJ311" s="174"/>
      <x:c r="BK311" s="174"/>
      <x:c r="BL311" s="174"/>
      <x:c r="BM311" s="174"/>
      <x:c r="BN311" s="174"/>
      <x:c r="BO311" s="174"/>
      <x:c r="BP311" s="174"/>
      <x:c r="BQ311" s="174"/>
      <x:c r="BR311" s="174"/>
      <x:c r="BS311" s="174"/>
      <x:c r="BT311" s="174"/>
      <x:c r="BU311" s="174"/>
      <x:c r="BV311" s="174"/>
      <x:c r="BW311" s="174"/>
      <x:c r="BX311" s="174"/>
      <x:c r="BY311" s="174"/>
      <x:c r="BZ311" s="174"/>
      <x:c r="CA311" s="174"/>
      <x:c r="CB311" s="174"/>
      <x:c r="CC311" s="174"/>
      <x:c r="CD311" s="174"/>
      <x:c r="CE311" s="174"/>
      <x:c r="CF311" s="174"/>
      <x:c r="CG311" s="174"/>
      <x:c r="CH311" s="174"/>
      <x:c r="CI311" s="179"/>
      <x:c r="CJ311" s="174"/>
      <x:c r="CK311" s="174"/>
      <x:c r="CL311" s="174"/>
      <x:c r="CM311" s="174"/>
      <x:c r="CN311" s="174"/>
      <x:c r="CO311" s="177"/>
      <x:c r="CP311" s="174"/>
      <x:c r="CQ311" s="174"/>
      <x:c r="CR311" s="174"/>
      <x:c r="CS311" s="174"/>
      <x:c r="CT311" s="174"/>
      <x:c r="CU311" s="176"/>
      <x:c r="CV311" s="176"/>
      <x:c r="CW311" s="176"/>
      <x:c r="CX311" s="176"/>
      <x:c r="CY311" s="176"/>
      <x:c r="CZ311" s="176"/>
      <x:c r="DA311" s="176"/>
      <x:c r="DB311" s="175" t="str">
        <x:f>IF(L311="","",IF(COUNT(CU311:DA311)&lt;7,"",SUM(CU311:DA311)))</x:f>
      </x:c>
      <x:c r="DC311" s="180" t="str">
        <x:f>IF(DB311="","",ROUND(DB311/14*10,1))</x:f>
      </x:c>
      <x:c r="DD311" s="174"/>
      <x:c r="DE311" s="175" t="str">
        <x:f>IF(L311="","",IF(DC311="","Pending",IF(DD311="Yes","CONDITIONAL — safety override",IF(DC311&gt;=8,"HIGH",IF(DC311&gt;=5,"CONDITIONAL","LOW")))))</x:f>
      </x:c>
      <x:c r="DF311" s="174"/>
      <x:c r="DG311" s="174"/>
      <x:c r="DH311" s="174"/>
      <x:c r="DI311" s="174"/>
      <x:c r="DJ311" s="174"/>
      <x:c r="DK311" s="174"/>
      <x:c r="DL311" s="174"/>
      <x:c r="DM311" s="174"/>
      <x:c r="DN311" s="174"/>
      <x:c r="DO311" s="174"/>
      <x:c r="DP311" s="174"/>
      <x:c r="DQ311" s="174"/>
      <x:c r="DR311" s="174"/>
      <x:c r="DS311" s="174"/>
      <x:c r="DT311" s="174"/>
      <x:c r="DU311" s="174"/>
      <x:c r="DV311" s="174"/>
      <x:c r="DW311" s="174"/>
      <x:c r="DX311" s="174"/>
      <x:c r="DY311" s="174"/>
      <x:c r="DZ311" s="174"/>
      <x:c r="EA311" s="174"/>
      <x:c r="EB311" s="175" t="str">
        <x:f>IF(L311="","",IF(AND(F311="Claim-ready",CJ311="Yes",CL311="Yes",DZ311&lt;&gt;""),"Yes","No / Pending"))</x:f>
      </x:c>
      <x:c r="EC311" s="174"/>
      <x:c r="ED311" s="174"/>
      <x:c r="EE311" s="174"/>
      <x:c r="EF311" s="174"/>
      <x:c r="EG311" s="174"/>
      <x:c r="EH311" s="177"/>
      <x:c r="EI311" s="174"/>
      <x:c r="EJ311" s="174"/>
      <x:c r="EK311" s="174"/>
      <x:c r="EL311" s="177"/>
      <x:c r="EM311" s="174"/>
      <x:c r="EN311" s="181" t="str">
        <x:f>IF(L311="","",(IF(N311&lt;&gt;"",1,0)+IF(O311&lt;&gt;"",1,0)+IF(AJ311&lt;&gt;"",1,0)+IF(AU311&lt;&gt;"",1,0)+IF(BE311&lt;&gt;"",1,0)+IF(CF311&lt;&gt;"",1,0)+IF(CJ311="Yes",1,0)+IF(CL311="Yes",1,0)+IF(DE311&lt;&gt;"Pending",1,0)+IF(F311&lt;&gt;"",1,0)+IF(DZ311&lt;&gt;"",1,0)+IF(EI311&lt;&gt;"",1,0))/12)</x:f>
      </x:c>
    </x:row>
    <x:row r="312">
      <x:c r="A312" s="175" t="str">
        <x:f>IF(L312="","","EV-"&amp;TEXT(ROW()-3,"0000"))</x:f>
      </x:c>
      <x:c r="B312" s="174"/>
      <x:c r="C312" s="175" t="str">
        <x:f>IF(L312="","",IF(OR(CM312="Retracted",CN312="Retracted",F312="Not used"),"🔴 Do not use for conclusion",IF(OR(R312="Official / Institutional",I312="Official / contextual"),"🔵 Official / contextual",IF(OR(I312="Definition",I312="Framework",I312="Paradigm shift"),"🟣 Conceptual key source",IF(AND(CJ312="Yes",CL312="Yes",OR(CG312="High",CG312="Moderate"),CH312&lt;&gt;"High",CH312&lt;&gt;"Critical",F312="Claim-ready"),"🟢 Claim-ready","🟡 Caution / context")))))</x:f>
      </x:c>
      <x:c r="D312" s="174"/>
      <x:c r="E312" s="174"/>
      <x:c r="F312" s="174"/>
      <x:c r="G312" s="174"/>
      <x:c r="H312" s="174"/>
      <x:c r="I312" s="174"/>
      <x:c r="J312" s="174"/>
      <x:c r="K312" s="174"/>
      <x:c r="L312" s="174"/>
      <x:c r="M312" s="174"/>
      <x:c r="N312" s="174"/>
      <x:c r="O312" s="176"/>
      <x:c r="P312" s="174"/>
      <x:c r="Q312" s="174"/>
      <x:c r="R312" s="174"/>
      <x:c r="S312" s="174"/>
      <x:c r="T312" s="174"/>
      <x:c r="U312" s="174"/>
      <x:c r="V312" s="174"/>
      <x:c r="W312" s="175" t="str">
        <x:f>IF(V312="","",LOWER(SUBSTITUTE(SUBSTITUTE(SUBSTITUTE(SUBSTITUTE(TRIM(V312),"https://doi.org/",""),"http://doi.org/",""),"https://dx.doi.org/",""),"doi:","")))</x:f>
      </x:c>
      <x:c r="X312" s="174"/>
      <x:c r="Y312" s="174"/>
      <x:c r="Z312" s="174"/>
      <x:c r="AA312" s="174"/>
      <x:c r="AB312" s="174"/>
      <x:c r="AC312" s="174"/>
      <x:c r="AD312" s="177"/>
      <x:c r="AE312" s="177"/>
      <x:c r="AF312" s="174"/>
      <x:c r="AG312" s="174"/>
      <x:c r="AH312" s="174"/>
      <x:c r="AI312" s="174"/>
      <x:c r="AJ312" s="174"/>
      <x:c r="AK312" s="175" t="str">
        <x:f>IF(AJ312="","",IF(OR(LOWER(AJ312)="brazil",LOWER(AJ312)="brasil"),"Yes","No"))</x:f>
      </x:c>
      <x:c r="AL312" s="174"/>
      <x:c r="AM312" s="174"/>
      <x:c r="AN312" s="174"/>
      <x:c r="AO312" s="178"/>
      <x:c r="AP312" s="174"/>
      <x:c r="AQ312" s="174"/>
      <x:c r="AR312" s="174"/>
      <x:c r="AS312" s="174"/>
      <x:c r="AT312" s="174"/>
      <x:c r="AU312" s="174"/>
      <x:c r="AV312" s="174"/>
      <x:c r="AW312" s="174"/>
      <x:c r="AX312" s="174"/>
      <x:c r="AY312" s="174"/>
      <x:c r="AZ312" s="174"/>
      <x:c r="BA312" s="174"/>
      <x:c r="BB312" s="174"/>
      <x:c r="BC312" s="174"/>
      <x:c r="BD312" s="174"/>
      <x:c r="BE312" s="174"/>
      <x:c r="BF312" s="174"/>
      <x:c r="BG312" s="174"/>
      <x:c r="BH312" s="174"/>
      <x:c r="BI312" s="174"/>
      <x:c r="BJ312" s="174"/>
      <x:c r="BK312" s="174"/>
      <x:c r="BL312" s="174"/>
      <x:c r="BM312" s="174"/>
      <x:c r="BN312" s="174"/>
      <x:c r="BO312" s="174"/>
      <x:c r="BP312" s="174"/>
      <x:c r="BQ312" s="174"/>
      <x:c r="BR312" s="174"/>
      <x:c r="BS312" s="174"/>
      <x:c r="BT312" s="174"/>
      <x:c r="BU312" s="174"/>
      <x:c r="BV312" s="174"/>
      <x:c r="BW312" s="174"/>
      <x:c r="BX312" s="174"/>
      <x:c r="BY312" s="174"/>
      <x:c r="BZ312" s="174"/>
      <x:c r="CA312" s="174"/>
      <x:c r="CB312" s="174"/>
      <x:c r="CC312" s="174"/>
      <x:c r="CD312" s="174"/>
      <x:c r="CE312" s="174"/>
      <x:c r="CF312" s="174"/>
      <x:c r="CG312" s="174"/>
      <x:c r="CH312" s="174"/>
      <x:c r="CI312" s="179"/>
      <x:c r="CJ312" s="174"/>
      <x:c r="CK312" s="174"/>
      <x:c r="CL312" s="174"/>
      <x:c r="CM312" s="174"/>
      <x:c r="CN312" s="174"/>
      <x:c r="CO312" s="177"/>
      <x:c r="CP312" s="174"/>
      <x:c r="CQ312" s="174"/>
      <x:c r="CR312" s="174"/>
      <x:c r="CS312" s="174"/>
      <x:c r="CT312" s="174"/>
      <x:c r="CU312" s="176"/>
      <x:c r="CV312" s="176"/>
      <x:c r="CW312" s="176"/>
      <x:c r="CX312" s="176"/>
      <x:c r="CY312" s="176"/>
      <x:c r="CZ312" s="176"/>
      <x:c r="DA312" s="176"/>
      <x:c r="DB312" s="175" t="str">
        <x:f>IF(L312="","",IF(COUNT(CU312:DA312)&lt;7,"",SUM(CU312:DA312)))</x:f>
      </x:c>
      <x:c r="DC312" s="180" t="str">
        <x:f>IF(DB312="","",ROUND(DB312/14*10,1))</x:f>
      </x:c>
      <x:c r="DD312" s="174"/>
      <x:c r="DE312" s="175" t="str">
        <x:f>IF(L312="","",IF(DC312="","Pending",IF(DD312="Yes","CONDITIONAL — safety override",IF(DC312&gt;=8,"HIGH",IF(DC312&gt;=5,"CONDITIONAL","LOW")))))</x:f>
      </x:c>
      <x:c r="DF312" s="174"/>
      <x:c r="DG312" s="174"/>
      <x:c r="DH312" s="174"/>
      <x:c r="DI312" s="174"/>
      <x:c r="DJ312" s="174"/>
      <x:c r="DK312" s="174"/>
      <x:c r="DL312" s="174"/>
      <x:c r="DM312" s="174"/>
      <x:c r="DN312" s="174"/>
      <x:c r="DO312" s="174"/>
      <x:c r="DP312" s="174"/>
      <x:c r="DQ312" s="174"/>
      <x:c r="DR312" s="174"/>
      <x:c r="DS312" s="174"/>
      <x:c r="DT312" s="174"/>
      <x:c r="DU312" s="174"/>
      <x:c r="DV312" s="174"/>
      <x:c r="DW312" s="174"/>
      <x:c r="DX312" s="174"/>
      <x:c r="DY312" s="174"/>
      <x:c r="DZ312" s="174"/>
      <x:c r="EA312" s="174"/>
      <x:c r="EB312" s="175" t="str">
        <x:f>IF(L312="","",IF(AND(F312="Claim-ready",CJ312="Yes",CL312="Yes",DZ312&lt;&gt;""),"Yes","No / Pending"))</x:f>
      </x:c>
      <x:c r="EC312" s="174"/>
      <x:c r="ED312" s="174"/>
      <x:c r="EE312" s="174"/>
      <x:c r="EF312" s="174"/>
      <x:c r="EG312" s="174"/>
      <x:c r="EH312" s="177"/>
      <x:c r="EI312" s="174"/>
      <x:c r="EJ312" s="174"/>
      <x:c r="EK312" s="174"/>
      <x:c r="EL312" s="177"/>
      <x:c r="EM312" s="174"/>
      <x:c r="EN312" s="181" t="str">
        <x:f>IF(L312="","",(IF(N312&lt;&gt;"",1,0)+IF(O312&lt;&gt;"",1,0)+IF(AJ312&lt;&gt;"",1,0)+IF(AU312&lt;&gt;"",1,0)+IF(BE312&lt;&gt;"",1,0)+IF(CF312&lt;&gt;"",1,0)+IF(CJ312="Yes",1,0)+IF(CL312="Yes",1,0)+IF(DE312&lt;&gt;"Pending",1,0)+IF(F312&lt;&gt;"",1,0)+IF(DZ312&lt;&gt;"",1,0)+IF(EI312&lt;&gt;"",1,0))/12)</x:f>
      </x:c>
    </x:row>
    <x:row r="313">
      <x:c r="A313" s="175" t="str">
        <x:f>IF(L313="","","EV-"&amp;TEXT(ROW()-3,"0000"))</x:f>
      </x:c>
      <x:c r="B313" s="174"/>
      <x:c r="C313" s="175" t="str">
        <x:f>IF(L313="","",IF(OR(CM313="Retracted",CN313="Retracted",F313="Not used"),"🔴 Do not use for conclusion",IF(OR(R313="Official / Institutional",I313="Official / contextual"),"🔵 Official / contextual",IF(OR(I313="Definition",I313="Framework",I313="Paradigm shift"),"🟣 Conceptual key source",IF(AND(CJ313="Yes",CL313="Yes",OR(CG313="High",CG313="Moderate"),CH313&lt;&gt;"High",CH313&lt;&gt;"Critical",F313="Claim-ready"),"🟢 Claim-ready","🟡 Caution / context")))))</x:f>
      </x:c>
      <x:c r="D313" s="174"/>
      <x:c r="E313" s="174"/>
      <x:c r="F313" s="174"/>
      <x:c r="G313" s="174"/>
      <x:c r="H313" s="174"/>
      <x:c r="I313" s="174"/>
      <x:c r="J313" s="174"/>
      <x:c r="K313" s="174"/>
      <x:c r="L313" s="174"/>
      <x:c r="M313" s="174"/>
      <x:c r="N313" s="174"/>
      <x:c r="O313" s="176"/>
      <x:c r="P313" s="174"/>
      <x:c r="Q313" s="174"/>
      <x:c r="R313" s="174"/>
      <x:c r="S313" s="174"/>
      <x:c r="T313" s="174"/>
      <x:c r="U313" s="174"/>
      <x:c r="V313" s="174"/>
      <x:c r="W313" s="175" t="str">
        <x:f>IF(V313="","",LOWER(SUBSTITUTE(SUBSTITUTE(SUBSTITUTE(SUBSTITUTE(TRIM(V313),"https://doi.org/",""),"http://doi.org/",""),"https://dx.doi.org/",""),"doi:","")))</x:f>
      </x:c>
      <x:c r="X313" s="174"/>
      <x:c r="Y313" s="174"/>
      <x:c r="Z313" s="174"/>
      <x:c r="AA313" s="174"/>
      <x:c r="AB313" s="174"/>
      <x:c r="AC313" s="174"/>
      <x:c r="AD313" s="177"/>
      <x:c r="AE313" s="177"/>
      <x:c r="AF313" s="174"/>
      <x:c r="AG313" s="174"/>
      <x:c r="AH313" s="174"/>
      <x:c r="AI313" s="174"/>
      <x:c r="AJ313" s="174"/>
      <x:c r="AK313" s="175" t="str">
        <x:f>IF(AJ313="","",IF(OR(LOWER(AJ313)="brazil",LOWER(AJ313)="brasil"),"Yes","No"))</x:f>
      </x:c>
      <x:c r="AL313" s="174"/>
      <x:c r="AM313" s="174"/>
      <x:c r="AN313" s="174"/>
      <x:c r="AO313" s="178"/>
      <x:c r="AP313" s="174"/>
      <x:c r="AQ313" s="174"/>
      <x:c r="AR313" s="174"/>
      <x:c r="AS313" s="174"/>
      <x:c r="AT313" s="174"/>
      <x:c r="AU313" s="174"/>
      <x:c r="AV313" s="174"/>
      <x:c r="AW313" s="174"/>
      <x:c r="AX313" s="174"/>
      <x:c r="AY313" s="174"/>
      <x:c r="AZ313" s="174"/>
      <x:c r="BA313" s="174"/>
      <x:c r="BB313" s="174"/>
      <x:c r="BC313" s="174"/>
      <x:c r="BD313" s="174"/>
      <x:c r="BE313" s="174"/>
      <x:c r="BF313" s="174"/>
      <x:c r="BG313" s="174"/>
      <x:c r="BH313" s="174"/>
      <x:c r="BI313" s="174"/>
      <x:c r="BJ313" s="174"/>
      <x:c r="BK313" s="174"/>
      <x:c r="BL313" s="174"/>
      <x:c r="BM313" s="174"/>
      <x:c r="BN313" s="174"/>
      <x:c r="BO313" s="174"/>
      <x:c r="BP313" s="174"/>
      <x:c r="BQ313" s="174"/>
      <x:c r="BR313" s="174"/>
      <x:c r="BS313" s="174"/>
      <x:c r="BT313" s="174"/>
      <x:c r="BU313" s="174"/>
      <x:c r="BV313" s="174"/>
      <x:c r="BW313" s="174"/>
      <x:c r="BX313" s="174"/>
      <x:c r="BY313" s="174"/>
      <x:c r="BZ313" s="174"/>
      <x:c r="CA313" s="174"/>
      <x:c r="CB313" s="174"/>
      <x:c r="CC313" s="174"/>
      <x:c r="CD313" s="174"/>
      <x:c r="CE313" s="174"/>
      <x:c r="CF313" s="174"/>
      <x:c r="CG313" s="174"/>
      <x:c r="CH313" s="174"/>
      <x:c r="CI313" s="179"/>
      <x:c r="CJ313" s="174"/>
      <x:c r="CK313" s="174"/>
      <x:c r="CL313" s="174"/>
      <x:c r="CM313" s="174"/>
      <x:c r="CN313" s="174"/>
      <x:c r="CO313" s="177"/>
      <x:c r="CP313" s="174"/>
      <x:c r="CQ313" s="174"/>
      <x:c r="CR313" s="174"/>
      <x:c r="CS313" s="174"/>
      <x:c r="CT313" s="174"/>
      <x:c r="CU313" s="176"/>
      <x:c r="CV313" s="176"/>
      <x:c r="CW313" s="176"/>
      <x:c r="CX313" s="176"/>
      <x:c r="CY313" s="176"/>
      <x:c r="CZ313" s="176"/>
      <x:c r="DA313" s="176"/>
      <x:c r="DB313" s="175" t="str">
        <x:f>IF(L313="","",IF(COUNT(CU313:DA313)&lt;7,"",SUM(CU313:DA313)))</x:f>
      </x:c>
      <x:c r="DC313" s="180" t="str">
        <x:f>IF(DB313="","",ROUND(DB313/14*10,1))</x:f>
      </x:c>
      <x:c r="DD313" s="174"/>
      <x:c r="DE313" s="175" t="str">
        <x:f>IF(L313="","",IF(DC313="","Pending",IF(DD313="Yes","CONDITIONAL — safety override",IF(DC313&gt;=8,"HIGH",IF(DC313&gt;=5,"CONDITIONAL","LOW")))))</x:f>
      </x:c>
      <x:c r="DF313" s="174"/>
      <x:c r="DG313" s="174"/>
      <x:c r="DH313" s="174"/>
      <x:c r="DI313" s="174"/>
      <x:c r="DJ313" s="174"/>
      <x:c r="DK313" s="174"/>
      <x:c r="DL313" s="174"/>
      <x:c r="DM313" s="174"/>
      <x:c r="DN313" s="174"/>
      <x:c r="DO313" s="174"/>
      <x:c r="DP313" s="174"/>
      <x:c r="DQ313" s="174"/>
      <x:c r="DR313" s="174"/>
      <x:c r="DS313" s="174"/>
      <x:c r="DT313" s="174"/>
      <x:c r="DU313" s="174"/>
      <x:c r="DV313" s="174"/>
      <x:c r="DW313" s="174"/>
      <x:c r="DX313" s="174"/>
      <x:c r="DY313" s="174"/>
      <x:c r="DZ313" s="174"/>
      <x:c r="EA313" s="174"/>
      <x:c r="EB313" s="175" t="str">
        <x:f>IF(L313="","",IF(AND(F313="Claim-ready",CJ313="Yes",CL313="Yes",DZ313&lt;&gt;""),"Yes","No / Pending"))</x:f>
      </x:c>
      <x:c r="EC313" s="174"/>
      <x:c r="ED313" s="174"/>
      <x:c r="EE313" s="174"/>
      <x:c r="EF313" s="174"/>
      <x:c r="EG313" s="174"/>
      <x:c r="EH313" s="177"/>
      <x:c r="EI313" s="174"/>
      <x:c r="EJ313" s="174"/>
      <x:c r="EK313" s="174"/>
      <x:c r="EL313" s="177"/>
      <x:c r="EM313" s="174"/>
      <x:c r="EN313" s="181" t="str">
        <x:f>IF(L313="","",(IF(N313&lt;&gt;"",1,0)+IF(O313&lt;&gt;"",1,0)+IF(AJ313&lt;&gt;"",1,0)+IF(AU313&lt;&gt;"",1,0)+IF(BE313&lt;&gt;"",1,0)+IF(CF313&lt;&gt;"",1,0)+IF(CJ313="Yes",1,0)+IF(CL313="Yes",1,0)+IF(DE313&lt;&gt;"Pending",1,0)+IF(F313&lt;&gt;"",1,0)+IF(DZ313&lt;&gt;"",1,0)+IF(EI313&lt;&gt;"",1,0))/12)</x:f>
      </x:c>
    </x:row>
    <x:row r="314">
      <x:c r="A314" s="175" t="str">
        <x:f>IF(L314="","","EV-"&amp;TEXT(ROW()-3,"0000"))</x:f>
      </x:c>
      <x:c r="B314" s="174"/>
      <x:c r="C314" s="175" t="str">
        <x:f>IF(L314="","",IF(OR(CM314="Retracted",CN314="Retracted",F314="Not used"),"🔴 Do not use for conclusion",IF(OR(R314="Official / Institutional",I314="Official / contextual"),"🔵 Official / contextual",IF(OR(I314="Definition",I314="Framework",I314="Paradigm shift"),"🟣 Conceptual key source",IF(AND(CJ314="Yes",CL314="Yes",OR(CG314="High",CG314="Moderate"),CH314&lt;&gt;"High",CH314&lt;&gt;"Critical",F314="Claim-ready"),"🟢 Claim-ready","🟡 Caution / context")))))</x:f>
      </x:c>
      <x:c r="D314" s="174"/>
      <x:c r="E314" s="174"/>
      <x:c r="F314" s="174"/>
      <x:c r="G314" s="174"/>
      <x:c r="H314" s="174"/>
      <x:c r="I314" s="174"/>
      <x:c r="J314" s="174"/>
      <x:c r="K314" s="174"/>
      <x:c r="L314" s="174"/>
      <x:c r="M314" s="174"/>
      <x:c r="N314" s="174"/>
      <x:c r="O314" s="176"/>
      <x:c r="P314" s="174"/>
      <x:c r="Q314" s="174"/>
      <x:c r="R314" s="174"/>
      <x:c r="S314" s="174"/>
      <x:c r="T314" s="174"/>
      <x:c r="U314" s="174"/>
      <x:c r="V314" s="174"/>
      <x:c r="W314" s="175" t="str">
        <x:f>IF(V314="","",LOWER(SUBSTITUTE(SUBSTITUTE(SUBSTITUTE(SUBSTITUTE(TRIM(V314),"https://doi.org/",""),"http://doi.org/",""),"https://dx.doi.org/",""),"doi:","")))</x:f>
      </x:c>
      <x:c r="X314" s="174"/>
      <x:c r="Y314" s="174"/>
      <x:c r="Z314" s="174"/>
      <x:c r="AA314" s="174"/>
      <x:c r="AB314" s="174"/>
      <x:c r="AC314" s="174"/>
      <x:c r="AD314" s="177"/>
      <x:c r="AE314" s="177"/>
      <x:c r="AF314" s="174"/>
      <x:c r="AG314" s="174"/>
      <x:c r="AH314" s="174"/>
      <x:c r="AI314" s="174"/>
      <x:c r="AJ314" s="174"/>
      <x:c r="AK314" s="175" t="str">
        <x:f>IF(AJ314="","",IF(OR(LOWER(AJ314)="brazil",LOWER(AJ314)="brasil"),"Yes","No"))</x:f>
      </x:c>
      <x:c r="AL314" s="174"/>
      <x:c r="AM314" s="174"/>
      <x:c r="AN314" s="174"/>
      <x:c r="AO314" s="178"/>
      <x:c r="AP314" s="174"/>
      <x:c r="AQ314" s="174"/>
      <x:c r="AR314" s="174"/>
      <x:c r="AS314" s="174"/>
      <x:c r="AT314" s="174"/>
      <x:c r="AU314" s="174"/>
      <x:c r="AV314" s="174"/>
      <x:c r="AW314" s="174"/>
      <x:c r="AX314" s="174"/>
      <x:c r="AY314" s="174"/>
      <x:c r="AZ314" s="174"/>
      <x:c r="BA314" s="174"/>
      <x:c r="BB314" s="174"/>
      <x:c r="BC314" s="174"/>
      <x:c r="BD314" s="174"/>
      <x:c r="BE314" s="174"/>
      <x:c r="BF314" s="174"/>
      <x:c r="BG314" s="174"/>
      <x:c r="BH314" s="174"/>
      <x:c r="BI314" s="174"/>
      <x:c r="BJ314" s="174"/>
      <x:c r="BK314" s="174"/>
      <x:c r="BL314" s="174"/>
      <x:c r="BM314" s="174"/>
      <x:c r="BN314" s="174"/>
      <x:c r="BO314" s="174"/>
      <x:c r="BP314" s="174"/>
      <x:c r="BQ314" s="174"/>
      <x:c r="BR314" s="174"/>
      <x:c r="BS314" s="174"/>
      <x:c r="BT314" s="174"/>
      <x:c r="BU314" s="174"/>
      <x:c r="BV314" s="174"/>
      <x:c r="BW314" s="174"/>
      <x:c r="BX314" s="174"/>
      <x:c r="BY314" s="174"/>
      <x:c r="BZ314" s="174"/>
      <x:c r="CA314" s="174"/>
      <x:c r="CB314" s="174"/>
      <x:c r="CC314" s="174"/>
      <x:c r="CD314" s="174"/>
      <x:c r="CE314" s="174"/>
      <x:c r="CF314" s="174"/>
      <x:c r="CG314" s="174"/>
      <x:c r="CH314" s="174"/>
      <x:c r="CI314" s="179"/>
      <x:c r="CJ314" s="174"/>
      <x:c r="CK314" s="174"/>
      <x:c r="CL314" s="174"/>
      <x:c r="CM314" s="174"/>
      <x:c r="CN314" s="174"/>
      <x:c r="CO314" s="177"/>
      <x:c r="CP314" s="174"/>
      <x:c r="CQ314" s="174"/>
      <x:c r="CR314" s="174"/>
      <x:c r="CS314" s="174"/>
      <x:c r="CT314" s="174"/>
      <x:c r="CU314" s="176"/>
      <x:c r="CV314" s="176"/>
      <x:c r="CW314" s="176"/>
      <x:c r="CX314" s="176"/>
      <x:c r="CY314" s="176"/>
      <x:c r="CZ314" s="176"/>
      <x:c r="DA314" s="176"/>
      <x:c r="DB314" s="175" t="str">
        <x:f>IF(L314="","",IF(COUNT(CU314:DA314)&lt;7,"",SUM(CU314:DA314)))</x:f>
      </x:c>
      <x:c r="DC314" s="180" t="str">
        <x:f>IF(DB314="","",ROUND(DB314/14*10,1))</x:f>
      </x:c>
      <x:c r="DD314" s="174"/>
      <x:c r="DE314" s="175" t="str">
        <x:f>IF(L314="","",IF(DC314="","Pending",IF(DD314="Yes","CONDITIONAL — safety override",IF(DC314&gt;=8,"HIGH",IF(DC314&gt;=5,"CONDITIONAL","LOW")))))</x:f>
      </x:c>
      <x:c r="DF314" s="174"/>
      <x:c r="DG314" s="174"/>
      <x:c r="DH314" s="174"/>
      <x:c r="DI314" s="174"/>
      <x:c r="DJ314" s="174"/>
      <x:c r="DK314" s="174"/>
      <x:c r="DL314" s="174"/>
      <x:c r="DM314" s="174"/>
      <x:c r="DN314" s="174"/>
      <x:c r="DO314" s="174"/>
      <x:c r="DP314" s="174"/>
      <x:c r="DQ314" s="174"/>
      <x:c r="DR314" s="174"/>
      <x:c r="DS314" s="174"/>
      <x:c r="DT314" s="174"/>
      <x:c r="DU314" s="174"/>
      <x:c r="DV314" s="174"/>
      <x:c r="DW314" s="174"/>
      <x:c r="DX314" s="174"/>
      <x:c r="DY314" s="174"/>
      <x:c r="DZ314" s="174"/>
      <x:c r="EA314" s="174"/>
      <x:c r="EB314" s="175" t="str">
        <x:f>IF(L314="","",IF(AND(F314="Claim-ready",CJ314="Yes",CL314="Yes",DZ314&lt;&gt;""),"Yes","No / Pending"))</x:f>
      </x:c>
      <x:c r="EC314" s="174"/>
      <x:c r="ED314" s="174"/>
      <x:c r="EE314" s="174"/>
      <x:c r="EF314" s="174"/>
      <x:c r="EG314" s="174"/>
      <x:c r="EH314" s="177"/>
      <x:c r="EI314" s="174"/>
      <x:c r="EJ314" s="174"/>
      <x:c r="EK314" s="174"/>
      <x:c r="EL314" s="177"/>
      <x:c r="EM314" s="174"/>
      <x:c r="EN314" s="181" t="str">
        <x:f>IF(L314="","",(IF(N314&lt;&gt;"",1,0)+IF(O314&lt;&gt;"",1,0)+IF(AJ314&lt;&gt;"",1,0)+IF(AU314&lt;&gt;"",1,0)+IF(BE314&lt;&gt;"",1,0)+IF(CF314&lt;&gt;"",1,0)+IF(CJ314="Yes",1,0)+IF(CL314="Yes",1,0)+IF(DE314&lt;&gt;"Pending",1,0)+IF(F314&lt;&gt;"",1,0)+IF(DZ314&lt;&gt;"",1,0)+IF(EI314&lt;&gt;"",1,0))/12)</x:f>
      </x:c>
    </x:row>
    <x:row r="315">
      <x:c r="A315" s="175" t="str">
        <x:f>IF(L315="","","EV-"&amp;TEXT(ROW()-3,"0000"))</x:f>
      </x:c>
      <x:c r="B315" s="174"/>
      <x:c r="C315" s="175" t="str">
        <x:f>IF(L315="","",IF(OR(CM315="Retracted",CN315="Retracted",F315="Not used"),"🔴 Do not use for conclusion",IF(OR(R315="Official / Institutional",I315="Official / contextual"),"🔵 Official / contextual",IF(OR(I315="Definition",I315="Framework",I315="Paradigm shift"),"🟣 Conceptual key source",IF(AND(CJ315="Yes",CL315="Yes",OR(CG315="High",CG315="Moderate"),CH315&lt;&gt;"High",CH315&lt;&gt;"Critical",F315="Claim-ready"),"🟢 Claim-ready","🟡 Caution / context")))))</x:f>
      </x:c>
      <x:c r="D315" s="174"/>
      <x:c r="E315" s="174"/>
      <x:c r="F315" s="174"/>
      <x:c r="G315" s="174"/>
      <x:c r="H315" s="174"/>
      <x:c r="I315" s="174"/>
      <x:c r="J315" s="174"/>
      <x:c r="K315" s="174"/>
      <x:c r="L315" s="174"/>
      <x:c r="M315" s="174"/>
      <x:c r="N315" s="174"/>
      <x:c r="O315" s="176"/>
      <x:c r="P315" s="174"/>
      <x:c r="Q315" s="174"/>
      <x:c r="R315" s="174"/>
      <x:c r="S315" s="174"/>
      <x:c r="T315" s="174"/>
      <x:c r="U315" s="174"/>
      <x:c r="V315" s="174"/>
      <x:c r="W315" s="175" t="str">
        <x:f>IF(V315="","",LOWER(SUBSTITUTE(SUBSTITUTE(SUBSTITUTE(SUBSTITUTE(TRIM(V315),"https://doi.org/",""),"http://doi.org/",""),"https://dx.doi.org/",""),"doi:","")))</x:f>
      </x:c>
      <x:c r="X315" s="174"/>
      <x:c r="Y315" s="174"/>
      <x:c r="Z315" s="174"/>
      <x:c r="AA315" s="174"/>
      <x:c r="AB315" s="174"/>
      <x:c r="AC315" s="174"/>
      <x:c r="AD315" s="177"/>
      <x:c r="AE315" s="177"/>
      <x:c r="AF315" s="174"/>
      <x:c r="AG315" s="174"/>
      <x:c r="AH315" s="174"/>
      <x:c r="AI315" s="174"/>
      <x:c r="AJ315" s="174"/>
      <x:c r="AK315" s="175" t="str">
        <x:f>IF(AJ315="","",IF(OR(LOWER(AJ315)="brazil",LOWER(AJ315)="brasil"),"Yes","No"))</x:f>
      </x:c>
      <x:c r="AL315" s="174"/>
      <x:c r="AM315" s="174"/>
      <x:c r="AN315" s="174"/>
      <x:c r="AO315" s="178"/>
      <x:c r="AP315" s="174"/>
      <x:c r="AQ315" s="174"/>
      <x:c r="AR315" s="174"/>
      <x:c r="AS315" s="174"/>
      <x:c r="AT315" s="174"/>
      <x:c r="AU315" s="174"/>
      <x:c r="AV315" s="174"/>
      <x:c r="AW315" s="174"/>
      <x:c r="AX315" s="174"/>
      <x:c r="AY315" s="174"/>
      <x:c r="AZ315" s="174"/>
      <x:c r="BA315" s="174"/>
      <x:c r="BB315" s="174"/>
      <x:c r="BC315" s="174"/>
      <x:c r="BD315" s="174"/>
      <x:c r="BE315" s="174"/>
      <x:c r="BF315" s="174"/>
      <x:c r="BG315" s="174"/>
      <x:c r="BH315" s="174"/>
      <x:c r="BI315" s="174"/>
      <x:c r="BJ315" s="174"/>
      <x:c r="BK315" s="174"/>
      <x:c r="BL315" s="174"/>
      <x:c r="BM315" s="174"/>
      <x:c r="BN315" s="174"/>
      <x:c r="BO315" s="174"/>
      <x:c r="BP315" s="174"/>
      <x:c r="BQ315" s="174"/>
      <x:c r="BR315" s="174"/>
      <x:c r="BS315" s="174"/>
      <x:c r="BT315" s="174"/>
      <x:c r="BU315" s="174"/>
      <x:c r="BV315" s="174"/>
      <x:c r="BW315" s="174"/>
      <x:c r="BX315" s="174"/>
      <x:c r="BY315" s="174"/>
      <x:c r="BZ315" s="174"/>
      <x:c r="CA315" s="174"/>
      <x:c r="CB315" s="174"/>
      <x:c r="CC315" s="174"/>
      <x:c r="CD315" s="174"/>
      <x:c r="CE315" s="174"/>
      <x:c r="CF315" s="174"/>
      <x:c r="CG315" s="174"/>
      <x:c r="CH315" s="174"/>
      <x:c r="CI315" s="179"/>
      <x:c r="CJ315" s="174"/>
      <x:c r="CK315" s="174"/>
      <x:c r="CL315" s="174"/>
      <x:c r="CM315" s="174"/>
      <x:c r="CN315" s="174"/>
      <x:c r="CO315" s="177"/>
      <x:c r="CP315" s="174"/>
      <x:c r="CQ315" s="174"/>
      <x:c r="CR315" s="174"/>
      <x:c r="CS315" s="174"/>
      <x:c r="CT315" s="174"/>
      <x:c r="CU315" s="176"/>
      <x:c r="CV315" s="176"/>
      <x:c r="CW315" s="176"/>
      <x:c r="CX315" s="176"/>
      <x:c r="CY315" s="176"/>
      <x:c r="CZ315" s="176"/>
      <x:c r="DA315" s="176"/>
      <x:c r="DB315" s="175" t="str">
        <x:f>IF(L315="","",IF(COUNT(CU315:DA315)&lt;7,"",SUM(CU315:DA315)))</x:f>
      </x:c>
      <x:c r="DC315" s="180" t="str">
        <x:f>IF(DB315="","",ROUND(DB315/14*10,1))</x:f>
      </x:c>
      <x:c r="DD315" s="174"/>
      <x:c r="DE315" s="175" t="str">
        <x:f>IF(L315="","",IF(DC315="","Pending",IF(DD315="Yes","CONDITIONAL — safety override",IF(DC315&gt;=8,"HIGH",IF(DC315&gt;=5,"CONDITIONAL","LOW")))))</x:f>
      </x:c>
      <x:c r="DF315" s="174"/>
      <x:c r="DG315" s="174"/>
      <x:c r="DH315" s="174"/>
      <x:c r="DI315" s="174"/>
      <x:c r="DJ315" s="174"/>
      <x:c r="DK315" s="174"/>
      <x:c r="DL315" s="174"/>
      <x:c r="DM315" s="174"/>
      <x:c r="DN315" s="174"/>
      <x:c r="DO315" s="174"/>
      <x:c r="DP315" s="174"/>
      <x:c r="DQ315" s="174"/>
      <x:c r="DR315" s="174"/>
      <x:c r="DS315" s="174"/>
      <x:c r="DT315" s="174"/>
      <x:c r="DU315" s="174"/>
      <x:c r="DV315" s="174"/>
      <x:c r="DW315" s="174"/>
      <x:c r="DX315" s="174"/>
      <x:c r="DY315" s="174"/>
      <x:c r="DZ315" s="174"/>
      <x:c r="EA315" s="174"/>
      <x:c r="EB315" s="175" t="str">
        <x:f>IF(L315="","",IF(AND(F315="Claim-ready",CJ315="Yes",CL315="Yes",DZ315&lt;&gt;""),"Yes","No / Pending"))</x:f>
      </x:c>
      <x:c r="EC315" s="174"/>
      <x:c r="ED315" s="174"/>
      <x:c r="EE315" s="174"/>
      <x:c r="EF315" s="174"/>
      <x:c r="EG315" s="174"/>
      <x:c r="EH315" s="177"/>
      <x:c r="EI315" s="174"/>
      <x:c r="EJ315" s="174"/>
      <x:c r="EK315" s="174"/>
      <x:c r="EL315" s="177"/>
      <x:c r="EM315" s="174"/>
      <x:c r="EN315" s="181" t="str">
        <x:f>IF(L315="","",(IF(N315&lt;&gt;"",1,0)+IF(O315&lt;&gt;"",1,0)+IF(AJ315&lt;&gt;"",1,0)+IF(AU315&lt;&gt;"",1,0)+IF(BE315&lt;&gt;"",1,0)+IF(CF315&lt;&gt;"",1,0)+IF(CJ315="Yes",1,0)+IF(CL315="Yes",1,0)+IF(DE315&lt;&gt;"Pending",1,0)+IF(F315&lt;&gt;"",1,0)+IF(DZ315&lt;&gt;"",1,0)+IF(EI315&lt;&gt;"",1,0))/12)</x:f>
      </x:c>
    </x:row>
    <x:row r="316">
      <x:c r="A316" s="175" t="str">
        <x:f>IF(L316="","","EV-"&amp;TEXT(ROW()-3,"0000"))</x:f>
      </x:c>
      <x:c r="B316" s="174"/>
      <x:c r="C316" s="175" t="str">
        <x:f>IF(L316="","",IF(OR(CM316="Retracted",CN316="Retracted",F316="Not used"),"🔴 Do not use for conclusion",IF(OR(R316="Official / Institutional",I316="Official / contextual"),"🔵 Official / contextual",IF(OR(I316="Definition",I316="Framework",I316="Paradigm shift"),"🟣 Conceptual key source",IF(AND(CJ316="Yes",CL316="Yes",OR(CG316="High",CG316="Moderate"),CH316&lt;&gt;"High",CH316&lt;&gt;"Critical",F316="Claim-ready"),"🟢 Claim-ready","🟡 Caution / context")))))</x:f>
      </x:c>
      <x:c r="D316" s="174"/>
      <x:c r="E316" s="174"/>
      <x:c r="F316" s="174"/>
      <x:c r="G316" s="174"/>
      <x:c r="H316" s="174"/>
      <x:c r="I316" s="174"/>
      <x:c r="J316" s="174"/>
      <x:c r="K316" s="174"/>
      <x:c r="L316" s="174"/>
      <x:c r="M316" s="174"/>
      <x:c r="N316" s="174"/>
      <x:c r="O316" s="176"/>
      <x:c r="P316" s="174"/>
      <x:c r="Q316" s="174"/>
      <x:c r="R316" s="174"/>
      <x:c r="S316" s="174"/>
      <x:c r="T316" s="174"/>
      <x:c r="U316" s="174"/>
      <x:c r="V316" s="174"/>
      <x:c r="W316" s="175" t="str">
        <x:f>IF(V316="","",LOWER(SUBSTITUTE(SUBSTITUTE(SUBSTITUTE(SUBSTITUTE(TRIM(V316),"https://doi.org/",""),"http://doi.org/",""),"https://dx.doi.org/",""),"doi:","")))</x:f>
      </x:c>
      <x:c r="X316" s="174"/>
      <x:c r="Y316" s="174"/>
      <x:c r="Z316" s="174"/>
      <x:c r="AA316" s="174"/>
      <x:c r="AB316" s="174"/>
      <x:c r="AC316" s="174"/>
      <x:c r="AD316" s="177"/>
      <x:c r="AE316" s="177"/>
      <x:c r="AF316" s="174"/>
      <x:c r="AG316" s="174"/>
      <x:c r="AH316" s="174"/>
      <x:c r="AI316" s="174"/>
      <x:c r="AJ316" s="174"/>
      <x:c r="AK316" s="175" t="str">
        <x:f>IF(AJ316="","",IF(OR(LOWER(AJ316)="brazil",LOWER(AJ316)="brasil"),"Yes","No"))</x:f>
      </x:c>
      <x:c r="AL316" s="174"/>
      <x:c r="AM316" s="174"/>
      <x:c r="AN316" s="174"/>
      <x:c r="AO316" s="178"/>
      <x:c r="AP316" s="174"/>
      <x:c r="AQ316" s="174"/>
      <x:c r="AR316" s="174"/>
      <x:c r="AS316" s="174"/>
      <x:c r="AT316" s="174"/>
      <x:c r="AU316" s="174"/>
      <x:c r="AV316" s="174"/>
      <x:c r="AW316" s="174"/>
      <x:c r="AX316" s="174"/>
      <x:c r="AY316" s="174"/>
      <x:c r="AZ316" s="174"/>
      <x:c r="BA316" s="174"/>
      <x:c r="BB316" s="174"/>
      <x:c r="BC316" s="174"/>
      <x:c r="BD316" s="174"/>
      <x:c r="BE316" s="174"/>
      <x:c r="BF316" s="174"/>
      <x:c r="BG316" s="174"/>
      <x:c r="BH316" s="174"/>
      <x:c r="BI316" s="174"/>
      <x:c r="BJ316" s="174"/>
      <x:c r="BK316" s="174"/>
      <x:c r="BL316" s="174"/>
      <x:c r="BM316" s="174"/>
      <x:c r="BN316" s="174"/>
      <x:c r="BO316" s="174"/>
      <x:c r="BP316" s="174"/>
      <x:c r="BQ316" s="174"/>
      <x:c r="BR316" s="174"/>
      <x:c r="BS316" s="174"/>
      <x:c r="BT316" s="174"/>
      <x:c r="BU316" s="174"/>
      <x:c r="BV316" s="174"/>
      <x:c r="BW316" s="174"/>
      <x:c r="BX316" s="174"/>
      <x:c r="BY316" s="174"/>
      <x:c r="BZ316" s="174"/>
      <x:c r="CA316" s="174"/>
      <x:c r="CB316" s="174"/>
      <x:c r="CC316" s="174"/>
      <x:c r="CD316" s="174"/>
      <x:c r="CE316" s="174"/>
      <x:c r="CF316" s="174"/>
      <x:c r="CG316" s="174"/>
      <x:c r="CH316" s="174"/>
      <x:c r="CI316" s="179"/>
      <x:c r="CJ316" s="174"/>
      <x:c r="CK316" s="174"/>
      <x:c r="CL316" s="174"/>
      <x:c r="CM316" s="174"/>
      <x:c r="CN316" s="174"/>
      <x:c r="CO316" s="177"/>
      <x:c r="CP316" s="174"/>
      <x:c r="CQ316" s="174"/>
      <x:c r="CR316" s="174"/>
      <x:c r="CS316" s="174"/>
      <x:c r="CT316" s="174"/>
      <x:c r="CU316" s="176"/>
      <x:c r="CV316" s="176"/>
      <x:c r="CW316" s="176"/>
      <x:c r="CX316" s="176"/>
      <x:c r="CY316" s="176"/>
      <x:c r="CZ316" s="176"/>
      <x:c r="DA316" s="176"/>
      <x:c r="DB316" s="175" t="str">
        <x:f>IF(L316="","",IF(COUNT(CU316:DA316)&lt;7,"",SUM(CU316:DA316)))</x:f>
      </x:c>
      <x:c r="DC316" s="180" t="str">
        <x:f>IF(DB316="","",ROUND(DB316/14*10,1))</x:f>
      </x:c>
      <x:c r="DD316" s="174"/>
      <x:c r="DE316" s="175" t="str">
        <x:f>IF(L316="","",IF(DC316="","Pending",IF(DD316="Yes","CONDITIONAL — safety override",IF(DC316&gt;=8,"HIGH",IF(DC316&gt;=5,"CONDITIONAL","LOW")))))</x:f>
      </x:c>
      <x:c r="DF316" s="174"/>
      <x:c r="DG316" s="174"/>
      <x:c r="DH316" s="174"/>
      <x:c r="DI316" s="174"/>
      <x:c r="DJ316" s="174"/>
      <x:c r="DK316" s="174"/>
      <x:c r="DL316" s="174"/>
      <x:c r="DM316" s="174"/>
      <x:c r="DN316" s="174"/>
      <x:c r="DO316" s="174"/>
      <x:c r="DP316" s="174"/>
      <x:c r="DQ316" s="174"/>
      <x:c r="DR316" s="174"/>
      <x:c r="DS316" s="174"/>
      <x:c r="DT316" s="174"/>
      <x:c r="DU316" s="174"/>
      <x:c r="DV316" s="174"/>
      <x:c r="DW316" s="174"/>
      <x:c r="DX316" s="174"/>
      <x:c r="DY316" s="174"/>
      <x:c r="DZ316" s="174"/>
      <x:c r="EA316" s="174"/>
      <x:c r="EB316" s="175" t="str">
        <x:f>IF(L316="","",IF(AND(F316="Claim-ready",CJ316="Yes",CL316="Yes",DZ316&lt;&gt;""),"Yes","No / Pending"))</x:f>
      </x:c>
      <x:c r="EC316" s="174"/>
      <x:c r="ED316" s="174"/>
      <x:c r="EE316" s="174"/>
      <x:c r="EF316" s="174"/>
      <x:c r="EG316" s="174"/>
      <x:c r="EH316" s="177"/>
      <x:c r="EI316" s="174"/>
      <x:c r="EJ316" s="174"/>
      <x:c r="EK316" s="174"/>
      <x:c r="EL316" s="177"/>
      <x:c r="EM316" s="174"/>
      <x:c r="EN316" s="181" t="str">
        <x:f>IF(L316="","",(IF(N316&lt;&gt;"",1,0)+IF(O316&lt;&gt;"",1,0)+IF(AJ316&lt;&gt;"",1,0)+IF(AU316&lt;&gt;"",1,0)+IF(BE316&lt;&gt;"",1,0)+IF(CF316&lt;&gt;"",1,0)+IF(CJ316="Yes",1,0)+IF(CL316="Yes",1,0)+IF(DE316&lt;&gt;"Pending",1,0)+IF(F316&lt;&gt;"",1,0)+IF(DZ316&lt;&gt;"",1,0)+IF(EI316&lt;&gt;"",1,0))/12)</x:f>
      </x:c>
    </x:row>
    <x:row r="317">
      <x:c r="A317" s="175" t="str">
        <x:f>IF(L317="","","EV-"&amp;TEXT(ROW()-3,"0000"))</x:f>
      </x:c>
      <x:c r="B317" s="174"/>
      <x:c r="C317" s="175" t="str">
        <x:f>IF(L317="","",IF(OR(CM317="Retracted",CN317="Retracted",F317="Not used"),"🔴 Do not use for conclusion",IF(OR(R317="Official / Institutional",I317="Official / contextual"),"🔵 Official / contextual",IF(OR(I317="Definition",I317="Framework",I317="Paradigm shift"),"🟣 Conceptual key source",IF(AND(CJ317="Yes",CL317="Yes",OR(CG317="High",CG317="Moderate"),CH317&lt;&gt;"High",CH317&lt;&gt;"Critical",F317="Claim-ready"),"🟢 Claim-ready","🟡 Caution / context")))))</x:f>
      </x:c>
      <x:c r="D317" s="174"/>
      <x:c r="E317" s="174"/>
      <x:c r="F317" s="174"/>
      <x:c r="G317" s="174"/>
      <x:c r="H317" s="174"/>
      <x:c r="I317" s="174"/>
      <x:c r="J317" s="174"/>
      <x:c r="K317" s="174"/>
      <x:c r="L317" s="174"/>
      <x:c r="M317" s="174"/>
      <x:c r="N317" s="174"/>
      <x:c r="O317" s="176"/>
      <x:c r="P317" s="174"/>
      <x:c r="Q317" s="174"/>
      <x:c r="R317" s="174"/>
      <x:c r="S317" s="174"/>
      <x:c r="T317" s="174"/>
      <x:c r="U317" s="174"/>
      <x:c r="V317" s="174"/>
      <x:c r="W317" s="175" t="str">
        <x:f>IF(V317="","",LOWER(SUBSTITUTE(SUBSTITUTE(SUBSTITUTE(SUBSTITUTE(TRIM(V317),"https://doi.org/",""),"http://doi.org/",""),"https://dx.doi.org/",""),"doi:","")))</x:f>
      </x:c>
      <x:c r="X317" s="174"/>
      <x:c r="Y317" s="174"/>
      <x:c r="Z317" s="174"/>
      <x:c r="AA317" s="174"/>
      <x:c r="AB317" s="174"/>
      <x:c r="AC317" s="174"/>
      <x:c r="AD317" s="177"/>
      <x:c r="AE317" s="177"/>
      <x:c r="AF317" s="174"/>
      <x:c r="AG317" s="174"/>
      <x:c r="AH317" s="174"/>
      <x:c r="AI317" s="174"/>
      <x:c r="AJ317" s="174"/>
      <x:c r="AK317" s="175" t="str">
        <x:f>IF(AJ317="","",IF(OR(LOWER(AJ317)="brazil",LOWER(AJ317)="brasil"),"Yes","No"))</x:f>
      </x:c>
      <x:c r="AL317" s="174"/>
      <x:c r="AM317" s="174"/>
      <x:c r="AN317" s="174"/>
      <x:c r="AO317" s="178"/>
      <x:c r="AP317" s="174"/>
      <x:c r="AQ317" s="174"/>
      <x:c r="AR317" s="174"/>
      <x:c r="AS317" s="174"/>
      <x:c r="AT317" s="174"/>
      <x:c r="AU317" s="174"/>
      <x:c r="AV317" s="174"/>
      <x:c r="AW317" s="174"/>
      <x:c r="AX317" s="174"/>
      <x:c r="AY317" s="174"/>
      <x:c r="AZ317" s="174"/>
      <x:c r="BA317" s="174"/>
      <x:c r="BB317" s="174"/>
      <x:c r="BC317" s="174"/>
      <x:c r="BD317" s="174"/>
      <x:c r="BE317" s="174"/>
      <x:c r="BF317" s="174"/>
      <x:c r="BG317" s="174"/>
      <x:c r="BH317" s="174"/>
      <x:c r="BI317" s="174"/>
      <x:c r="BJ317" s="174"/>
      <x:c r="BK317" s="174"/>
      <x:c r="BL317" s="174"/>
      <x:c r="BM317" s="174"/>
      <x:c r="BN317" s="174"/>
      <x:c r="BO317" s="174"/>
      <x:c r="BP317" s="174"/>
      <x:c r="BQ317" s="174"/>
      <x:c r="BR317" s="174"/>
      <x:c r="BS317" s="174"/>
      <x:c r="BT317" s="174"/>
      <x:c r="BU317" s="174"/>
      <x:c r="BV317" s="174"/>
      <x:c r="BW317" s="174"/>
      <x:c r="BX317" s="174"/>
      <x:c r="BY317" s="174"/>
      <x:c r="BZ317" s="174"/>
      <x:c r="CA317" s="174"/>
      <x:c r="CB317" s="174"/>
      <x:c r="CC317" s="174"/>
      <x:c r="CD317" s="174"/>
      <x:c r="CE317" s="174"/>
      <x:c r="CF317" s="174"/>
      <x:c r="CG317" s="174"/>
      <x:c r="CH317" s="174"/>
      <x:c r="CI317" s="179"/>
      <x:c r="CJ317" s="174"/>
      <x:c r="CK317" s="174"/>
      <x:c r="CL317" s="174"/>
      <x:c r="CM317" s="174"/>
      <x:c r="CN317" s="174"/>
      <x:c r="CO317" s="177"/>
      <x:c r="CP317" s="174"/>
      <x:c r="CQ317" s="174"/>
      <x:c r="CR317" s="174"/>
      <x:c r="CS317" s="174"/>
      <x:c r="CT317" s="174"/>
      <x:c r="CU317" s="176"/>
      <x:c r="CV317" s="176"/>
      <x:c r="CW317" s="176"/>
      <x:c r="CX317" s="176"/>
      <x:c r="CY317" s="176"/>
      <x:c r="CZ317" s="176"/>
      <x:c r="DA317" s="176"/>
      <x:c r="DB317" s="175" t="str">
        <x:f>IF(L317="","",IF(COUNT(CU317:DA317)&lt;7,"",SUM(CU317:DA317)))</x:f>
      </x:c>
      <x:c r="DC317" s="180" t="str">
        <x:f>IF(DB317="","",ROUND(DB317/14*10,1))</x:f>
      </x:c>
      <x:c r="DD317" s="174"/>
      <x:c r="DE317" s="175" t="str">
        <x:f>IF(L317="","",IF(DC317="","Pending",IF(DD317="Yes","CONDITIONAL — safety override",IF(DC317&gt;=8,"HIGH",IF(DC317&gt;=5,"CONDITIONAL","LOW")))))</x:f>
      </x:c>
      <x:c r="DF317" s="174"/>
      <x:c r="DG317" s="174"/>
      <x:c r="DH317" s="174"/>
      <x:c r="DI317" s="174"/>
      <x:c r="DJ317" s="174"/>
      <x:c r="DK317" s="174"/>
      <x:c r="DL317" s="174"/>
      <x:c r="DM317" s="174"/>
      <x:c r="DN317" s="174"/>
      <x:c r="DO317" s="174"/>
      <x:c r="DP317" s="174"/>
      <x:c r="DQ317" s="174"/>
      <x:c r="DR317" s="174"/>
      <x:c r="DS317" s="174"/>
      <x:c r="DT317" s="174"/>
      <x:c r="DU317" s="174"/>
      <x:c r="DV317" s="174"/>
      <x:c r="DW317" s="174"/>
      <x:c r="DX317" s="174"/>
      <x:c r="DY317" s="174"/>
      <x:c r="DZ317" s="174"/>
      <x:c r="EA317" s="174"/>
      <x:c r="EB317" s="175" t="str">
        <x:f>IF(L317="","",IF(AND(F317="Claim-ready",CJ317="Yes",CL317="Yes",DZ317&lt;&gt;""),"Yes","No / Pending"))</x:f>
      </x:c>
      <x:c r="EC317" s="174"/>
      <x:c r="ED317" s="174"/>
      <x:c r="EE317" s="174"/>
      <x:c r="EF317" s="174"/>
      <x:c r="EG317" s="174"/>
      <x:c r="EH317" s="177"/>
      <x:c r="EI317" s="174"/>
      <x:c r="EJ317" s="174"/>
      <x:c r="EK317" s="174"/>
      <x:c r="EL317" s="177"/>
      <x:c r="EM317" s="174"/>
      <x:c r="EN317" s="181" t="str">
        <x:f>IF(L317="","",(IF(N317&lt;&gt;"",1,0)+IF(O317&lt;&gt;"",1,0)+IF(AJ317&lt;&gt;"",1,0)+IF(AU317&lt;&gt;"",1,0)+IF(BE317&lt;&gt;"",1,0)+IF(CF317&lt;&gt;"",1,0)+IF(CJ317="Yes",1,0)+IF(CL317="Yes",1,0)+IF(DE317&lt;&gt;"Pending",1,0)+IF(F317&lt;&gt;"",1,0)+IF(DZ317&lt;&gt;"",1,0)+IF(EI317&lt;&gt;"",1,0))/12)</x:f>
      </x:c>
    </x:row>
    <x:row r="318">
      <x:c r="A318" s="175" t="str">
        <x:f>IF(L318="","","EV-"&amp;TEXT(ROW()-3,"0000"))</x:f>
      </x:c>
      <x:c r="B318" s="174"/>
      <x:c r="C318" s="175" t="str">
        <x:f>IF(L318="","",IF(OR(CM318="Retracted",CN318="Retracted",F318="Not used"),"🔴 Do not use for conclusion",IF(OR(R318="Official / Institutional",I318="Official / contextual"),"🔵 Official / contextual",IF(OR(I318="Definition",I318="Framework",I318="Paradigm shift"),"🟣 Conceptual key source",IF(AND(CJ318="Yes",CL318="Yes",OR(CG318="High",CG318="Moderate"),CH318&lt;&gt;"High",CH318&lt;&gt;"Critical",F318="Claim-ready"),"🟢 Claim-ready","🟡 Caution / context")))))</x:f>
      </x:c>
      <x:c r="D318" s="174"/>
      <x:c r="E318" s="174"/>
      <x:c r="F318" s="174"/>
      <x:c r="G318" s="174"/>
      <x:c r="H318" s="174"/>
      <x:c r="I318" s="174"/>
      <x:c r="J318" s="174"/>
      <x:c r="K318" s="174"/>
      <x:c r="L318" s="174"/>
      <x:c r="M318" s="174"/>
      <x:c r="N318" s="174"/>
      <x:c r="O318" s="176"/>
      <x:c r="P318" s="174"/>
      <x:c r="Q318" s="174"/>
      <x:c r="R318" s="174"/>
      <x:c r="S318" s="174"/>
      <x:c r="T318" s="174"/>
      <x:c r="U318" s="174"/>
      <x:c r="V318" s="174"/>
      <x:c r="W318" s="175" t="str">
        <x:f>IF(V318="","",LOWER(SUBSTITUTE(SUBSTITUTE(SUBSTITUTE(SUBSTITUTE(TRIM(V318),"https://doi.org/",""),"http://doi.org/",""),"https://dx.doi.org/",""),"doi:","")))</x:f>
      </x:c>
      <x:c r="X318" s="174"/>
      <x:c r="Y318" s="174"/>
      <x:c r="Z318" s="174"/>
      <x:c r="AA318" s="174"/>
      <x:c r="AB318" s="174"/>
      <x:c r="AC318" s="174"/>
      <x:c r="AD318" s="177"/>
      <x:c r="AE318" s="177"/>
      <x:c r="AF318" s="174"/>
      <x:c r="AG318" s="174"/>
      <x:c r="AH318" s="174"/>
      <x:c r="AI318" s="174"/>
      <x:c r="AJ318" s="174"/>
      <x:c r="AK318" s="175" t="str">
        <x:f>IF(AJ318="","",IF(OR(LOWER(AJ318)="brazil",LOWER(AJ318)="brasil"),"Yes","No"))</x:f>
      </x:c>
      <x:c r="AL318" s="174"/>
      <x:c r="AM318" s="174"/>
      <x:c r="AN318" s="174"/>
      <x:c r="AO318" s="178"/>
      <x:c r="AP318" s="174"/>
      <x:c r="AQ318" s="174"/>
      <x:c r="AR318" s="174"/>
      <x:c r="AS318" s="174"/>
      <x:c r="AT318" s="174"/>
      <x:c r="AU318" s="174"/>
      <x:c r="AV318" s="174"/>
      <x:c r="AW318" s="174"/>
      <x:c r="AX318" s="174"/>
      <x:c r="AY318" s="174"/>
      <x:c r="AZ318" s="174"/>
      <x:c r="BA318" s="174"/>
      <x:c r="BB318" s="174"/>
      <x:c r="BC318" s="174"/>
      <x:c r="BD318" s="174"/>
      <x:c r="BE318" s="174"/>
      <x:c r="BF318" s="174"/>
      <x:c r="BG318" s="174"/>
      <x:c r="BH318" s="174"/>
      <x:c r="BI318" s="174"/>
      <x:c r="BJ318" s="174"/>
      <x:c r="BK318" s="174"/>
      <x:c r="BL318" s="174"/>
      <x:c r="BM318" s="174"/>
      <x:c r="BN318" s="174"/>
      <x:c r="BO318" s="174"/>
      <x:c r="BP318" s="174"/>
      <x:c r="BQ318" s="174"/>
      <x:c r="BR318" s="174"/>
      <x:c r="BS318" s="174"/>
      <x:c r="BT318" s="174"/>
      <x:c r="BU318" s="174"/>
      <x:c r="BV318" s="174"/>
      <x:c r="BW318" s="174"/>
      <x:c r="BX318" s="174"/>
      <x:c r="BY318" s="174"/>
      <x:c r="BZ318" s="174"/>
      <x:c r="CA318" s="174"/>
      <x:c r="CB318" s="174"/>
      <x:c r="CC318" s="174"/>
      <x:c r="CD318" s="174"/>
      <x:c r="CE318" s="174"/>
      <x:c r="CF318" s="174"/>
      <x:c r="CG318" s="174"/>
      <x:c r="CH318" s="174"/>
      <x:c r="CI318" s="179"/>
      <x:c r="CJ318" s="174"/>
      <x:c r="CK318" s="174"/>
      <x:c r="CL318" s="174"/>
      <x:c r="CM318" s="174"/>
      <x:c r="CN318" s="174"/>
      <x:c r="CO318" s="177"/>
      <x:c r="CP318" s="174"/>
      <x:c r="CQ318" s="174"/>
      <x:c r="CR318" s="174"/>
      <x:c r="CS318" s="174"/>
      <x:c r="CT318" s="174"/>
      <x:c r="CU318" s="176"/>
      <x:c r="CV318" s="176"/>
      <x:c r="CW318" s="176"/>
      <x:c r="CX318" s="176"/>
      <x:c r="CY318" s="176"/>
      <x:c r="CZ318" s="176"/>
      <x:c r="DA318" s="176"/>
      <x:c r="DB318" s="175" t="str">
        <x:f>IF(L318="","",IF(COUNT(CU318:DA318)&lt;7,"",SUM(CU318:DA318)))</x:f>
      </x:c>
      <x:c r="DC318" s="180" t="str">
        <x:f>IF(DB318="","",ROUND(DB318/14*10,1))</x:f>
      </x:c>
      <x:c r="DD318" s="174"/>
      <x:c r="DE318" s="175" t="str">
        <x:f>IF(L318="","",IF(DC318="","Pending",IF(DD318="Yes","CONDITIONAL — safety override",IF(DC318&gt;=8,"HIGH",IF(DC318&gt;=5,"CONDITIONAL","LOW")))))</x:f>
      </x:c>
      <x:c r="DF318" s="174"/>
      <x:c r="DG318" s="174"/>
      <x:c r="DH318" s="174"/>
      <x:c r="DI318" s="174"/>
      <x:c r="DJ318" s="174"/>
      <x:c r="DK318" s="174"/>
      <x:c r="DL318" s="174"/>
      <x:c r="DM318" s="174"/>
      <x:c r="DN318" s="174"/>
      <x:c r="DO318" s="174"/>
      <x:c r="DP318" s="174"/>
      <x:c r="DQ318" s="174"/>
      <x:c r="DR318" s="174"/>
      <x:c r="DS318" s="174"/>
      <x:c r="DT318" s="174"/>
      <x:c r="DU318" s="174"/>
      <x:c r="DV318" s="174"/>
      <x:c r="DW318" s="174"/>
      <x:c r="DX318" s="174"/>
      <x:c r="DY318" s="174"/>
      <x:c r="DZ318" s="174"/>
      <x:c r="EA318" s="174"/>
      <x:c r="EB318" s="175" t="str">
        <x:f>IF(L318="","",IF(AND(F318="Claim-ready",CJ318="Yes",CL318="Yes",DZ318&lt;&gt;""),"Yes","No / Pending"))</x:f>
      </x:c>
      <x:c r="EC318" s="174"/>
      <x:c r="ED318" s="174"/>
      <x:c r="EE318" s="174"/>
      <x:c r="EF318" s="174"/>
      <x:c r="EG318" s="174"/>
      <x:c r="EH318" s="177"/>
      <x:c r="EI318" s="174"/>
      <x:c r="EJ318" s="174"/>
      <x:c r="EK318" s="174"/>
      <x:c r="EL318" s="177"/>
      <x:c r="EM318" s="174"/>
      <x:c r="EN318" s="181" t="str">
        <x:f>IF(L318="","",(IF(N318&lt;&gt;"",1,0)+IF(O318&lt;&gt;"",1,0)+IF(AJ318&lt;&gt;"",1,0)+IF(AU318&lt;&gt;"",1,0)+IF(BE318&lt;&gt;"",1,0)+IF(CF318&lt;&gt;"",1,0)+IF(CJ318="Yes",1,0)+IF(CL318="Yes",1,0)+IF(DE318&lt;&gt;"Pending",1,0)+IF(F318&lt;&gt;"",1,0)+IF(DZ318&lt;&gt;"",1,0)+IF(EI318&lt;&gt;"",1,0))/12)</x:f>
      </x:c>
    </x:row>
    <x:row r="319">
      <x:c r="A319" s="175" t="str">
        <x:f>IF(L319="","","EV-"&amp;TEXT(ROW()-3,"0000"))</x:f>
      </x:c>
      <x:c r="B319" s="174"/>
      <x:c r="C319" s="175" t="str">
        <x:f>IF(L319="","",IF(OR(CM319="Retracted",CN319="Retracted",F319="Not used"),"🔴 Do not use for conclusion",IF(OR(R319="Official / Institutional",I319="Official / contextual"),"🔵 Official / contextual",IF(OR(I319="Definition",I319="Framework",I319="Paradigm shift"),"🟣 Conceptual key source",IF(AND(CJ319="Yes",CL319="Yes",OR(CG319="High",CG319="Moderate"),CH319&lt;&gt;"High",CH319&lt;&gt;"Critical",F319="Claim-ready"),"🟢 Claim-ready","🟡 Caution / context")))))</x:f>
      </x:c>
      <x:c r="D319" s="174"/>
      <x:c r="E319" s="174"/>
      <x:c r="F319" s="174"/>
      <x:c r="G319" s="174"/>
      <x:c r="H319" s="174"/>
      <x:c r="I319" s="174"/>
      <x:c r="J319" s="174"/>
      <x:c r="K319" s="174"/>
      <x:c r="L319" s="174"/>
      <x:c r="M319" s="174"/>
      <x:c r="N319" s="174"/>
      <x:c r="O319" s="176"/>
      <x:c r="P319" s="174"/>
      <x:c r="Q319" s="174"/>
      <x:c r="R319" s="174"/>
      <x:c r="S319" s="174"/>
      <x:c r="T319" s="174"/>
      <x:c r="U319" s="174"/>
      <x:c r="V319" s="174"/>
      <x:c r="W319" s="175" t="str">
        <x:f>IF(V319="","",LOWER(SUBSTITUTE(SUBSTITUTE(SUBSTITUTE(SUBSTITUTE(TRIM(V319),"https://doi.org/",""),"http://doi.org/",""),"https://dx.doi.org/",""),"doi:","")))</x:f>
      </x:c>
      <x:c r="X319" s="174"/>
      <x:c r="Y319" s="174"/>
      <x:c r="Z319" s="174"/>
      <x:c r="AA319" s="174"/>
      <x:c r="AB319" s="174"/>
      <x:c r="AC319" s="174"/>
      <x:c r="AD319" s="177"/>
      <x:c r="AE319" s="177"/>
      <x:c r="AF319" s="174"/>
      <x:c r="AG319" s="174"/>
      <x:c r="AH319" s="174"/>
      <x:c r="AI319" s="174"/>
      <x:c r="AJ319" s="174"/>
      <x:c r="AK319" s="175" t="str">
        <x:f>IF(AJ319="","",IF(OR(LOWER(AJ319)="brazil",LOWER(AJ319)="brasil"),"Yes","No"))</x:f>
      </x:c>
      <x:c r="AL319" s="174"/>
      <x:c r="AM319" s="174"/>
      <x:c r="AN319" s="174"/>
      <x:c r="AO319" s="178"/>
      <x:c r="AP319" s="174"/>
      <x:c r="AQ319" s="174"/>
      <x:c r="AR319" s="174"/>
      <x:c r="AS319" s="174"/>
      <x:c r="AT319" s="174"/>
      <x:c r="AU319" s="174"/>
      <x:c r="AV319" s="174"/>
      <x:c r="AW319" s="174"/>
      <x:c r="AX319" s="174"/>
      <x:c r="AY319" s="174"/>
      <x:c r="AZ319" s="174"/>
      <x:c r="BA319" s="174"/>
      <x:c r="BB319" s="174"/>
      <x:c r="BC319" s="174"/>
      <x:c r="BD319" s="174"/>
      <x:c r="BE319" s="174"/>
      <x:c r="BF319" s="174"/>
      <x:c r="BG319" s="174"/>
      <x:c r="BH319" s="174"/>
      <x:c r="BI319" s="174"/>
      <x:c r="BJ319" s="174"/>
      <x:c r="BK319" s="174"/>
      <x:c r="BL319" s="174"/>
      <x:c r="BM319" s="174"/>
      <x:c r="BN319" s="174"/>
      <x:c r="BO319" s="174"/>
      <x:c r="BP319" s="174"/>
      <x:c r="BQ319" s="174"/>
      <x:c r="BR319" s="174"/>
      <x:c r="BS319" s="174"/>
      <x:c r="BT319" s="174"/>
      <x:c r="BU319" s="174"/>
      <x:c r="BV319" s="174"/>
      <x:c r="BW319" s="174"/>
      <x:c r="BX319" s="174"/>
      <x:c r="BY319" s="174"/>
      <x:c r="BZ319" s="174"/>
      <x:c r="CA319" s="174"/>
      <x:c r="CB319" s="174"/>
      <x:c r="CC319" s="174"/>
      <x:c r="CD319" s="174"/>
      <x:c r="CE319" s="174"/>
      <x:c r="CF319" s="174"/>
      <x:c r="CG319" s="174"/>
      <x:c r="CH319" s="174"/>
      <x:c r="CI319" s="179"/>
      <x:c r="CJ319" s="174"/>
      <x:c r="CK319" s="174"/>
      <x:c r="CL319" s="174"/>
      <x:c r="CM319" s="174"/>
      <x:c r="CN319" s="174"/>
      <x:c r="CO319" s="177"/>
      <x:c r="CP319" s="174"/>
      <x:c r="CQ319" s="174"/>
      <x:c r="CR319" s="174"/>
      <x:c r="CS319" s="174"/>
      <x:c r="CT319" s="174"/>
      <x:c r="CU319" s="176"/>
      <x:c r="CV319" s="176"/>
      <x:c r="CW319" s="176"/>
      <x:c r="CX319" s="176"/>
      <x:c r="CY319" s="176"/>
      <x:c r="CZ319" s="176"/>
      <x:c r="DA319" s="176"/>
      <x:c r="DB319" s="175" t="str">
        <x:f>IF(L319="","",IF(COUNT(CU319:DA319)&lt;7,"",SUM(CU319:DA319)))</x:f>
      </x:c>
      <x:c r="DC319" s="180" t="str">
        <x:f>IF(DB319="","",ROUND(DB319/14*10,1))</x:f>
      </x:c>
      <x:c r="DD319" s="174"/>
      <x:c r="DE319" s="175" t="str">
        <x:f>IF(L319="","",IF(DC319="","Pending",IF(DD319="Yes","CONDITIONAL — safety override",IF(DC319&gt;=8,"HIGH",IF(DC319&gt;=5,"CONDITIONAL","LOW")))))</x:f>
      </x:c>
      <x:c r="DF319" s="174"/>
      <x:c r="DG319" s="174"/>
      <x:c r="DH319" s="174"/>
      <x:c r="DI319" s="174"/>
      <x:c r="DJ319" s="174"/>
      <x:c r="DK319" s="174"/>
      <x:c r="DL319" s="174"/>
      <x:c r="DM319" s="174"/>
      <x:c r="DN319" s="174"/>
      <x:c r="DO319" s="174"/>
      <x:c r="DP319" s="174"/>
      <x:c r="DQ319" s="174"/>
      <x:c r="DR319" s="174"/>
      <x:c r="DS319" s="174"/>
      <x:c r="DT319" s="174"/>
      <x:c r="DU319" s="174"/>
      <x:c r="DV319" s="174"/>
      <x:c r="DW319" s="174"/>
      <x:c r="DX319" s="174"/>
      <x:c r="DY319" s="174"/>
      <x:c r="DZ319" s="174"/>
      <x:c r="EA319" s="174"/>
      <x:c r="EB319" s="175" t="str">
        <x:f>IF(L319="","",IF(AND(F319="Claim-ready",CJ319="Yes",CL319="Yes",DZ319&lt;&gt;""),"Yes","No / Pending"))</x:f>
      </x:c>
      <x:c r="EC319" s="174"/>
      <x:c r="ED319" s="174"/>
      <x:c r="EE319" s="174"/>
      <x:c r="EF319" s="174"/>
      <x:c r="EG319" s="174"/>
      <x:c r="EH319" s="177"/>
      <x:c r="EI319" s="174"/>
      <x:c r="EJ319" s="174"/>
      <x:c r="EK319" s="174"/>
      <x:c r="EL319" s="177"/>
      <x:c r="EM319" s="174"/>
      <x:c r="EN319" s="181" t="str">
        <x:f>IF(L319="","",(IF(N319&lt;&gt;"",1,0)+IF(O319&lt;&gt;"",1,0)+IF(AJ319&lt;&gt;"",1,0)+IF(AU319&lt;&gt;"",1,0)+IF(BE319&lt;&gt;"",1,0)+IF(CF319&lt;&gt;"",1,0)+IF(CJ319="Yes",1,0)+IF(CL319="Yes",1,0)+IF(DE319&lt;&gt;"Pending",1,0)+IF(F319&lt;&gt;"",1,0)+IF(DZ319&lt;&gt;"",1,0)+IF(EI319&lt;&gt;"",1,0))/12)</x:f>
      </x:c>
    </x:row>
    <x:row r="320">
      <x:c r="A320" s="175" t="str">
        <x:f>IF(L320="","","EV-"&amp;TEXT(ROW()-3,"0000"))</x:f>
      </x:c>
      <x:c r="B320" s="174"/>
      <x:c r="C320" s="175" t="str">
        <x:f>IF(L320="","",IF(OR(CM320="Retracted",CN320="Retracted",F320="Not used"),"🔴 Do not use for conclusion",IF(OR(R320="Official / Institutional",I320="Official / contextual"),"🔵 Official / contextual",IF(OR(I320="Definition",I320="Framework",I320="Paradigm shift"),"🟣 Conceptual key source",IF(AND(CJ320="Yes",CL320="Yes",OR(CG320="High",CG320="Moderate"),CH320&lt;&gt;"High",CH320&lt;&gt;"Critical",F320="Claim-ready"),"🟢 Claim-ready","🟡 Caution / context")))))</x:f>
      </x:c>
      <x:c r="D320" s="174"/>
      <x:c r="E320" s="174"/>
      <x:c r="F320" s="174"/>
      <x:c r="G320" s="174"/>
      <x:c r="H320" s="174"/>
      <x:c r="I320" s="174"/>
      <x:c r="J320" s="174"/>
      <x:c r="K320" s="174"/>
      <x:c r="L320" s="174"/>
      <x:c r="M320" s="174"/>
      <x:c r="N320" s="174"/>
      <x:c r="O320" s="176"/>
      <x:c r="P320" s="174"/>
      <x:c r="Q320" s="174"/>
      <x:c r="R320" s="174"/>
      <x:c r="S320" s="174"/>
      <x:c r="T320" s="174"/>
      <x:c r="U320" s="174"/>
      <x:c r="V320" s="174"/>
      <x:c r="W320" s="175" t="str">
        <x:f>IF(V320="","",LOWER(SUBSTITUTE(SUBSTITUTE(SUBSTITUTE(SUBSTITUTE(TRIM(V320),"https://doi.org/",""),"http://doi.org/",""),"https://dx.doi.org/",""),"doi:","")))</x:f>
      </x:c>
      <x:c r="X320" s="174"/>
      <x:c r="Y320" s="174"/>
      <x:c r="Z320" s="174"/>
      <x:c r="AA320" s="174"/>
      <x:c r="AB320" s="174"/>
      <x:c r="AC320" s="174"/>
      <x:c r="AD320" s="177"/>
      <x:c r="AE320" s="177"/>
      <x:c r="AF320" s="174"/>
      <x:c r="AG320" s="174"/>
      <x:c r="AH320" s="174"/>
      <x:c r="AI320" s="174"/>
      <x:c r="AJ320" s="174"/>
      <x:c r="AK320" s="175" t="str">
        <x:f>IF(AJ320="","",IF(OR(LOWER(AJ320)="brazil",LOWER(AJ320)="brasil"),"Yes","No"))</x:f>
      </x:c>
      <x:c r="AL320" s="174"/>
      <x:c r="AM320" s="174"/>
      <x:c r="AN320" s="174"/>
      <x:c r="AO320" s="178"/>
      <x:c r="AP320" s="174"/>
      <x:c r="AQ320" s="174"/>
      <x:c r="AR320" s="174"/>
      <x:c r="AS320" s="174"/>
      <x:c r="AT320" s="174"/>
      <x:c r="AU320" s="174"/>
      <x:c r="AV320" s="174"/>
      <x:c r="AW320" s="174"/>
      <x:c r="AX320" s="174"/>
      <x:c r="AY320" s="174"/>
      <x:c r="AZ320" s="174"/>
      <x:c r="BA320" s="174"/>
      <x:c r="BB320" s="174"/>
      <x:c r="BC320" s="174"/>
      <x:c r="BD320" s="174"/>
      <x:c r="BE320" s="174"/>
      <x:c r="BF320" s="174"/>
      <x:c r="BG320" s="174"/>
      <x:c r="BH320" s="174"/>
      <x:c r="BI320" s="174"/>
      <x:c r="BJ320" s="174"/>
      <x:c r="BK320" s="174"/>
      <x:c r="BL320" s="174"/>
      <x:c r="BM320" s="174"/>
      <x:c r="BN320" s="174"/>
      <x:c r="BO320" s="174"/>
      <x:c r="BP320" s="174"/>
      <x:c r="BQ320" s="174"/>
      <x:c r="BR320" s="174"/>
      <x:c r="BS320" s="174"/>
      <x:c r="BT320" s="174"/>
      <x:c r="BU320" s="174"/>
      <x:c r="BV320" s="174"/>
      <x:c r="BW320" s="174"/>
      <x:c r="BX320" s="174"/>
      <x:c r="BY320" s="174"/>
      <x:c r="BZ320" s="174"/>
      <x:c r="CA320" s="174"/>
      <x:c r="CB320" s="174"/>
      <x:c r="CC320" s="174"/>
      <x:c r="CD320" s="174"/>
      <x:c r="CE320" s="174"/>
      <x:c r="CF320" s="174"/>
      <x:c r="CG320" s="174"/>
      <x:c r="CH320" s="174"/>
      <x:c r="CI320" s="179"/>
      <x:c r="CJ320" s="174"/>
      <x:c r="CK320" s="174"/>
      <x:c r="CL320" s="174"/>
      <x:c r="CM320" s="174"/>
      <x:c r="CN320" s="174"/>
      <x:c r="CO320" s="177"/>
      <x:c r="CP320" s="174"/>
      <x:c r="CQ320" s="174"/>
      <x:c r="CR320" s="174"/>
      <x:c r="CS320" s="174"/>
      <x:c r="CT320" s="174"/>
      <x:c r="CU320" s="176"/>
      <x:c r="CV320" s="176"/>
      <x:c r="CW320" s="176"/>
      <x:c r="CX320" s="176"/>
      <x:c r="CY320" s="176"/>
      <x:c r="CZ320" s="176"/>
      <x:c r="DA320" s="176"/>
      <x:c r="DB320" s="175" t="str">
        <x:f>IF(L320="","",IF(COUNT(CU320:DA320)&lt;7,"",SUM(CU320:DA320)))</x:f>
      </x:c>
      <x:c r="DC320" s="180" t="str">
        <x:f>IF(DB320="","",ROUND(DB320/14*10,1))</x:f>
      </x:c>
      <x:c r="DD320" s="174"/>
      <x:c r="DE320" s="175" t="str">
        <x:f>IF(L320="","",IF(DC320="","Pending",IF(DD320="Yes","CONDITIONAL — safety override",IF(DC320&gt;=8,"HIGH",IF(DC320&gt;=5,"CONDITIONAL","LOW")))))</x:f>
      </x:c>
      <x:c r="DF320" s="174"/>
      <x:c r="DG320" s="174"/>
      <x:c r="DH320" s="174"/>
      <x:c r="DI320" s="174"/>
      <x:c r="DJ320" s="174"/>
      <x:c r="DK320" s="174"/>
      <x:c r="DL320" s="174"/>
      <x:c r="DM320" s="174"/>
      <x:c r="DN320" s="174"/>
      <x:c r="DO320" s="174"/>
      <x:c r="DP320" s="174"/>
      <x:c r="DQ320" s="174"/>
      <x:c r="DR320" s="174"/>
      <x:c r="DS320" s="174"/>
      <x:c r="DT320" s="174"/>
      <x:c r="DU320" s="174"/>
      <x:c r="DV320" s="174"/>
      <x:c r="DW320" s="174"/>
      <x:c r="DX320" s="174"/>
      <x:c r="DY320" s="174"/>
      <x:c r="DZ320" s="174"/>
      <x:c r="EA320" s="174"/>
      <x:c r="EB320" s="175" t="str">
        <x:f>IF(L320="","",IF(AND(F320="Claim-ready",CJ320="Yes",CL320="Yes",DZ320&lt;&gt;""),"Yes","No / Pending"))</x:f>
      </x:c>
      <x:c r="EC320" s="174"/>
      <x:c r="ED320" s="174"/>
      <x:c r="EE320" s="174"/>
      <x:c r="EF320" s="174"/>
      <x:c r="EG320" s="174"/>
      <x:c r="EH320" s="177"/>
      <x:c r="EI320" s="174"/>
      <x:c r="EJ320" s="174"/>
      <x:c r="EK320" s="174"/>
      <x:c r="EL320" s="177"/>
      <x:c r="EM320" s="174"/>
      <x:c r="EN320" s="181" t="str">
        <x:f>IF(L320="","",(IF(N320&lt;&gt;"",1,0)+IF(O320&lt;&gt;"",1,0)+IF(AJ320&lt;&gt;"",1,0)+IF(AU320&lt;&gt;"",1,0)+IF(BE320&lt;&gt;"",1,0)+IF(CF320&lt;&gt;"",1,0)+IF(CJ320="Yes",1,0)+IF(CL320="Yes",1,0)+IF(DE320&lt;&gt;"Pending",1,0)+IF(F320&lt;&gt;"",1,0)+IF(DZ320&lt;&gt;"",1,0)+IF(EI320&lt;&gt;"",1,0))/12)</x:f>
      </x:c>
    </x:row>
    <x:row r="321">
      <x:c r="A321" s="175" t="str">
        <x:f>IF(L321="","","EV-"&amp;TEXT(ROW()-3,"0000"))</x:f>
      </x:c>
      <x:c r="B321" s="174"/>
      <x:c r="C321" s="175" t="str">
        <x:f>IF(L321="","",IF(OR(CM321="Retracted",CN321="Retracted",F321="Not used"),"🔴 Do not use for conclusion",IF(OR(R321="Official / Institutional",I321="Official / contextual"),"🔵 Official / contextual",IF(OR(I321="Definition",I321="Framework",I321="Paradigm shift"),"🟣 Conceptual key source",IF(AND(CJ321="Yes",CL321="Yes",OR(CG321="High",CG321="Moderate"),CH321&lt;&gt;"High",CH321&lt;&gt;"Critical",F321="Claim-ready"),"🟢 Claim-ready","🟡 Caution / context")))))</x:f>
      </x:c>
      <x:c r="D321" s="174"/>
      <x:c r="E321" s="174"/>
      <x:c r="F321" s="174"/>
      <x:c r="G321" s="174"/>
      <x:c r="H321" s="174"/>
      <x:c r="I321" s="174"/>
      <x:c r="J321" s="174"/>
      <x:c r="K321" s="174"/>
      <x:c r="L321" s="174"/>
      <x:c r="M321" s="174"/>
      <x:c r="N321" s="174"/>
      <x:c r="O321" s="176"/>
      <x:c r="P321" s="174"/>
      <x:c r="Q321" s="174"/>
      <x:c r="R321" s="174"/>
      <x:c r="S321" s="174"/>
      <x:c r="T321" s="174"/>
      <x:c r="U321" s="174"/>
      <x:c r="V321" s="174"/>
      <x:c r="W321" s="175" t="str">
        <x:f>IF(V321="","",LOWER(SUBSTITUTE(SUBSTITUTE(SUBSTITUTE(SUBSTITUTE(TRIM(V321),"https://doi.org/",""),"http://doi.org/",""),"https://dx.doi.org/",""),"doi:","")))</x:f>
      </x:c>
      <x:c r="X321" s="174"/>
      <x:c r="Y321" s="174"/>
      <x:c r="Z321" s="174"/>
      <x:c r="AA321" s="174"/>
      <x:c r="AB321" s="174"/>
      <x:c r="AC321" s="174"/>
      <x:c r="AD321" s="177"/>
      <x:c r="AE321" s="177"/>
      <x:c r="AF321" s="174"/>
      <x:c r="AG321" s="174"/>
      <x:c r="AH321" s="174"/>
      <x:c r="AI321" s="174"/>
      <x:c r="AJ321" s="174"/>
      <x:c r="AK321" s="175" t="str">
        <x:f>IF(AJ321="","",IF(OR(LOWER(AJ321)="brazil",LOWER(AJ321)="brasil"),"Yes","No"))</x:f>
      </x:c>
      <x:c r="AL321" s="174"/>
      <x:c r="AM321" s="174"/>
      <x:c r="AN321" s="174"/>
      <x:c r="AO321" s="178"/>
      <x:c r="AP321" s="174"/>
      <x:c r="AQ321" s="174"/>
      <x:c r="AR321" s="174"/>
      <x:c r="AS321" s="174"/>
      <x:c r="AT321" s="174"/>
      <x:c r="AU321" s="174"/>
      <x:c r="AV321" s="174"/>
      <x:c r="AW321" s="174"/>
      <x:c r="AX321" s="174"/>
      <x:c r="AY321" s="174"/>
      <x:c r="AZ321" s="174"/>
      <x:c r="BA321" s="174"/>
      <x:c r="BB321" s="174"/>
      <x:c r="BC321" s="174"/>
      <x:c r="BD321" s="174"/>
      <x:c r="BE321" s="174"/>
      <x:c r="BF321" s="174"/>
      <x:c r="BG321" s="174"/>
      <x:c r="BH321" s="174"/>
      <x:c r="BI321" s="174"/>
      <x:c r="BJ321" s="174"/>
      <x:c r="BK321" s="174"/>
      <x:c r="BL321" s="174"/>
      <x:c r="BM321" s="174"/>
      <x:c r="BN321" s="174"/>
      <x:c r="BO321" s="174"/>
      <x:c r="BP321" s="174"/>
      <x:c r="BQ321" s="174"/>
      <x:c r="BR321" s="174"/>
      <x:c r="BS321" s="174"/>
      <x:c r="BT321" s="174"/>
      <x:c r="BU321" s="174"/>
      <x:c r="BV321" s="174"/>
      <x:c r="BW321" s="174"/>
      <x:c r="BX321" s="174"/>
      <x:c r="BY321" s="174"/>
      <x:c r="BZ321" s="174"/>
      <x:c r="CA321" s="174"/>
      <x:c r="CB321" s="174"/>
      <x:c r="CC321" s="174"/>
      <x:c r="CD321" s="174"/>
      <x:c r="CE321" s="174"/>
      <x:c r="CF321" s="174"/>
      <x:c r="CG321" s="174"/>
      <x:c r="CH321" s="174"/>
      <x:c r="CI321" s="179"/>
      <x:c r="CJ321" s="174"/>
      <x:c r="CK321" s="174"/>
      <x:c r="CL321" s="174"/>
      <x:c r="CM321" s="174"/>
      <x:c r="CN321" s="174"/>
      <x:c r="CO321" s="177"/>
      <x:c r="CP321" s="174"/>
      <x:c r="CQ321" s="174"/>
      <x:c r="CR321" s="174"/>
      <x:c r="CS321" s="174"/>
      <x:c r="CT321" s="174"/>
      <x:c r="CU321" s="176"/>
      <x:c r="CV321" s="176"/>
      <x:c r="CW321" s="176"/>
      <x:c r="CX321" s="176"/>
      <x:c r="CY321" s="176"/>
      <x:c r="CZ321" s="176"/>
      <x:c r="DA321" s="176"/>
      <x:c r="DB321" s="175" t="str">
        <x:f>IF(L321="","",IF(COUNT(CU321:DA321)&lt;7,"",SUM(CU321:DA321)))</x:f>
      </x:c>
      <x:c r="DC321" s="180" t="str">
        <x:f>IF(DB321="","",ROUND(DB321/14*10,1))</x:f>
      </x:c>
      <x:c r="DD321" s="174"/>
      <x:c r="DE321" s="175" t="str">
        <x:f>IF(L321="","",IF(DC321="","Pending",IF(DD321="Yes","CONDITIONAL — safety override",IF(DC321&gt;=8,"HIGH",IF(DC321&gt;=5,"CONDITIONAL","LOW")))))</x:f>
      </x:c>
      <x:c r="DF321" s="174"/>
      <x:c r="DG321" s="174"/>
      <x:c r="DH321" s="174"/>
      <x:c r="DI321" s="174"/>
      <x:c r="DJ321" s="174"/>
      <x:c r="DK321" s="174"/>
      <x:c r="DL321" s="174"/>
      <x:c r="DM321" s="174"/>
      <x:c r="DN321" s="174"/>
      <x:c r="DO321" s="174"/>
      <x:c r="DP321" s="174"/>
      <x:c r="DQ321" s="174"/>
      <x:c r="DR321" s="174"/>
      <x:c r="DS321" s="174"/>
      <x:c r="DT321" s="174"/>
      <x:c r="DU321" s="174"/>
      <x:c r="DV321" s="174"/>
      <x:c r="DW321" s="174"/>
      <x:c r="DX321" s="174"/>
      <x:c r="DY321" s="174"/>
      <x:c r="DZ321" s="174"/>
      <x:c r="EA321" s="174"/>
      <x:c r="EB321" s="175" t="str">
        <x:f>IF(L321="","",IF(AND(F321="Claim-ready",CJ321="Yes",CL321="Yes",DZ321&lt;&gt;""),"Yes","No / Pending"))</x:f>
      </x:c>
      <x:c r="EC321" s="174"/>
      <x:c r="ED321" s="174"/>
      <x:c r="EE321" s="174"/>
      <x:c r="EF321" s="174"/>
      <x:c r="EG321" s="174"/>
      <x:c r="EH321" s="177"/>
      <x:c r="EI321" s="174"/>
      <x:c r="EJ321" s="174"/>
      <x:c r="EK321" s="174"/>
      <x:c r="EL321" s="177"/>
      <x:c r="EM321" s="174"/>
      <x:c r="EN321" s="181" t="str">
        <x:f>IF(L321="","",(IF(N321&lt;&gt;"",1,0)+IF(O321&lt;&gt;"",1,0)+IF(AJ321&lt;&gt;"",1,0)+IF(AU321&lt;&gt;"",1,0)+IF(BE321&lt;&gt;"",1,0)+IF(CF321&lt;&gt;"",1,0)+IF(CJ321="Yes",1,0)+IF(CL321="Yes",1,0)+IF(DE321&lt;&gt;"Pending",1,0)+IF(F321&lt;&gt;"",1,0)+IF(DZ321&lt;&gt;"",1,0)+IF(EI321&lt;&gt;"",1,0))/12)</x:f>
      </x:c>
    </x:row>
    <x:row r="322">
      <x:c r="A322" s="175" t="str">
        <x:f>IF(L322="","","EV-"&amp;TEXT(ROW()-3,"0000"))</x:f>
      </x:c>
      <x:c r="B322" s="174"/>
      <x:c r="C322" s="175" t="str">
        <x:f>IF(L322="","",IF(OR(CM322="Retracted",CN322="Retracted",F322="Not used"),"🔴 Do not use for conclusion",IF(OR(R322="Official / Institutional",I322="Official / contextual"),"🔵 Official / contextual",IF(OR(I322="Definition",I322="Framework",I322="Paradigm shift"),"🟣 Conceptual key source",IF(AND(CJ322="Yes",CL322="Yes",OR(CG322="High",CG322="Moderate"),CH322&lt;&gt;"High",CH322&lt;&gt;"Critical",F322="Claim-ready"),"🟢 Claim-ready","🟡 Caution / context")))))</x:f>
      </x:c>
      <x:c r="D322" s="174"/>
      <x:c r="E322" s="174"/>
      <x:c r="F322" s="174"/>
      <x:c r="G322" s="174"/>
      <x:c r="H322" s="174"/>
      <x:c r="I322" s="174"/>
      <x:c r="J322" s="174"/>
      <x:c r="K322" s="174"/>
      <x:c r="L322" s="174"/>
      <x:c r="M322" s="174"/>
      <x:c r="N322" s="174"/>
      <x:c r="O322" s="176"/>
      <x:c r="P322" s="174"/>
      <x:c r="Q322" s="174"/>
      <x:c r="R322" s="174"/>
      <x:c r="S322" s="174"/>
      <x:c r="T322" s="174"/>
      <x:c r="U322" s="174"/>
      <x:c r="V322" s="174"/>
      <x:c r="W322" s="175" t="str">
        <x:f>IF(V322="","",LOWER(SUBSTITUTE(SUBSTITUTE(SUBSTITUTE(SUBSTITUTE(TRIM(V322),"https://doi.org/",""),"http://doi.org/",""),"https://dx.doi.org/",""),"doi:","")))</x:f>
      </x:c>
      <x:c r="X322" s="174"/>
      <x:c r="Y322" s="174"/>
      <x:c r="Z322" s="174"/>
      <x:c r="AA322" s="174"/>
      <x:c r="AB322" s="174"/>
      <x:c r="AC322" s="174"/>
      <x:c r="AD322" s="177"/>
      <x:c r="AE322" s="177"/>
      <x:c r="AF322" s="174"/>
      <x:c r="AG322" s="174"/>
      <x:c r="AH322" s="174"/>
      <x:c r="AI322" s="174"/>
      <x:c r="AJ322" s="174"/>
      <x:c r="AK322" s="175" t="str">
        <x:f>IF(AJ322="","",IF(OR(LOWER(AJ322)="brazil",LOWER(AJ322)="brasil"),"Yes","No"))</x:f>
      </x:c>
      <x:c r="AL322" s="174"/>
      <x:c r="AM322" s="174"/>
      <x:c r="AN322" s="174"/>
      <x:c r="AO322" s="178"/>
      <x:c r="AP322" s="174"/>
      <x:c r="AQ322" s="174"/>
      <x:c r="AR322" s="174"/>
      <x:c r="AS322" s="174"/>
      <x:c r="AT322" s="174"/>
      <x:c r="AU322" s="174"/>
      <x:c r="AV322" s="174"/>
      <x:c r="AW322" s="174"/>
      <x:c r="AX322" s="174"/>
      <x:c r="AY322" s="174"/>
      <x:c r="AZ322" s="174"/>
      <x:c r="BA322" s="174"/>
      <x:c r="BB322" s="174"/>
      <x:c r="BC322" s="174"/>
      <x:c r="BD322" s="174"/>
      <x:c r="BE322" s="174"/>
      <x:c r="BF322" s="174"/>
      <x:c r="BG322" s="174"/>
      <x:c r="BH322" s="174"/>
      <x:c r="BI322" s="174"/>
      <x:c r="BJ322" s="174"/>
      <x:c r="BK322" s="174"/>
      <x:c r="BL322" s="174"/>
      <x:c r="BM322" s="174"/>
      <x:c r="BN322" s="174"/>
      <x:c r="BO322" s="174"/>
      <x:c r="BP322" s="174"/>
      <x:c r="BQ322" s="174"/>
      <x:c r="BR322" s="174"/>
      <x:c r="BS322" s="174"/>
      <x:c r="BT322" s="174"/>
      <x:c r="BU322" s="174"/>
      <x:c r="BV322" s="174"/>
      <x:c r="BW322" s="174"/>
      <x:c r="BX322" s="174"/>
      <x:c r="BY322" s="174"/>
      <x:c r="BZ322" s="174"/>
      <x:c r="CA322" s="174"/>
      <x:c r="CB322" s="174"/>
      <x:c r="CC322" s="174"/>
      <x:c r="CD322" s="174"/>
      <x:c r="CE322" s="174"/>
      <x:c r="CF322" s="174"/>
      <x:c r="CG322" s="174"/>
      <x:c r="CH322" s="174"/>
      <x:c r="CI322" s="179"/>
      <x:c r="CJ322" s="174"/>
      <x:c r="CK322" s="174"/>
      <x:c r="CL322" s="174"/>
      <x:c r="CM322" s="174"/>
      <x:c r="CN322" s="174"/>
      <x:c r="CO322" s="177"/>
      <x:c r="CP322" s="174"/>
      <x:c r="CQ322" s="174"/>
      <x:c r="CR322" s="174"/>
      <x:c r="CS322" s="174"/>
      <x:c r="CT322" s="174"/>
      <x:c r="CU322" s="176"/>
      <x:c r="CV322" s="176"/>
      <x:c r="CW322" s="176"/>
      <x:c r="CX322" s="176"/>
      <x:c r="CY322" s="176"/>
      <x:c r="CZ322" s="176"/>
      <x:c r="DA322" s="176"/>
      <x:c r="DB322" s="175" t="str">
        <x:f>IF(L322="","",IF(COUNT(CU322:DA322)&lt;7,"",SUM(CU322:DA322)))</x:f>
      </x:c>
      <x:c r="DC322" s="180" t="str">
        <x:f>IF(DB322="","",ROUND(DB322/14*10,1))</x:f>
      </x:c>
      <x:c r="DD322" s="174"/>
      <x:c r="DE322" s="175" t="str">
        <x:f>IF(L322="","",IF(DC322="","Pending",IF(DD322="Yes","CONDITIONAL — safety override",IF(DC322&gt;=8,"HIGH",IF(DC322&gt;=5,"CONDITIONAL","LOW")))))</x:f>
      </x:c>
      <x:c r="DF322" s="174"/>
      <x:c r="DG322" s="174"/>
      <x:c r="DH322" s="174"/>
      <x:c r="DI322" s="174"/>
      <x:c r="DJ322" s="174"/>
      <x:c r="DK322" s="174"/>
      <x:c r="DL322" s="174"/>
      <x:c r="DM322" s="174"/>
      <x:c r="DN322" s="174"/>
      <x:c r="DO322" s="174"/>
      <x:c r="DP322" s="174"/>
      <x:c r="DQ322" s="174"/>
      <x:c r="DR322" s="174"/>
      <x:c r="DS322" s="174"/>
      <x:c r="DT322" s="174"/>
      <x:c r="DU322" s="174"/>
      <x:c r="DV322" s="174"/>
      <x:c r="DW322" s="174"/>
      <x:c r="DX322" s="174"/>
      <x:c r="DY322" s="174"/>
      <x:c r="DZ322" s="174"/>
      <x:c r="EA322" s="174"/>
      <x:c r="EB322" s="175" t="str">
        <x:f>IF(L322="","",IF(AND(F322="Claim-ready",CJ322="Yes",CL322="Yes",DZ322&lt;&gt;""),"Yes","No / Pending"))</x:f>
      </x:c>
      <x:c r="EC322" s="174"/>
      <x:c r="ED322" s="174"/>
      <x:c r="EE322" s="174"/>
      <x:c r="EF322" s="174"/>
      <x:c r="EG322" s="174"/>
      <x:c r="EH322" s="177"/>
      <x:c r="EI322" s="174"/>
      <x:c r="EJ322" s="174"/>
      <x:c r="EK322" s="174"/>
      <x:c r="EL322" s="177"/>
      <x:c r="EM322" s="174"/>
      <x:c r="EN322" s="181" t="str">
        <x:f>IF(L322="","",(IF(N322&lt;&gt;"",1,0)+IF(O322&lt;&gt;"",1,0)+IF(AJ322&lt;&gt;"",1,0)+IF(AU322&lt;&gt;"",1,0)+IF(BE322&lt;&gt;"",1,0)+IF(CF322&lt;&gt;"",1,0)+IF(CJ322="Yes",1,0)+IF(CL322="Yes",1,0)+IF(DE322&lt;&gt;"Pending",1,0)+IF(F322&lt;&gt;"",1,0)+IF(DZ322&lt;&gt;"",1,0)+IF(EI322&lt;&gt;"",1,0))/12)</x:f>
      </x:c>
    </x:row>
    <x:row r="323">
      <x:c r="A323" s="175" t="str">
        <x:f>IF(L323="","","EV-"&amp;TEXT(ROW()-3,"0000"))</x:f>
      </x:c>
      <x:c r="B323" s="174"/>
      <x:c r="C323" s="175" t="str">
        <x:f>IF(L323="","",IF(OR(CM323="Retracted",CN323="Retracted",F323="Not used"),"🔴 Do not use for conclusion",IF(OR(R323="Official / Institutional",I323="Official / contextual"),"🔵 Official / contextual",IF(OR(I323="Definition",I323="Framework",I323="Paradigm shift"),"🟣 Conceptual key source",IF(AND(CJ323="Yes",CL323="Yes",OR(CG323="High",CG323="Moderate"),CH323&lt;&gt;"High",CH323&lt;&gt;"Critical",F323="Claim-ready"),"🟢 Claim-ready","🟡 Caution / context")))))</x:f>
      </x:c>
      <x:c r="D323" s="174"/>
      <x:c r="E323" s="174"/>
      <x:c r="F323" s="174"/>
      <x:c r="G323" s="174"/>
      <x:c r="H323" s="174"/>
      <x:c r="I323" s="174"/>
      <x:c r="J323" s="174"/>
      <x:c r="K323" s="174"/>
      <x:c r="L323" s="174"/>
      <x:c r="M323" s="174"/>
      <x:c r="N323" s="174"/>
      <x:c r="O323" s="176"/>
      <x:c r="P323" s="174"/>
      <x:c r="Q323" s="174"/>
      <x:c r="R323" s="174"/>
      <x:c r="S323" s="174"/>
      <x:c r="T323" s="174"/>
      <x:c r="U323" s="174"/>
      <x:c r="V323" s="174"/>
      <x:c r="W323" s="175" t="str">
        <x:f>IF(V323="","",LOWER(SUBSTITUTE(SUBSTITUTE(SUBSTITUTE(SUBSTITUTE(TRIM(V323),"https://doi.org/",""),"http://doi.org/",""),"https://dx.doi.org/",""),"doi:","")))</x:f>
      </x:c>
      <x:c r="X323" s="174"/>
      <x:c r="Y323" s="174"/>
      <x:c r="Z323" s="174"/>
      <x:c r="AA323" s="174"/>
      <x:c r="AB323" s="174"/>
      <x:c r="AC323" s="174"/>
      <x:c r="AD323" s="177"/>
      <x:c r="AE323" s="177"/>
      <x:c r="AF323" s="174"/>
      <x:c r="AG323" s="174"/>
      <x:c r="AH323" s="174"/>
      <x:c r="AI323" s="174"/>
      <x:c r="AJ323" s="174"/>
      <x:c r="AK323" s="175" t="str">
        <x:f>IF(AJ323="","",IF(OR(LOWER(AJ323)="brazil",LOWER(AJ323)="brasil"),"Yes","No"))</x:f>
      </x:c>
      <x:c r="AL323" s="174"/>
      <x:c r="AM323" s="174"/>
      <x:c r="AN323" s="174"/>
      <x:c r="AO323" s="178"/>
      <x:c r="AP323" s="174"/>
      <x:c r="AQ323" s="174"/>
      <x:c r="AR323" s="174"/>
      <x:c r="AS323" s="174"/>
      <x:c r="AT323" s="174"/>
      <x:c r="AU323" s="174"/>
      <x:c r="AV323" s="174"/>
      <x:c r="AW323" s="174"/>
      <x:c r="AX323" s="174"/>
      <x:c r="AY323" s="174"/>
      <x:c r="AZ323" s="174"/>
      <x:c r="BA323" s="174"/>
      <x:c r="BB323" s="174"/>
      <x:c r="BC323" s="174"/>
      <x:c r="BD323" s="174"/>
      <x:c r="BE323" s="174"/>
      <x:c r="BF323" s="174"/>
      <x:c r="BG323" s="174"/>
      <x:c r="BH323" s="174"/>
      <x:c r="BI323" s="174"/>
      <x:c r="BJ323" s="174"/>
      <x:c r="BK323" s="174"/>
      <x:c r="BL323" s="174"/>
      <x:c r="BM323" s="174"/>
      <x:c r="BN323" s="174"/>
      <x:c r="BO323" s="174"/>
      <x:c r="BP323" s="174"/>
      <x:c r="BQ323" s="174"/>
      <x:c r="BR323" s="174"/>
      <x:c r="BS323" s="174"/>
      <x:c r="BT323" s="174"/>
      <x:c r="BU323" s="174"/>
      <x:c r="BV323" s="174"/>
      <x:c r="BW323" s="174"/>
      <x:c r="BX323" s="174"/>
      <x:c r="BY323" s="174"/>
      <x:c r="BZ323" s="174"/>
      <x:c r="CA323" s="174"/>
      <x:c r="CB323" s="174"/>
      <x:c r="CC323" s="174"/>
      <x:c r="CD323" s="174"/>
      <x:c r="CE323" s="174"/>
      <x:c r="CF323" s="174"/>
      <x:c r="CG323" s="174"/>
      <x:c r="CH323" s="174"/>
      <x:c r="CI323" s="179"/>
      <x:c r="CJ323" s="174"/>
      <x:c r="CK323" s="174"/>
      <x:c r="CL323" s="174"/>
      <x:c r="CM323" s="174"/>
      <x:c r="CN323" s="174"/>
      <x:c r="CO323" s="177"/>
      <x:c r="CP323" s="174"/>
      <x:c r="CQ323" s="174"/>
      <x:c r="CR323" s="174"/>
      <x:c r="CS323" s="174"/>
      <x:c r="CT323" s="174"/>
      <x:c r="CU323" s="176"/>
      <x:c r="CV323" s="176"/>
      <x:c r="CW323" s="176"/>
      <x:c r="CX323" s="176"/>
      <x:c r="CY323" s="176"/>
      <x:c r="CZ323" s="176"/>
      <x:c r="DA323" s="176"/>
      <x:c r="DB323" s="175" t="str">
        <x:f>IF(L323="","",IF(COUNT(CU323:DA323)&lt;7,"",SUM(CU323:DA323)))</x:f>
      </x:c>
      <x:c r="DC323" s="180" t="str">
        <x:f>IF(DB323="","",ROUND(DB323/14*10,1))</x:f>
      </x:c>
      <x:c r="DD323" s="174"/>
      <x:c r="DE323" s="175" t="str">
        <x:f>IF(L323="","",IF(DC323="","Pending",IF(DD323="Yes","CONDITIONAL — safety override",IF(DC323&gt;=8,"HIGH",IF(DC323&gt;=5,"CONDITIONAL","LOW")))))</x:f>
      </x:c>
      <x:c r="DF323" s="174"/>
      <x:c r="DG323" s="174"/>
      <x:c r="DH323" s="174"/>
      <x:c r="DI323" s="174"/>
      <x:c r="DJ323" s="174"/>
      <x:c r="DK323" s="174"/>
      <x:c r="DL323" s="174"/>
      <x:c r="DM323" s="174"/>
      <x:c r="DN323" s="174"/>
      <x:c r="DO323" s="174"/>
      <x:c r="DP323" s="174"/>
      <x:c r="DQ323" s="174"/>
      <x:c r="DR323" s="174"/>
      <x:c r="DS323" s="174"/>
      <x:c r="DT323" s="174"/>
      <x:c r="DU323" s="174"/>
      <x:c r="DV323" s="174"/>
      <x:c r="DW323" s="174"/>
      <x:c r="DX323" s="174"/>
      <x:c r="DY323" s="174"/>
      <x:c r="DZ323" s="174"/>
      <x:c r="EA323" s="174"/>
      <x:c r="EB323" s="175" t="str">
        <x:f>IF(L323="","",IF(AND(F323="Claim-ready",CJ323="Yes",CL323="Yes",DZ323&lt;&gt;""),"Yes","No / Pending"))</x:f>
      </x:c>
      <x:c r="EC323" s="174"/>
      <x:c r="ED323" s="174"/>
      <x:c r="EE323" s="174"/>
      <x:c r="EF323" s="174"/>
      <x:c r="EG323" s="174"/>
      <x:c r="EH323" s="177"/>
      <x:c r="EI323" s="174"/>
      <x:c r="EJ323" s="174"/>
      <x:c r="EK323" s="174"/>
      <x:c r="EL323" s="177"/>
      <x:c r="EM323" s="174"/>
      <x:c r="EN323" s="181" t="str">
        <x:f>IF(L323="","",(IF(N323&lt;&gt;"",1,0)+IF(O323&lt;&gt;"",1,0)+IF(AJ323&lt;&gt;"",1,0)+IF(AU323&lt;&gt;"",1,0)+IF(BE323&lt;&gt;"",1,0)+IF(CF323&lt;&gt;"",1,0)+IF(CJ323="Yes",1,0)+IF(CL323="Yes",1,0)+IF(DE323&lt;&gt;"Pending",1,0)+IF(F323&lt;&gt;"",1,0)+IF(DZ323&lt;&gt;"",1,0)+IF(EI323&lt;&gt;"",1,0))/12)</x:f>
      </x:c>
    </x:row>
    <x:row r="324">
      <x:c r="A324" s="175" t="str">
        <x:f>IF(L324="","","EV-"&amp;TEXT(ROW()-3,"0000"))</x:f>
      </x:c>
      <x:c r="B324" s="174"/>
      <x:c r="C324" s="175" t="str">
        <x:f>IF(L324="","",IF(OR(CM324="Retracted",CN324="Retracted",F324="Not used"),"🔴 Do not use for conclusion",IF(OR(R324="Official / Institutional",I324="Official / contextual"),"🔵 Official / contextual",IF(OR(I324="Definition",I324="Framework",I324="Paradigm shift"),"🟣 Conceptual key source",IF(AND(CJ324="Yes",CL324="Yes",OR(CG324="High",CG324="Moderate"),CH324&lt;&gt;"High",CH324&lt;&gt;"Critical",F324="Claim-ready"),"🟢 Claim-ready","🟡 Caution / context")))))</x:f>
      </x:c>
      <x:c r="D324" s="174"/>
      <x:c r="E324" s="174"/>
      <x:c r="F324" s="174"/>
      <x:c r="G324" s="174"/>
      <x:c r="H324" s="174"/>
      <x:c r="I324" s="174"/>
      <x:c r="J324" s="174"/>
      <x:c r="K324" s="174"/>
      <x:c r="L324" s="174"/>
      <x:c r="M324" s="174"/>
      <x:c r="N324" s="174"/>
      <x:c r="O324" s="176"/>
      <x:c r="P324" s="174"/>
      <x:c r="Q324" s="174"/>
      <x:c r="R324" s="174"/>
      <x:c r="S324" s="174"/>
      <x:c r="T324" s="174"/>
      <x:c r="U324" s="174"/>
      <x:c r="V324" s="174"/>
      <x:c r="W324" s="175" t="str">
        <x:f>IF(V324="","",LOWER(SUBSTITUTE(SUBSTITUTE(SUBSTITUTE(SUBSTITUTE(TRIM(V324),"https://doi.org/",""),"http://doi.org/",""),"https://dx.doi.org/",""),"doi:","")))</x:f>
      </x:c>
      <x:c r="X324" s="174"/>
      <x:c r="Y324" s="174"/>
      <x:c r="Z324" s="174"/>
      <x:c r="AA324" s="174"/>
      <x:c r="AB324" s="174"/>
      <x:c r="AC324" s="174"/>
      <x:c r="AD324" s="177"/>
      <x:c r="AE324" s="177"/>
      <x:c r="AF324" s="174"/>
      <x:c r="AG324" s="174"/>
      <x:c r="AH324" s="174"/>
      <x:c r="AI324" s="174"/>
      <x:c r="AJ324" s="174"/>
      <x:c r="AK324" s="175" t="str">
        <x:f>IF(AJ324="","",IF(OR(LOWER(AJ324)="brazil",LOWER(AJ324)="brasil"),"Yes","No"))</x:f>
      </x:c>
      <x:c r="AL324" s="174"/>
      <x:c r="AM324" s="174"/>
      <x:c r="AN324" s="174"/>
      <x:c r="AO324" s="178"/>
      <x:c r="AP324" s="174"/>
      <x:c r="AQ324" s="174"/>
      <x:c r="AR324" s="174"/>
      <x:c r="AS324" s="174"/>
      <x:c r="AT324" s="174"/>
      <x:c r="AU324" s="174"/>
      <x:c r="AV324" s="174"/>
      <x:c r="AW324" s="174"/>
      <x:c r="AX324" s="174"/>
      <x:c r="AY324" s="174"/>
      <x:c r="AZ324" s="174"/>
      <x:c r="BA324" s="174"/>
      <x:c r="BB324" s="174"/>
      <x:c r="BC324" s="174"/>
      <x:c r="BD324" s="174"/>
      <x:c r="BE324" s="174"/>
      <x:c r="BF324" s="174"/>
      <x:c r="BG324" s="174"/>
      <x:c r="BH324" s="174"/>
      <x:c r="BI324" s="174"/>
      <x:c r="BJ324" s="174"/>
      <x:c r="BK324" s="174"/>
      <x:c r="BL324" s="174"/>
      <x:c r="BM324" s="174"/>
      <x:c r="BN324" s="174"/>
      <x:c r="BO324" s="174"/>
      <x:c r="BP324" s="174"/>
      <x:c r="BQ324" s="174"/>
      <x:c r="BR324" s="174"/>
      <x:c r="BS324" s="174"/>
      <x:c r="BT324" s="174"/>
      <x:c r="BU324" s="174"/>
      <x:c r="BV324" s="174"/>
      <x:c r="BW324" s="174"/>
      <x:c r="BX324" s="174"/>
      <x:c r="BY324" s="174"/>
      <x:c r="BZ324" s="174"/>
      <x:c r="CA324" s="174"/>
      <x:c r="CB324" s="174"/>
      <x:c r="CC324" s="174"/>
      <x:c r="CD324" s="174"/>
      <x:c r="CE324" s="174"/>
      <x:c r="CF324" s="174"/>
      <x:c r="CG324" s="174"/>
      <x:c r="CH324" s="174"/>
      <x:c r="CI324" s="179"/>
      <x:c r="CJ324" s="174"/>
      <x:c r="CK324" s="174"/>
      <x:c r="CL324" s="174"/>
      <x:c r="CM324" s="174"/>
      <x:c r="CN324" s="174"/>
      <x:c r="CO324" s="177"/>
      <x:c r="CP324" s="174"/>
      <x:c r="CQ324" s="174"/>
      <x:c r="CR324" s="174"/>
      <x:c r="CS324" s="174"/>
      <x:c r="CT324" s="174"/>
      <x:c r="CU324" s="176"/>
      <x:c r="CV324" s="176"/>
      <x:c r="CW324" s="176"/>
      <x:c r="CX324" s="176"/>
      <x:c r="CY324" s="176"/>
      <x:c r="CZ324" s="176"/>
      <x:c r="DA324" s="176"/>
      <x:c r="DB324" s="175" t="str">
        <x:f>IF(L324="","",IF(COUNT(CU324:DA324)&lt;7,"",SUM(CU324:DA324)))</x:f>
      </x:c>
      <x:c r="DC324" s="180" t="str">
        <x:f>IF(DB324="","",ROUND(DB324/14*10,1))</x:f>
      </x:c>
      <x:c r="DD324" s="174"/>
      <x:c r="DE324" s="175" t="str">
        <x:f>IF(L324="","",IF(DC324="","Pending",IF(DD324="Yes","CONDITIONAL — safety override",IF(DC324&gt;=8,"HIGH",IF(DC324&gt;=5,"CONDITIONAL","LOW")))))</x:f>
      </x:c>
      <x:c r="DF324" s="174"/>
      <x:c r="DG324" s="174"/>
      <x:c r="DH324" s="174"/>
      <x:c r="DI324" s="174"/>
      <x:c r="DJ324" s="174"/>
      <x:c r="DK324" s="174"/>
      <x:c r="DL324" s="174"/>
      <x:c r="DM324" s="174"/>
      <x:c r="DN324" s="174"/>
      <x:c r="DO324" s="174"/>
      <x:c r="DP324" s="174"/>
      <x:c r="DQ324" s="174"/>
      <x:c r="DR324" s="174"/>
      <x:c r="DS324" s="174"/>
      <x:c r="DT324" s="174"/>
      <x:c r="DU324" s="174"/>
      <x:c r="DV324" s="174"/>
      <x:c r="DW324" s="174"/>
      <x:c r="DX324" s="174"/>
      <x:c r="DY324" s="174"/>
      <x:c r="DZ324" s="174"/>
      <x:c r="EA324" s="174"/>
      <x:c r="EB324" s="175" t="str">
        <x:f>IF(L324="","",IF(AND(F324="Claim-ready",CJ324="Yes",CL324="Yes",DZ324&lt;&gt;""),"Yes","No / Pending"))</x:f>
      </x:c>
      <x:c r="EC324" s="174"/>
      <x:c r="ED324" s="174"/>
      <x:c r="EE324" s="174"/>
      <x:c r="EF324" s="174"/>
      <x:c r="EG324" s="174"/>
      <x:c r="EH324" s="177"/>
      <x:c r="EI324" s="174"/>
      <x:c r="EJ324" s="174"/>
      <x:c r="EK324" s="174"/>
      <x:c r="EL324" s="177"/>
      <x:c r="EM324" s="174"/>
      <x:c r="EN324" s="181" t="str">
        <x:f>IF(L324="","",(IF(N324&lt;&gt;"",1,0)+IF(O324&lt;&gt;"",1,0)+IF(AJ324&lt;&gt;"",1,0)+IF(AU324&lt;&gt;"",1,0)+IF(BE324&lt;&gt;"",1,0)+IF(CF324&lt;&gt;"",1,0)+IF(CJ324="Yes",1,0)+IF(CL324="Yes",1,0)+IF(DE324&lt;&gt;"Pending",1,0)+IF(F324&lt;&gt;"",1,0)+IF(DZ324&lt;&gt;"",1,0)+IF(EI324&lt;&gt;"",1,0))/12)</x:f>
      </x:c>
    </x:row>
    <x:row r="325">
      <x:c r="A325" s="175" t="str">
        <x:f>IF(L325="","","EV-"&amp;TEXT(ROW()-3,"0000"))</x:f>
      </x:c>
      <x:c r="B325" s="174"/>
      <x:c r="C325" s="175" t="str">
        <x:f>IF(L325="","",IF(OR(CM325="Retracted",CN325="Retracted",F325="Not used"),"🔴 Do not use for conclusion",IF(OR(R325="Official / Institutional",I325="Official / contextual"),"🔵 Official / contextual",IF(OR(I325="Definition",I325="Framework",I325="Paradigm shift"),"🟣 Conceptual key source",IF(AND(CJ325="Yes",CL325="Yes",OR(CG325="High",CG325="Moderate"),CH325&lt;&gt;"High",CH325&lt;&gt;"Critical",F325="Claim-ready"),"🟢 Claim-ready","🟡 Caution / context")))))</x:f>
      </x:c>
      <x:c r="D325" s="174"/>
      <x:c r="E325" s="174"/>
      <x:c r="F325" s="174"/>
      <x:c r="G325" s="174"/>
      <x:c r="H325" s="174"/>
      <x:c r="I325" s="174"/>
      <x:c r="J325" s="174"/>
      <x:c r="K325" s="174"/>
      <x:c r="L325" s="174"/>
      <x:c r="M325" s="174"/>
      <x:c r="N325" s="174"/>
      <x:c r="O325" s="176"/>
      <x:c r="P325" s="174"/>
      <x:c r="Q325" s="174"/>
      <x:c r="R325" s="174"/>
      <x:c r="S325" s="174"/>
      <x:c r="T325" s="174"/>
      <x:c r="U325" s="174"/>
      <x:c r="V325" s="174"/>
      <x:c r="W325" s="175" t="str">
        <x:f>IF(V325="","",LOWER(SUBSTITUTE(SUBSTITUTE(SUBSTITUTE(SUBSTITUTE(TRIM(V325),"https://doi.org/",""),"http://doi.org/",""),"https://dx.doi.org/",""),"doi:","")))</x:f>
      </x:c>
      <x:c r="X325" s="174"/>
      <x:c r="Y325" s="174"/>
      <x:c r="Z325" s="174"/>
      <x:c r="AA325" s="174"/>
      <x:c r="AB325" s="174"/>
      <x:c r="AC325" s="174"/>
      <x:c r="AD325" s="177"/>
      <x:c r="AE325" s="177"/>
      <x:c r="AF325" s="174"/>
      <x:c r="AG325" s="174"/>
      <x:c r="AH325" s="174"/>
      <x:c r="AI325" s="174"/>
      <x:c r="AJ325" s="174"/>
      <x:c r="AK325" s="175" t="str">
        <x:f>IF(AJ325="","",IF(OR(LOWER(AJ325)="brazil",LOWER(AJ325)="brasil"),"Yes","No"))</x:f>
      </x:c>
      <x:c r="AL325" s="174"/>
      <x:c r="AM325" s="174"/>
      <x:c r="AN325" s="174"/>
      <x:c r="AO325" s="178"/>
      <x:c r="AP325" s="174"/>
      <x:c r="AQ325" s="174"/>
      <x:c r="AR325" s="174"/>
      <x:c r="AS325" s="174"/>
      <x:c r="AT325" s="174"/>
      <x:c r="AU325" s="174"/>
      <x:c r="AV325" s="174"/>
      <x:c r="AW325" s="174"/>
      <x:c r="AX325" s="174"/>
      <x:c r="AY325" s="174"/>
      <x:c r="AZ325" s="174"/>
      <x:c r="BA325" s="174"/>
      <x:c r="BB325" s="174"/>
      <x:c r="BC325" s="174"/>
      <x:c r="BD325" s="174"/>
      <x:c r="BE325" s="174"/>
      <x:c r="BF325" s="174"/>
      <x:c r="BG325" s="174"/>
      <x:c r="BH325" s="174"/>
      <x:c r="BI325" s="174"/>
      <x:c r="BJ325" s="174"/>
      <x:c r="BK325" s="174"/>
      <x:c r="BL325" s="174"/>
      <x:c r="BM325" s="174"/>
      <x:c r="BN325" s="174"/>
      <x:c r="BO325" s="174"/>
      <x:c r="BP325" s="174"/>
      <x:c r="BQ325" s="174"/>
      <x:c r="BR325" s="174"/>
      <x:c r="BS325" s="174"/>
      <x:c r="BT325" s="174"/>
      <x:c r="BU325" s="174"/>
      <x:c r="BV325" s="174"/>
      <x:c r="BW325" s="174"/>
      <x:c r="BX325" s="174"/>
      <x:c r="BY325" s="174"/>
      <x:c r="BZ325" s="174"/>
      <x:c r="CA325" s="174"/>
      <x:c r="CB325" s="174"/>
      <x:c r="CC325" s="174"/>
      <x:c r="CD325" s="174"/>
      <x:c r="CE325" s="174"/>
      <x:c r="CF325" s="174"/>
      <x:c r="CG325" s="174"/>
      <x:c r="CH325" s="174"/>
      <x:c r="CI325" s="179"/>
      <x:c r="CJ325" s="174"/>
      <x:c r="CK325" s="174"/>
      <x:c r="CL325" s="174"/>
      <x:c r="CM325" s="174"/>
      <x:c r="CN325" s="174"/>
      <x:c r="CO325" s="177"/>
      <x:c r="CP325" s="174"/>
      <x:c r="CQ325" s="174"/>
      <x:c r="CR325" s="174"/>
      <x:c r="CS325" s="174"/>
      <x:c r="CT325" s="174"/>
      <x:c r="CU325" s="176"/>
      <x:c r="CV325" s="176"/>
      <x:c r="CW325" s="176"/>
      <x:c r="CX325" s="176"/>
      <x:c r="CY325" s="176"/>
      <x:c r="CZ325" s="176"/>
      <x:c r="DA325" s="176"/>
      <x:c r="DB325" s="175" t="str">
        <x:f>IF(L325="","",IF(COUNT(CU325:DA325)&lt;7,"",SUM(CU325:DA325)))</x:f>
      </x:c>
      <x:c r="DC325" s="180" t="str">
        <x:f>IF(DB325="","",ROUND(DB325/14*10,1))</x:f>
      </x:c>
      <x:c r="DD325" s="174"/>
      <x:c r="DE325" s="175" t="str">
        <x:f>IF(L325="","",IF(DC325="","Pending",IF(DD325="Yes","CONDITIONAL — safety override",IF(DC325&gt;=8,"HIGH",IF(DC325&gt;=5,"CONDITIONAL","LOW")))))</x:f>
      </x:c>
      <x:c r="DF325" s="174"/>
      <x:c r="DG325" s="174"/>
      <x:c r="DH325" s="174"/>
      <x:c r="DI325" s="174"/>
      <x:c r="DJ325" s="174"/>
      <x:c r="DK325" s="174"/>
      <x:c r="DL325" s="174"/>
      <x:c r="DM325" s="174"/>
      <x:c r="DN325" s="174"/>
      <x:c r="DO325" s="174"/>
      <x:c r="DP325" s="174"/>
      <x:c r="DQ325" s="174"/>
      <x:c r="DR325" s="174"/>
      <x:c r="DS325" s="174"/>
      <x:c r="DT325" s="174"/>
      <x:c r="DU325" s="174"/>
      <x:c r="DV325" s="174"/>
      <x:c r="DW325" s="174"/>
      <x:c r="DX325" s="174"/>
      <x:c r="DY325" s="174"/>
      <x:c r="DZ325" s="174"/>
      <x:c r="EA325" s="174"/>
      <x:c r="EB325" s="175" t="str">
        <x:f>IF(L325="","",IF(AND(F325="Claim-ready",CJ325="Yes",CL325="Yes",DZ325&lt;&gt;""),"Yes","No / Pending"))</x:f>
      </x:c>
      <x:c r="EC325" s="174"/>
      <x:c r="ED325" s="174"/>
      <x:c r="EE325" s="174"/>
      <x:c r="EF325" s="174"/>
      <x:c r="EG325" s="174"/>
      <x:c r="EH325" s="177"/>
      <x:c r="EI325" s="174"/>
      <x:c r="EJ325" s="174"/>
      <x:c r="EK325" s="174"/>
      <x:c r="EL325" s="177"/>
      <x:c r="EM325" s="174"/>
      <x:c r="EN325" s="181" t="str">
        <x:f>IF(L325="","",(IF(N325&lt;&gt;"",1,0)+IF(O325&lt;&gt;"",1,0)+IF(AJ325&lt;&gt;"",1,0)+IF(AU325&lt;&gt;"",1,0)+IF(BE325&lt;&gt;"",1,0)+IF(CF325&lt;&gt;"",1,0)+IF(CJ325="Yes",1,0)+IF(CL325="Yes",1,0)+IF(DE325&lt;&gt;"Pending",1,0)+IF(F325&lt;&gt;"",1,0)+IF(DZ325&lt;&gt;"",1,0)+IF(EI325&lt;&gt;"",1,0))/12)</x:f>
      </x:c>
    </x:row>
    <x:row r="326">
      <x:c r="A326" s="175" t="str">
        <x:f>IF(L326="","","EV-"&amp;TEXT(ROW()-3,"0000"))</x:f>
      </x:c>
      <x:c r="B326" s="174"/>
      <x:c r="C326" s="175" t="str">
        <x:f>IF(L326="","",IF(OR(CM326="Retracted",CN326="Retracted",F326="Not used"),"🔴 Do not use for conclusion",IF(OR(R326="Official / Institutional",I326="Official / contextual"),"🔵 Official / contextual",IF(OR(I326="Definition",I326="Framework",I326="Paradigm shift"),"🟣 Conceptual key source",IF(AND(CJ326="Yes",CL326="Yes",OR(CG326="High",CG326="Moderate"),CH326&lt;&gt;"High",CH326&lt;&gt;"Critical",F326="Claim-ready"),"🟢 Claim-ready","🟡 Caution / context")))))</x:f>
      </x:c>
      <x:c r="D326" s="174"/>
      <x:c r="E326" s="174"/>
      <x:c r="F326" s="174"/>
      <x:c r="G326" s="174"/>
      <x:c r="H326" s="174"/>
      <x:c r="I326" s="174"/>
      <x:c r="J326" s="174"/>
      <x:c r="K326" s="174"/>
      <x:c r="L326" s="174"/>
      <x:c r="M326" s="174"/>
      <x:c r="N326" s="174"/>
      <x:c r="O326" s="176"/>
      <x:c r="P326" s="174"/>
      <x:c r="Q326" s="174"/>
      <x:c r="R326" s="174"/>
      <x:c r="S326" s="174"/>
      <x:c r="T326" s="174"/>
      <x:c r="U326" s="174"/>
      <x:c r="V326" s="174"/>
      <x:c r="W326" s="175" t="str">
        <x:f>IF(V326="","",LOWER(SUBSTITUTE(SUBSTITUTE(SUBSTITUTE(SUBSTITUTE(TRIM(V326),"https://doi.org/",""),"http://doi.org/",""),"https://dx.doi.org/",""),"doi:","")))</x:f>
      </x:c>
      <x:c r="X326" s="174"/>
      <x:c r="Y326" s="174"/>
      <x:c r="Z326" s="174"/>
      <x:c r="AA326" s="174"/>
      <x:c r="AB326" s="174"/>
      <x:c r="AC326" s="174"/>
      <x:c r="AD326" s="177"/>
      <x:c r="AE326" s="177"/>
      <x:c r="AF326" s="174"/>
      <x:c r="AG326" s="174"/>
      <x:c r="AH326" s="174"/>
      <x:c r="AI326" s="174"/>
      <x:c r="AJ326" s="174"/>
      <x:c r="AK326" s="175" t="str">
        <x:f>IF(AJ326="","",IF(OR(LOWER(AJ326)="brazil",LOWER(AJ326)="brasil"),"Yes","No"))</x:f>
      </x:c>
      <x:c r="AL326" s="174"/>
      <x:c r="AM326" s="174"/>
      <x:c r="AN326" s="174"/>
      <x:c r="AO326" s="178"/>
      <x:c r="AP326" s="174"/>
      <x:c r="AQ326" s="174"/>
      <x:c r="AR326" s="174"/>
      <x:c r="AS326" s="174"/>
      <x:c r="AT326" s="174"/>
      <x:c r="AU326" s="174"/>
      <x:c r="AV326" s="174"/>
      <x:c r="AW326" s="174"/>
      <x:c r="AX326" s="174"/>
      <x:c r="AY326" s="174"/>
      <x:c r="AZ326" s="174"/>
      <x:c r="BA326" s="174"/>
      <x:c r="BB326" s="174"/>
      <x:c r="BC326" s="174"/>
      <x:c r="BD326" s="174"/>
      <x:c r="BE326" s="174"/>
      <x:c r="BF326" s="174"/>
      <x:c r="BG326" s="174"/>
      <x:c r="BH326" s="174"/>
      <x:c r="BI326" s="174"/>
      <x:c r="BJ326" s="174"/>
      <x:c r="BK326" s="174"/>
      <x:c r="BL326" s="174"/>
      <x:c r="BM326" s="174"/>
      <x:c r="BN326" s="174"/>
      <x:c r="BO326" s="174"/>
      <x:c r="BP326" s="174"/>
      <x:c r="BQ326" s="174"/>
      <x:c r="BR326" s="174"/>
      <x:c r="BS326" s="174"/>
      <x:c r="BT326" s="174"/>
      <x:c r="BU326" s="174"/>
      <x:c r="BV326" s="174"/>
      <x:c r="BW326" s="174"/>
      <x:c r="BX326" s="174"/>
      <x:c r="BY326" s="174"/>
      <x:c r="BZ326" s="174"/>
      <x:c r="CA326" s="174"/>
      <x:c r="CB326" s="174"/>
      <x:c r="CC326" s="174"/>
      <x:c r="CD326" s="174"/>
      <x:c r="CE326" s="174"/>
      <x:c r="CF326" s="174"/>
      <x:c r="CG326" s="174"/>
      <x:c r="CH326" s="174"/>
      <x:c r="CI326" s="179"/>
      <x:c r="CJ326" s="174"/>
      <x:c r="CK326" s="174"/>
      <x:c r="CL326" s="174"/>
      <x:c r="CM326" s="174"/>
      <x:c r="CN326" s="174"/>
      <x:c r="CO326" s="177"/>
      <x:c r="CP326" s="174"/>
      <x:c r="CQ326" s="174"/>
      <x:c r="CR326" s="174"/>
      <x:c r="CS326" s="174"/>
      <x:c r="CT326" s="174"/>
      <x:c r="CU326" s="176"/>
      <x:c r="CV326" s="176"/>
      <x:c r="CW326" s="176"/>
      <x:c r="CX326" s="176"/>
      <x:c r="CY326" s="176"/>
      <x:c r="CZ326" s="176"/>
      <x:c r="DA326" s="176"/>
      <x:c r="DB326" s="175" t="str">
        <x:f>IF(L326="","",IF(COUNT(CU326:DA326)&lt;7,"",SUM(CU326:DA326)))</x:f>
      </x:c>
      <x:c r="DC326" s="180" t="str">
        <x:f>IF(DB326="","",ROUND(DB326/14*10,1))</x:f>
      </x:c>
      <x:c r="DD326" s="174"/>
      <x:c r="DE326" s="175" t="str">
        <x:f>IF(L326="","",IF(DC326="","Pending",IF(DD326="Yes","CONDITIONAL — safety override",IF(DC326&gt;=8,"HIGH",IF(DC326&gt;=5,"CONDITIONAL","LOW")))))</x:f>
      </x:c>
      <x:c r="DF326" s="174"/>
      <x:c r="DG326" s="174"/>
      <x:c r="DH326" s="174"/>
      <x:c r="DI326" s="174"/>
      <x:c r="DJ326" s="174"/>
      <x:c r="DK326" s="174"/>
      <x:c r="DL326" s="174"/>
      <x:c r="DM326" s="174"/>
      <x:c r="DN326" s="174"/>
      <x:c r="DO326" s="174"/>
      <x:c r="DP326" s="174"/>
      <x:c r="DQ326" s="174"/>
      <x:c r="DR326" s="174"/>
      <x:c r="DS326" s="174"/>
      <x:c r="DT326" s="174"/>
      <x:c r="DU326" s="174"/>
      <x:c r="DV326" s="174"/>
      <x:c r="DW326" s="174"/>
      <x:c r="DX326" s="174"/>
      <x:c r="DY326" s="174"/>
      <x:c r="DZ326" s="174"/>
      <x:c r="EA326" s="174"/>
      <x:c r="EB326" s="175" t="str">
        <x:f>IF(L326="","",IF(AND(F326="Claim-ready",CJ326="Yes",CL326="Yes",DZ326&lt;&gt;""),"Yes","No / Pending"))</x:f>
      </x:c>
      <x:c r="EC326" s="174"/>
      <x:c r="ED326" s="174"/>
      <x:c r="EE326" s="174"/>
      <x:c r="EF326" s="174"/>
      <x:c r="EG326" s="174"/>
      <x:c r="EH326" s="177"/>
      <x:c r="EI326" s="174"/>
      <x:c r="EJ326" s="174"/>
      <x:c r="EK326" s="174"/>
      <x:c r="EL326" s="177"/>
      <x:c r="EM326" s="174"/>
      <x:c r="EN326" s="181" t="str">
        <x:f>IF(L326="","",(IF(N326&lt;&gt;"",1,0)+IF(O326&lt;&gt;"",1,0)+IF(AJ326&lt;&gt;"",1,0)+IF(AU326&lt;&gt;"",1,0)+IF(BE326&lt;&gt;"",1,0)+IF(CF326&lt;&gt;"",1,0)+IF(CJ326="Yes",1,0)+IF(CL326="Yes",1,0)+IF(DE326&lt;&gt;"Pending",1,0)+IF(F326&lt;&gt;"",1,0)+IF(DZ326&lt;&gt;"",1,0)+IF(EI326&lt;&gt;"",1,0))/12)</x:f>
      </x:c>
    </x:row>
    <x:row r="327">
      <x:c r="A327" s="175" t="str">
        <x:f>IF(L327="","","EV-"&amp;TEXT(ROW()-3,"0000"))</x:f>
      </x:c>
      <x:c r="B327" s="174"/>
      <x:c r="C327" s="175" t="str">
        <x:f>IF(L327="","",IF(OR(CM327="Retracted",CN327="Retracted",F327="Not used"),"🔴 Do not use for conclusion",IF(OR(R327="Official / Institutional",I327="Official / contextual"),"🔵 Official / contextual",IF(OR(I327="Definition",I327="Framework",I327="Paradigm shift"),"🟣 Conceptual key source",IF(AND(CJ327="Yes",CL327="Yes",OR(CG327="High",CG327="Moderate"),CH327&lt;&gt;"High",CH327&lt;&gt;"Critical",F327="Claim-ready"),"🟢 Claim-ready","🟡 Caution / context")))))</x:f>
      </x:c>
      <x:c r="D327" s="174"/>
      <x:c r="E327" s="174"/>
      <x:c r="F327" s="174"/>
      <x:c r="G327" s="174"/>
      <x:c r="H327" s="174"/>
      <x:c r="I327" s="174"/>
      <x:c r="J327" s="174"/>
      <x:c r="K327" s="174"/>
      <x:c r="L327" s="174"/>
      <x:c r="M327" s="174"/>
      <x:c r="N327" s="174"/>
      <x:c r="O327" s="176"/>
      <x:c r="P327" s="174"/>
      <x:c r="Q327" s="174"/>
      <x:c r="R327" s="174"/>
      <x:c r="S327" s="174"/>
      <x:c r="T327" s="174"/>
      <x:c r="U327" s="174"/>
      <x:c r="V327" s="174"/>
      <x:c r="W327" s="175" t="str">
        <x:f>IF(V327="","",LOWER(SUBSTITUTE(SUBSTITUTE(SUBSTITUTE(SUBSTITUTE(TRIM(V327),"https://doi.org/",""),"http://doi.org/",""),"https://dx.doi.org/",""),"doi:","")))</x:f>
      </x:c>
      <x:c r="X327" s="174"/>
      <x:c r="Y327" s="174"/>
      <x:c r="Z327" s="174"/>
      <x:c r="AA327" s="174"/>
      <x:c r="AB327" s="174"/>
      <x:c r="AC327" s="174"/>
      <x:c r="AD327" s="177"/>
      <x:c r="AE327" s="177"/>
      <x:c r="AF327" s="174"/>
      <x:c r="AG327" s="174"/>
      <x:c r="AH327" s="174"/>
      <x:c r="AI327" s="174"/>
      <x:c r="AJ327" s="174"/>
      <x:c r="AK327" s="175" t="str">
        <x:f>IF(AJ327="","",IF(OR(LOWER(AJ327)="brazil",LOWER(AJ327)="brasil"),"Yes","No"))</x:f>
      </x:c>
      <x:c r="AL327" s="174"/>
      <x:c r="AM327" s="174"/>
      <x:c r="AN327" s="174"/>
      <x:c r="AO327" s="178"/>
      <x:c r="AP327" s="174"/>
      <x:c r="AQ327" s="174"/>
      <x:c r="AR327" s="174"/>
      <x:c r="AS327" s="174"/>
      <x:c r="AT327" s="174"/>
      <x:c r="AU327" s="174"/>
      <x:c r="AV327" s="174"/>
      <x:c r="AW327" s="174"/>
      <x:c r="AX327" s="174"/>
      <x:c r="AY327" s="174"/>
      <x:c r="AZ327" s="174"/>
      <x:c r="BA327" s="174"/>
      <x:c r="BB327" s="174"/>
      <x:c r="BC327" s="174"/>
      <x:c r="BD327" s="174"/>
      <x:c r="BE327" s="174"/>
      <x:c r="BF327" s="174"/>
      <x:c r="BG327" s="174"/>
      <x:c r="BH327" s="174"/>
      <x:c r="BI327" s="174"/>
      <x:c r="BJ327" s="174"/>
      <x:c r="BK327" s="174"/>
      <x:c r="BL327" s="174"/>
      <x:c r="BM327" s="174"/>
      <x:c r="BN327" s="174"/>
      <x:c r="BO327" s="174"/>
      <x:c r="BP327" s="174"/>
      <x:c r="BQ327" s="174"/>
      <x:c r="BR327" s="174"/>
      <x:c r="BS327" s="174"/>
      <x:c r="BT327" s="174"/>
      <x:c r="BU327" s="174"/>
      <x:c r="BV327" s="174"/>
      <x:c r="BW327" s="174"/>
      <x:c r="BX327" s="174"/>
      <x:c r="BY327" s="174"/>
      <x:c r="BZ327" s="174"/>
      <x:c r="CA327" s="174"/>
      <x:c r="CB327" s="174"/>
      <x:c r="CC327" s="174"/>
      <x:c r="CD327" s="174"/>
      <x:c r="CE327" s="174"/>
      <x:c r="CF327" s="174"/>
      <x:c r="CG327" s="174"/>
      <x:c r="CH327" s="174"/>
      <x:c r="CI327" s="179"/>
      <x:c r="CJ327" s="174"/>
      <x:c r="CK327" s="174"/>
      <x:c r="CL327" s="174"/>
      <x:c r="CM327" s="174"/>
      <x:c r="CN327" s="174"/>
      <x:c r="CO327" s="177"/>
      <x:c r="CP327" s="174"/>
      <x:c r="CQ327" s="174"/>
      <x:c r="CR327" s="174"/>
      <x:c r="CS327" s="174"/>
      <x:c r="CT327" s="174"/>
      <x:c r="CU327" s="176"/>
      <x:c r="CV327" s="176"/>
      <x:c r="CW327" s="176"/>
      <x:c r="CX327" s="176"/>
      <x:c r="CY327" s="176"/>
      <x:c r="CZ327" s="176"/>
      <x:c r="DA327" s="176"/>
      <x:c r="DB327" s="175" t="str">
        <x:f>IF(L327="","",IF(COUNT(CU327:DA327)&lt;7,"",SUM(CU327:DA327)))</x:f>
      </x:c>
      <x:c r="DC327" s="180" t="str">
        <x:f>IF(DB327="","",ROUND(DB327/14*10,1))</x:f>
      </x:c>
      <x:c r="DD327" s="174"/>
      <x:c r="DE327" s="175" t="str">
        <x:f>IF(L327="","",IF(DC327="","Pending",IF(DD327="Yes","CONDITIONAL — safety override",IF(DC327&gt;=8,"HIGH",IF(DC327&gt;=5,"CONDITIONAL","LOW")))))</x:f>
      </x:c>
      <x:c r="DF327" s="174"/>
      <x:c r="DG327" s="174"/>
      <x:c r="DH327" s="174"/>
      <x:c r="DI327" s="174"/>
      <x:c r="DJ327" s="174"/>
      <x:c r="DK327" s="174"/>
      <x:c r="DL327" s="174"/>
      <x:c r="DM327" s="174"/>
      <x:c r="DN327" s="174"/>
      <x:c r="DO327" s="174"/>
      <x:c r="DP327" s="174"/>
      <x:c r="DQ327" s="174"/>
      <x:c r="DR327" s="174"/>
      <x:c r="DS327" s="174"/>
      <x:c r="DT327" s="174"/>
      <x:c r="DU327" s="174"/>
      <x:c r="DV327" s="174"/>
      <x:c r="DW327" s="174"/>
      <x:c r="DX327" s="174"/>
      <x:c r="DY327" s="174"/>
      <x:c r="DZ327" s="174"/>
      <x:c r="EA327" s="174"/>
      <x:c r="EB327" s="175" t="str">
        <x:f>IF(L327="","",IF(AND(F327="Claim-ready",CJ327="Yes",CL327="Yes",DZ327&lt;&gt;""),"Yes","No / Pending"))</x:f>
      </x:c>
      <x:c r="EC327" s="174"/>
      <x:c r="ED327" s="174"/>
      <x:c r="EE327" s="174"/>
      <x:c r="EF327" s="174"/>
      <x:c r="EG327" s="174"/>
      <x:c r="EH327" s="177"/>
      <x:c r="EI327" s="174"/>
      <x:c r="EJ327" s="174"/>
      <x:c r="EK327" s="174"/>
      <x:c r="EL327" s="177"/>
      <x:c r="EM327" s="174"/>
      <x:c r="EN327" s="181" t="str">
        <x:f>IF(L327="","",(IF(N327&lt;&gt;"",1,0)+IF(O327&lt;&gt;"",1,0)+IF(AJ327&lt;&gt;"",1,0)+IF(AU327&lt;&gt;"",1,0)+IF(BE327&lt;&gt;"",1,0)+IF(CF327&lt;&gt;"",1,0)+IF(CJ327="Yes",1,0)+IF(CL327="Yes",1,0)+IF(DE327&lt;&gt;"Pending",1,0)+IF(F327&lt;&gt;"",1,0)+IF(DZ327&lt;&gt;"",1,0)+IF(EI327&lt;&gt;"",1,0))/12)</x:f>
      </x:c>
    </x:row>
    <x:row r="328">
      <x:c r="A328" s="175" t="str">
        <x:f>IF(L328="","","EV-"&amp;TEXT(ROW()-3,"0000"))</x:f>
      </x:c>
      <x:c r="B328" s="174"/>
      <x:c r="C328" s="175" t="str">
        <x:f>IF(L328="","",IF(OR(CM328="Retracted",CN328="Retracted",F328="Not used"),"🔴 Do not use for conclusion",IF(OR(R328="Official / Institutional",I328="Official / contextual"),"🔵 Official / contextual",IF(OR(I328="Definition",I328="Framework",I328="Paradigm shift"),"🟣 Conceptual key source",IF(AND(CJ328="Yes",CL328="Yes",OR(CG328="High",CG328="Moderate"),CH328&lt;&gt;"High",CH328&lt;&gt;"Critical",F328="Claim-ready"),"🟢 Claim-ready","🟡 Caution / context")))))</x:f>
      </x:c>
      <x:c r="D328" s="174"/>
      <x:c r="E328" s="174"/>
      <x:c r="F328" s="174"/>
      <x:c r="G328" s="174"/>
      <x:c r="H328" s="174"/>
      <x:c r="I328" s="174"/>
      <x:c r="J328" s="174"/>
      <x:c r="K328" s="174"/>
      <x:c r="L328" s="174"/>
      <x:c r="M328" s="174"/>
      <x:c r="N328" s="174"/>
      <x:c r="O328" s="176"/>
      <x:c r="P328" s="174"/>
      <x:c r="Q328" s="174"/>
      <x:c r="R328" s="174"/>
      <x:c r="S328" s="174"/>
      <x:c r="T328" s="174"/>
      <x:c r="U328" s="174"/>
      <x:c r="V328" s="174"/>
      <x:c r="W328" s="175" t="str">
        <x:f>IF(V328="","",LOWER(SUBSTITUTE(SUBSTITUTE(SUBSTITUTE(SUBSTITUTE(TRIM(V328),"https://doi.org/",""),"http://doi.org/",""),"https://dx.doi.org/",""),"doi:","")))</x:f>
      </x:c>
      <x:c r="X328" s="174"/>
      <x:c r="Y328" s="174"/>
      <x:c r="Z328" s="174"/>
      <x:c r="AA328" s="174"/>
      <x:c r="AB328" s="174"/>
      <x:c r="AC328" s="174"/>
      <x:c r="AD328" s="177"/>
      <x:c r="AE328" s="177"/>
      <x:c r="AF328" s="174"/>
      <x:c r="AG328" s="174"/>
      <x:c r="AH328" s="174"/>
      <x:c r="AI328" s="174"/>
      <x:c r="AJ328" s="174"/>
      <x:c r="AK328" s="175" t="str">
        <x:f>IF(AJ328="","",IF(OR(LOWER(AJ328)="brazil",LOWER(AJ328)="brasil"),"Yes","No"))</x:f>
      </x:c>
      <x:c r="AL328" s="174"/>
      <x:c r="AM328" s="174"/>
      <x:c r="AN328" s="174"/>
      <x:c r="AO328" s="178"/>
      <x:c r="AP328" s="174"/>
      <x:c r="AQ328" s="174"/>
      <x:c r="AR328" s="174"/>
      <x:c r="AS328" s="174"/>
      <x:c r="AT328" s="174"/>
      <x:c r="AU328" s="174"/>
      <x:c r="AV328" s="174"/>
      <x:c r="AW328" s="174"/>
      <x:c r="AX328" s="174"/>
      <x:c r="AY328" s="174"/>
      <x:c r="AZ328" s="174"/>
      <x:c r="BA328" s="174"/>
      <x:c r="BB328" s="174"/>
      <x:c r="BC328" s="174"/>
      <x:c r="BD328" s="174"/>
      <x:c r="BE328" s="174"/>
      <x:c r="BF328" s="174"/>
      <x:c r="BG328" s="174"/>
      <x:c r="BH328" s="174"/>
      <x:c r="BI328" s="174"/>
      <x:c r="BJ328" s="174"/>
      <x:c r="BK328" s="174"/>
      <x:c r="BL328" s="174"/>
      <x:c r="BM328" s="174"/>
      <x:c r="BN328" s="174"/>
      <x:c r="BO328" s="174"/>
      <x:c r="BP328" s="174"/>
      <x:c r="BQ328" s="174"/>
      <x:c r="BR328" s="174"/>
      <x:c r="BS328" s="174"/>
      <x:c r="BT328" s="174"/>
      <x:c r="BU328" s="174"/>
      <x:c r="BV328" s="174"/>
      <x:c r="BW328" s="174"/>
      <x:c r="BX328" s="174"/>
      <x:c r="BY328" s="174"/>
      <x:c r="BZ328" s="174"/>
      <x:c r="CA328" s="174"/>
      <x:c r="CB328" s="174"/>
      <x:c r="CC328" s="174"/>
      <x:c r="CD328" s="174"/>
      <x:c r="CE328" s="174"/>
      <x:c r="CF328" s="174"/>
      <x:c r="CG328" s="174"/>
      <x:c r="CH328" s="174"/>
      <x:c r="CI328" s="179"/>
      <x:c r="CJ328" s="174"/>
      <x:c r="CK328" s="174"/>
      <x:c r="CL328" s="174"/>
      <x:c r="CM328" s="174"/>
      <x:c r="CN328" s="174"/>
      <x:c r="CO328" s="177"/>
      <x:c r="CP328" s="174"/>
      <x:c r="CQ328" s="174"/>
      <x:c r="CR328" s="174"/>
      <x:c r="CS328" s="174"/>
      <x:c r="CT328" s="174"/>
      <x:c r="CU328" s="176"/>
      <x:c r="CV328" s="176"/>
      <x:c r="CW328" s="176"/>
      <x:c r="CX328" s="176"/>
      <x:c r="CY328" s="176"/>
      <x:c r="CZ328" s="176"/>
      <x:c r="DA328" s="176"/>
      <x:c r="DB328" s="175" t="str">
        <x:f>IF(L328="","",IF(COUNT(CU328:DA328)&lt;7,"",SUM(CU328:DA328)))</x:f>
      </x:c>
      <x:c r="DC328" s="180" t="str">
        <x:f>IF(DB328="","",ROUND(DB328/14*10,1))</x:f>
      </x:c>
      <x:c r="DD328" s="174"/>
      <x:c r="DE328" s="175" t="str">
        <x:f>IF(L328="","",IF(DC328="","Pending",IF(DD328="Yes","CONDITIONAL — safety override",IF(DC328&gt;=8,"HIGH",IF(DC328&gt;=5,"CONDITIONAL","LOW")))))</x:f>
      </x:c>
      <x:c r="DF328" s="174"/>
      <x:c r="DG328" s="174"/>
      <x:c r="DH328" s="174"/>
      <x:c r="DI328" s="174"/>
      <x:c r="DJ328" s="174"/>
      <x:c r="DK328" s="174"/>
      <x:c r="DL328" s="174"/>
      <x:c r="DM328" s="174"/>
      <x:c r="DN328" s="174"/>
      <x:c r="DO328" s="174"/>
      <x:c r="DP328" s="174"/>
      <x:c r="DQ328" s="174"/>
      <x:c r="DR328" s="174"/>
      <x:c r="DS328" s="174"/>
      <x:c r="DT328" s="174"/>
      <x:c r="DU328" s="174"/>
      <x:c r="DV328" s="174"/>
      <x:c r="DW328" s="174"/>
      <x:c r="DX328" s="174"/>
      <x:c r="DY328" s="174"/>
      <x:c r="DZ328" s="174"/>
      <x:c r="EA328" s="174"/>
      <x:c r="EB328" s="175" t="str">
        <x:f>IF(L328="","",IF(AND(F328="Claim-ready",CJ328="Yes",CL328="Yes",DZ328&lt;&gt;""),"Yes","No / Pending"))</x:f>
      </x:c>
      <x:c r="EC328" s="174"/>
      <x:c r="ED328" s="174"/>
      <x:c r="EE328" s="174"/>
      <x:c r="EF328" s="174"/>
      <x:c r="EG328" s="174"/>
      <x:c r="EH328" s="177"/>
      <x:c r="EI328" s="174"/>
      <x:c r="EJ328" s="174"/>
      <x:c r="EK328" s="174"/>
      <x:c r="EL328" s="177"/>
      <x:c r="EM328" s="174"/>
      <x:c r="EN328" s="181" t="str">
        <x:f>IF(L328="","",(IF(N328&lt;&gt;"",1,0)+IF(O328&lt;&gt;"",1,0)+IF(AJ328&lt;&gt;"",1,0)+IF(AU328&lt;&gt;"",1,0)+IF(BE328&lt;&gt;"",1,0)+IF(CF328&lt;&gt;"",1,0)+IF(CJ328="Yes",1,0)+IF(CL328="Yes",1,0)+IF(DE328&lt;&gt;"Pending",1,0)+IF(F328&lt;&gt;"",1,0)+IF(DZ328&lt;&gt;"",1,0)+IF(EI328&lt;&gt;"",1,0))/12)</x:f>
      </x:c>
    </x:row>
    <x:row r="329">
      <x:c r="A329" s="175" t="str">
        <x:f>IF(L329="","","EV-"&amp;TEXT(ROW()-3,"0000"))</x:f>
      </x:c>
      <x:c r="B329" s="174"/>
      <x:c r="C329" s="175" t="str">
        <x:f>IF(L329="","",IF(OR(CM329="Retracted",CN329="Retracted",F329="Not used"),"🔴 Do not use for conclusion",IF(OR(R329="Official / Institutional",I329="Official / contextual"),"🔵 Official / contextual",IF(OR(I329="Definition",I329="Framework",I329="Paradigm shift"),"🟣 Conceptual key source",IF(AND(CJ329="Yes",CL329="Yes",OR(CG329="High",CG329="Moderate"),CH329&lt;&gt;"High",CH329&lt;&gt;"Critical",F329="Claim-ready"),"🟢 Claim-ready","🟡 Caution / context")))))</x:f>
      </x:c>
      <x:c r="D329" s="174"/>
      <x:c r="E329" s="174"/>
      <x:c r="F329" s="174"/>
      <x:c r="G329" s="174"/>
      <x:c r="H329" s="174"/>
      <x:c r="I329" s="174"/>
      <x:c r="J329" s="174"/>
      <x:c r="K329" s="174"/>
      <x:c r="L329" s="174"/>
      <x:c r="M329" s="174"/>
      <x:c r="N329" s="174"/>
      <x:c r="O329" s="176"/>
      <x:c r="P329" s="174"/>
      <x:c r="Q329" s="174"/>
      <x:c r="R329" s="174"/>
      <x:c r="S329" s="174"/>
      <x:c r="T329" s="174"/>
      <x:c r="U329" s="174"/>
      <x:c r="V329" s="174"/>
      <x:c r="W329" s="175" t="str">
        <x:f>IF(V329="","",LOWER(SUBSTITUTE(SUBSTITUTE(SUBSTITUTE(SUBSTITUTE(TRIM(V329),"https://doi.org/",""),"http://doi.org/",""),"https://dx.doi.org/",""),"doi:","")))</x:f>
      </x:c>
      <x:c r="X329" s="174"/>
      <x:c r="Y329" s="174"/>
      <x:c r="Z329" s="174"/>
      <x:c r="AA329" s="174"/>
      <x:c r="AB329" s="174"/>
      <x:c r="AC329" s="174"/>
      <x:c r="AD329" s="177"/>
      <x:c r="AE329" s="177"/>
      <x:c r="AF329" s="174"/>
      <x:c r="AG329" s="174"/>
      <x:c r="AH329" s="174"/>
      <x:c r="AI329" s="174"/>
      <x:c r="AJ329" s="174"/>
      <x:c r="AK329" s="175" t="str">
        <x:f>IF(AJ329="","",IF(OR(LOWER(AJ329)="brazil",LOWER(AJ329)="brasil"),"Yes","No"))</x:f>
      </x:c>
      <x:c r="AL329" s="174"/>
      <x:c r="AM329" s="174"/>
      <x:c r="AN329" s="174"/>
      <x:c r="AO329" s="178"/>
      <x:c r="AP329" s="174"/>
      <x:c r="AQ329" s="174"/>
      <x:c r="AR329" s="174"/>
      <x:c r="AS329" s="174"/>
      <x:c r="AT329" s="174"/>
      <x:c r="AU329" s="174"/>
      <x:c r="AV329" s="174"/>
      <x:c r="AW329" s="174"/>
      <x:c r="AX329" s="174"/>
      <x:c r="AY329" s="174"/>
      <x:c r="AZ329" s="174"/>
      <x:c r="BA329" s="174"/>
      <x:c r="BB329" s="174"/>
      <x:c r="BC329" s="174"/>
      <x:c r="BD329" s="174"/>
      <x:c r="BE329" s="174"/>
      <x:c r="BF329" s="174"/>
      <x:c r="BG329" s="174"/>
      <x:c r="BH329" s="174"/>
      <x:c r="BI329" s="174"/>
      <x:c r="BJ329" s="174"/>
      <x:c r="BK329" s="174"/>
      <x:c r="BL329" s="174"/>
      <x:c r="BM329" s="174"/>
      <x:c r="BN329" s="174"/>
      <x:c r="BO329" s="174"/>
      <x:c r="BP329" s="174"/>
      <x:c r="BQ329" s="174"/>
      <x:c r="BR329" s="174"/>
      <x:c r="BS329" s="174"/>
      <x:c r="BT329" s="174"/>
      <x:c r="BU329" s="174"/>
      <x:c r="BV329" s="174"/>
      <x:c r="BW329" s="174"/>
      <x:c r="BX329" s="174"/>
      <x:c r="BY329" s="174"/>
      <x:c r="BZ329" s="174"/>
      <x:c r="CA329" s="174"/>
      <x:c r="CB329" s="174"/>
      <x:c r="CC329" s="174"/>
      <x:c r="CD329" s="174"/>
      <x:c r="CE329" s="174"/>
      <x:c r="CF329" s="174"/>
      <x:c r="CG329" s="174"/>
      <x:c r="CH329" s="174"/>
      <x:c r="CI329" s="179"/>
      <x:c r="CJ329" s="174"/>
      <x:c r="CK329" s="174"/>
      <x:c r="CL329" s="174"/>
      <x:c r="CM329" s="174"/>
      <x:c r="CN329" s="174"/>
      <x:c r="CO329" s="177"/>
      <x:c r="CP329" s="174"/>
      <x:c r="CQ329" s="174"/>
      <x:c r="CR329" s="174"/>
      <x:c r="CS329" s="174"/>
      <x:c r="CT329" s="174"/>
      <x:c r="CU329" s="176"/>
      <x:c r="CV329" s="176"/>
      <x:c r="CW329" s="176"/>
      <x:c r="CX329" s="176"/>
      <x:c r="CY329" s="176"/>
      <x:c r="CZ329" s="176"/>
      <x:c r="DA329" s="176"/>
      <x:c r="DB329" s="175" t="str">
        <x:f>IF(L329="","",IF(COUNT(CU329:DA329)&lt;7,"",SUM(CU329:DA329)))</x:f>
      </x:c>
      <x:c r="DC329" s="180" t="str">
        <x:f>IF(DB329="","",ROUND(DB329/14*10,1))</x:f>
      </x:c>
      <x:c r="DD329" s="174"/>
      <x:c r="DE329" s="175" t="str">
        <x:f>IF(L329="","",IF(DC329="","Pending",IF(DD329="Yes","CONDITIONAL — safety override",IF(DC329&gt;=8,"HIGH",IF(DC329&gt;=5,"CONDITIONAL","LOW")))))</x:f>
      </x:c>
      <x:c r="DF329" s="174"/>
      <x:c r="DG329" s="174"/>
      <x:c r="DH329" s="174"/>
      <x:c r="DI329" s="174"/>
      <x:c r="DJ329" s="174"/>
      <x:c r="DK329" s="174"/>
      <x:c r="DL329" s="174"/>
      <x:c r="DM329" s="174"/>
      <x:c r="DN329" s="174"/>
      <x:c r="DO329" s="174"/>
      <x:c r="DP329" s="174"/>
      <x:c r="DQ329" s="174"/>
      <x:c r="DR329" s="174"/>
      <x:c r="DS329" s="174"/>
      <x:c r="DT329" s="174"/>
      <x:c r="DU329" s="174"/>
      <x:c r="DV329" s="174"/>
      <x:c r="DW329" s="174"/>
      <x:c r="DX329" s="174"/>
      <x:c r="DY329" s="174"/>
      <x:c r="DZ329" s="174"/>
      <x:c r="EA329" s="174"/>
      <x:c r="EB329" s="175" t="str">
        <x:f>IF(L329="","",IF(AND(F329="Claim-ready",CJ329="Yes",CL329="Yes",DZ329&lt;&gt;""),"Yes","No / Pending"))</x:f>
      </x:c>
      <x:c r="EC329" s="174"/>
      <x:c r="ED329" s="174"/>
      <x:c r="EE329" s="174"/>
      <x:c r="EF329" s="174"/>
      <x:c r="EG329" s="174"/>
      <x:c r="EH329" s="177"/>
      <x:c r="EI329" s="174"/>
      <x:c r="EJ329" s="174"/>
      <x:c r="EK329" s="174"/>
      <x:c r="EL329" s="177"/>
      <x:c r="EM329" s="174"/>
      <x:c r="EN329" s="181" t="str">
        <x:f>IF(L329="","",(IF(N329&lt;&gt;"",1,0)+IF(O329&lt;&gt;"",1,0)+IF(AJ329&lt;&gt;"",1,0)+IF(AU329&lt;&gt;"",1,0)+IF(BE329&lt;&gt;"",1,0)+IF(CF329&lt;&gt;"",1,0)+IF(CJ329="Yes",1,0)+IF(CL329="Yes",1,0)+IF(DE329&lt;&gt;"Pending",1,0)+IF(F329&lt;&gt;"",1,0)+IF(DZ329&lt;&gt;"",1,0)+IF(EI329&lt;&gt;"",1,0))/12)</x:f>
      </x:c>
    </x:row>
    <x:row r="330">
      <x:c r="A330" s="175" t="str">
        <x:f>IF(L330="","","EV-"&amp;TEXT(ROW()-3,"0000"))</x:f>
      </x:c>
      <x:c r="B330" s="174"/>
      <x:c r="C330" s="175" t="str">
        <x:f>IF(L330="","",IF(OR(CM330="Retracted",CN330="Retracted",F330="Not used"),"🔴 Do not use for conclusion",IF(OR(R330="Official / Institutional",I330="Official / contextual"),"🔵 Official / contextual",IF(OR(I330="Definition",I330="Framework",I330="Paradigm shift"),"🟣 Conceptual key source",IF(AND(CJ330="Yes",CL330="Yes",OR(CG330="High",CG330="Moderate"),CH330&lt;&gt;"High",CH330&lt;&gt;"Critical",F330="Claim-ready"),"🟢 Claim-ready","🟡 Caution / context")))))</x:f>
      </x:c>
      <x:c r="D330" s="174"/>
      <x:c r="E330" s="174"/>
      <x:c r="F330" s="174"/>
      <x:c r="G330" s="174"/>
      <x:c r="H330" s="174"/>
      <x:c r="I330" s="174"/>
      <x:c r="J330" s="174"/>
      <x:c r="K330" s="174"/>
      <x:c r="L330" s="174"/>
      <x:c r="M330" s="174"/>
      <x:c r="N330" s="174"/>
      <x:c r="O330" s="176"/>
      <x:c r="P330" s="174"/>
      <x:c r="Q330" s="174"/>
      <x:c r="R330" s="174"/>
      <x:c r="S330" s="174"/>
      <x:c r="T330" s="174"/>
      <x:c r="U330" s="174"/>
      <x:c r="V330" s="174"/>
      <x:c r="W330" s="175" t="str">
        <x:f>IF(V330="","",LOWER(SUBSTITUTE(SUBSTITUTE(SUBSTITUTE(SUBSTITUTE(TRIM(V330),"https://doi.org/",""),"http://doi.org/",""),"https://dx.doi.org/",""),"doi:","")))</x:f>
      </x:c>
      <x:c r="X330" s="174"/>
      <x:c r="Y330" s="174"/>
      <x:c r="Z330" s="174"/>
      <x:c r="AA330" s="174"/>
      <x:c r="AB330" s="174"/>
      <x:c r="AC330" s="174"/>
      <x:c r="AD330" s="177"/>
      <x:c r="AE330" s="177"/>
      <x:c r="AF330" s="174"/>
      <x:c r="AG330" s="174"/>
      <x:c r="AH330" s="174"/>
      <x:c r="AI330" s="174"/>
      <x:c r="AJ330" s="174"/>
      <x:c r="AK330" s="175" t="str">
        <x:f>IF(AJ330="","",IF(OR(LOWER(AJ330)="brazil",LOWER(AJ330)="brasil"),"Yes","No"))</x:f>
      </x:c>
      <x:c r="AL330" s="174"/>
      <x:c r="AM330" s="174"/>
      <x:c r="AN330" s="174"/>
      <x:c r="AO330" s="178"/>
      <x:c r="AP330" s="174"/>
      <x:c r="AQ330" s="174"/>
      <x:c r="AR330" s="174"/>
      <x:c r="AS330" s="174"/>
      <x:c r="AT330" s="174"/>
      <x:c r="AU330" s="174"/>
      <x:c r="AV330" s="174"/>
      <x:c r="AW330" s="174"/>
      <x:c r="AX330" s="174"/>
      <x:c r="AY330" s="174"/>
      <x:c r="AZ330" s="174"/>
      <x:c r="BA330" s="174"/>
      <x:c r="BB330" s="174"/>
      <x:c r="BC330" s="174"/>
      <x:c r="BD330" s="174"/>
      <x:c r="BE330" s="174"/>
      <x:c r="BF330" s="174"/>
      <x:c r="BG330" s="174"/>
      <x:c r="BH330" s="174"/>
      <x:c r="BI330" s="174"/>
      <x:c r="BJ330" s="174"/>
      <x:c r="BK330" s="174"/>
      <x:c r="BL330" s="174"/>
      <x:c r="BM330" s="174"/>
      <x:c r="BN330" s="174"/>
      <x:c r="BO330" s="174"/>
      <x:c r="BP330" s="174"/>
      <x:c r="BQ330" s="174"/>
      <x:c r="BR330" s="174"/>
      <x:c r="BS330" s="174"/>
      <x:c r="BT330" s="174"/>
      <x:c r="BU330" s="174"/>
      <x:c r="BV330" s="174"/>
      <x:c r="BW330" s="174"/>
      <x:c r="BX330" s="174"/>
      <x:c r="BY330" s="174"/>
      <x:c r="BZ330" s="174"/>
      <x:c r="CA330" s="174"/>
      <x:c r="CB330" s="174"/>
      <x:c r="CC330" s="174"/>
      <x:c r="CD330" s="174"/>
      <x:c r="CE330" s="174"/>
      <x:c r="CF330" s="174"/>
      <x:c r="CG330" s="174"/>
      <x:c r="CH330" s="174"/>
      <x:c r="CI330" s="179"/>
      <x:c r="CJ330" s="174"/>
      <x:c r="CK330" s="174"/>
      <x:c r="CL330" s="174"/>
      <x:c r="CM330" s="174"/>
      <x:c r="CN330" s="174"/>
      <x:c r="CO330" s="177"/>
      <x:c r="CP330" s="174"/>
      <x:c r="CQ330" s="174"/>
      <x:c r="CR330" s="174"/>
      <x:c r="CS330" s="174"/>
      <x:c r="CT330" s="174"/>
      <x:c r="CU330" s="176"/>
      <x:c r="CV330" s="176"/>
      <x:c r="CW330" s="176"/>
      <x:c r="CX330" s="176"/>
      <x:c r="CY330" s="176"/>
      <x:c r="CZ330" s="176"/>
      <x:c r="DA330" s="176"/>
      <x:c r="DB330" s="175" t="str">
        <x:f>IF(L330="","",IF(COUNT(CU330:DA330)&lt;7,"",SUM(CU330:DA330)))</x:f>
      </x:c>
      <x:c r="DC330" s="180" t="str">
        <x:f>IF(DB330="","",ROUND(DB330/14*10,1))</x:f>
      </x:c>
      <x:c r="DD330" s="174"/>
      <x:c r="DE330" s="175" t="str">
        <x:f>IF(L330="","",IF(DC330="","Pending",IF(DD330="Yes","CONDITIONAL — safety override",IF(DC330&gt;=8,"HIGH",IF(DC330&gt;=5,"CONDITIONAL","LOW")))))</x:f>
      </x:c>
      <x:c r="DF330" s="174"/>
      <x:c r="DG330" s="174"/>
      <x:c r="DH330" s="174"/>
      <x:c r="DI330" s="174"/>
      <x:c r="DJ330" s="174"/>
      <x:c r="DK330" s="174"/>
      <x:c r="DL330" s="174"/>
      <x:c r="DM330" s="174"/>
      <x:c r="DN330" s="174"/>
      <x:c r="DO330" s="174"/>
      <x:c r="DP330" s="174"/>
      <x:c r="DQ330" s="174"/>
      <x:c r="DR330" s="174"/>
      <x:c r="DS330" s="174"/>
      <x:c r="DT330" s="174"/>
      <x:c r="DU330" s="174"/>
      <x:c r="DV330" s="174"/>
      <x:c r="DW330" s="174"/>
      <x:c r="DX330" s="174"/>
      <x:c r="DY330" s="174"/>
      <x:c r="DZ330" s="174"/>
      <x:c r="EA330" s="174"/>
      <x:c r="EB330" s="175" t="str">
        <x:f>IF(L330="","",IF(AND(F330="Claim-ready",CJ330="Yes",CL330="Yes",DZ330&lt;&gt;""),"Yes","No / Pending"))</x:f>
      </x:c>
      <x:c r="EC330" s="174"/>
      <x:c r="ED330" s="174"/>
      <x:c r="EE330" s="174"/>
      <x:c r="EF330" s="174"/>
      <x:c r="EG330" s="174"/>
      <x:c r="EH330" s="177"/>
      <x:c r="EI330" s="174"/>
      <x:c r="EJ330" s="174"/>
      <x:c r="EK330" s="174"/>
      <x:c r="EL330" s="177"/>
      <x:c r="EM330" s="174"/>
      <x:c r="EN330" s="181" t="str">
        <x:f>IF(L330="","",(IF(N330&lt;&gt;"",1,0)+IF(O330&lt;&gt;"",1,0)+IF(AJ330&lt;&gt;"",1,0)+IF(AU330&lt;&gt;"",1,0)+IF(BE330&lt;&gt;"",1,0)+IF(CF330&lt;&gt;"",1,0)+IF(CJ330="Yes",1,0)+IF(CL330="Yes",1,0)+IF(DE330&lt;&gt;"Pending",1,0)+IF(F330&lt;&gt;"",1,0)+IF(DZ330&lt;&gt;"",1,0)+IF(EI330&lt;&gt;"",1,0))/12)</x:f>
      </x:c>
    </x:row>
    <x:row r="331">
      <x:c r="A331" s="175" t="str">
        <x:f>IF(L331="","","EV-"&amp;TEXT(ROW()-3,"0000"))</x:f>
      </x:c>
      <x:c r="B331" s="174"/>
      <x:c r="C331" s="175" t="str">
        <x:f>IF(L331="","",IF(OR(CM331="Retracted",CN331="Retracted",F331="Not used"),"🔴 Do not use for conclusion",IF(OR(R331="Official / Institutional",I331="Official / contextual"),"🔵 Official / contextual",IF(OR(I331="Definition",I331="Framework",I331="Paradigm shift"),"🟣 Conceptual key source",IF(AND(CJ331="Yes",CL331="Yes",OR(CG331="High",CG331="Moderate"),CH331&lt;&gt;"High",CH331&lt;&gt;"Critical",F331="Claim-ready"),"🟢 Claim-ready","🟡 Caution / context")))))</x:f>
      </x:c>
      <x:c r="D331" s="174"/>
      <x:c r="E331" s="174"/>
      <x:c r="F331" s="174"/>
      <x:c r="G331" s="174"/>
      <x:c r="H331" s="174"/>
      <x:c r="I331" s="174"/>
      <x:c r="J331" s="174"/>
      <x:c r="K331" s="174"/>
      <x:c r="L331" s="174"/>
      <x:c r="M331" s="174"/>
      <x:c r="N331" s="174"/>
      <x:c r="O331" s="176"/>
      <x:c r="P331" s="174"/>
      <x:c r="Q331" s="174"/>
      <x:c r="R331" s="174"/>
      <x:c r="S331" s="174"/>
      <x:c r="T331" s="174"/>
      <x:c r="U331" s="174"/>
      <x:c r="V331" s="174"/>
      <x:c r="W331" s="175" t="str">
        <x:f>IF(V331="","",LOWER(SUBSTITUTE(SUBSTITUTE(SUBSTITUTE(SUBSTITUTE(TRIM(V331),"https://doi.org/",""),"http://doi.org/",""),"https://dx.doi.org/",""),"doi:","")))</x:f>
      </x:c>
      <x:c r="X331" s="174"/>
      <x:c r="Y331" s="174"/>
      <x:c r="Z331" s="174"/>
      <x:c r="AA331" s="174"/>
      <x:c r="AB331" s="174"/>
      <x:c r="AC331" s="174"/>
      <x:c r="AD331" s="177"/>
      <x:c r="AE331" s="177"/>
      <x:c r="AF331" s="174"/>
      <x:c r="AG331" s="174"/>
      <x:c r="AH331" s="174"/>
      <x:c r="AI331" s="174"/>
      <x:c r="AJ331" s="174"/>
      <x:c r="AK331" s="175" t="str">
        <x:f>IF(AJ331="","",IF(OR(LOWER(AJ331)="brazil",LOWER(AJ331)="brasil"),"Yes","No"))</x:f>
      </x:c>
      <x:c r="AL331" s="174"/>
      <x:c r="AM331" s="174"/>
      <x:c r="AN331" s="174"/>
      <x:c r="AO331" s="178"/>
      <x:c r="AP331" s="174"/>
      <x:c r="AQ331" s="174"/>
      <x:c r="AR331" s="174"/>
      <x:c r="AS331" s="174"/>
      <x:c r="AT331" s="174"/>
      <x:c r="AU331" s="174"/>
      <x:c r="AV331" s="174"/>
      <x:c r="AW331" s="174"/>
      <x:c r="AX331" s="174"/>
      <x:c r="AY331" s="174"/>
      <x:c r="AZ331" s="174"/>
      <x:c r="BA331" s="174"/>
      <x:c r="BB331" s="174"/>
      <x:c r="BC331" s="174"/>
      <x:c r="BD331" s="174"/>
      <x:c r="BE331" s="174"/>
      <x:c r="BF331" s="174"/>
      <x:c r="BG331" s="174"/>
      <x:c r="BH331" s="174"/>
      <x:c r="BI331" s="174"/>
      <x:c r="BJ331" s="174"/>
      <x:c r="BK331" s="174"/>
      <x:c r="BL331" s="174"/>
      <x:c r="BM331" s="174"/>
      <x:c r="BN331" s="174"/>
      <x:c r="BO331" s="174"/>
      <x:c r="BP331" s="174"/>
      <x:c r="BQ331" s="174"/>
      <x:c r="BR331" s="174"/>
      <x:c r="BS331" s="174"/>
      <x:c r="BT331" s="174"/>
      <x:c r="BU331" s="174"/>
      <x:c r="BV331" s="174"/>
      <x:c r="BW331" s="174"/>
      <x:c r="BX331" s="174"/>
      <x:c r="BY331" s="174"/>
      <x:c r="BZ331" s="174"/>
      <x:c r="CA331" s="174"/>
      <x:c r="CB331" s="174"/>
      <x:c r="CC331" s="174"/>
      <x:c r="CD331" s="174"/>
      <x:c r="CE331" s="174"/>
      <x:c r="CF331" s="174"/>
      <x:c r="CG331" s="174"/>
      <x:c r="CH331" s="174"/>
      <x:c r="CI331" s="179"/>
      <x:c r="CJ331" s="174"/>
      <x:c r="CK331" s="174"/>
      <x:c r="CL331" s="174"/>
      <x:c r="CM331" s="174"/>
      <x:c r="CN331" s="174"/>
      <x:c r="CO331" s="177"/>
      <x:c r="CP331" s="174"/>
      <x:c r="CQ331" s="174"/>
      <x:c r="CR331" s="174"/>
      <x:c r="CS331" s="174"/>
      <x:c r="CT331" s="174"/>
      <x:c r="CU331" s="176"/>
      <x:c r="CV331" s="176"/>
      <x:c r="CW331" s="176"/>
      <x:c r="CX331" s="176"/>
      <x:c r="CY331" s="176"/>
      <x:c r="CZ331" s="176"/>
      <x:c r="DA331" s="176"/>
      <x:c r="DB331" s="175" t="str">
        <x:f>IF(L331="","",IF(COUNT(CU331:DA331)&lt;7,"",SUM(CU331:DA331)))</x:f>
      </x:c>
      <x:c r="DC331" s="180" t="str">
        <x:f>IF(DB331="","",ROUND(DB331/14*10,1))</x:f>
      </x:c>
      <x:c r="DD331" s="174"/>
      <x:c r="DE331" s="175" t="str">
        <x:f>IF(L331="","",IF(DC331="","Pending",IF(DD331="Yes","CONDITIONAL — safety override",IF(DC331&gt;=8,"HIGH",IF(DC331&gt;=5,"CONDITIONAL","LOW")))))</x:f>
      </x:c>
      <x:c r="DF331" s="174"/>
      <x:c r="DG331" s="174"/>
      <x:c r="DH331" s="174"/>
      <x:c r="DI331" s="174"/>
      <x:c r="DJ331" s="174"/>
      <x:c r="DK331" s="174"/>
      <x:c r="DL331" s="174"/>
      <x:c r="DM331" s="174"/>
      <x:c r="DN331" s="174"/>
      <x:c r="DO331" s="174"/>
      <x:c r="DP331" s="174"/>
      <x:c r="DQ331" s="174"/>
      <x:c r="DR331" s="174"/>
      <x:c r="DS331" s="174"/>
      <x:c r="DT331" s="174"/>
      <x:c r="DU331" s="174"/>
      <x:c r="DV331" s="174"/>
      <x:c r="DW331" s="174"/>
      <x:c r="DX331" s="174"/>
      <x:c r="DY331" s="174"/>
      <x:c r="DZ331" s="174"/>
      <x:c r="EA331" s="174"/>
      <x:c r="EB331" s="175" t="str">
        <x:f>IF(L331="","",IF(AND(F331="Claim-ready",CJ331="Yes",CL331="Yes",DZ331&lt;&gt;""),"Yes","No / Pending"))</x:f>
      </x:c>
      <x:c r="EC331" s="174"/>
      <x:c r="ED331" s="174"/>
      <x:c r="EE331" s="174"/>
      <x:c r="EF331" s="174"/>
      <x:c r="EG331" s="174"/>
      <x:c r="EH331" s="177"/>
      <x:c r="EI331" s="174"/>
      <x:c r="EJ331" s="174"/>
      <x:c r="EK331" s="174"/>
      <x:c r="EL331" s="177"/>
      <x:c r="EM331" s="174"/>
      <x:c r="EN331" s="181" t="str">
        <x:f>IF(L331="","",(IF(N331&lt;&gt;"",1,0)+IF(O331&lt;&gt;"",1,0)+IF(AJ331&lt;&gt;"",1,0)+IF(AU331&lt;&gt;"",1,0)+IF(BE331&lt;&gt;"",1,0)+IF(CF331&lt;&gt;"",1,0)+IF(CJ331="Yes",1,0)+IF(CL331="Yes",1,0)+IF(DE331&lt;&gt;"Pending",1,0)+IF(F331&lt;&gt;"",1,0)+IF(DZ331&lt;&gt;"",1,0)+IF(EI331&lt;&gt;"",1,0))/12)</x:f>
      </x:c>
    </x:row>
    <x:row r="332">
      <x:c r="A332" s="175" t="str">
        <x:f>IF(L332="","","EV-"&amp;TEXT(ROW()-3,"0000"))</x:f>
      </x:c>
      <x:c r="B332" s="174"/>
      <x:c r="C332" s="175" t="str">
        <x:f>IF(L332="","",IF(OR(CM332="Retracted",CN332="Retracted",F332="Not used"),"🔴 Do not use for conclusion",IF(OR(R332="Official / Institutional",I332="Official / contextual"),"🔵 Official / contextual",IF(OR(I332="Definition",I332="Framework",I332="Paradigm shift"),"🟣 Conceptual key source",IF(AND(CJ332="Yes",CL332="Yes",OR(CG332="High",CG332="Moderate"),CH332&lt;&gt;"High",CH332&lt;&gt;"Critical",F332="Claim-ready"),"🟢 Claim-ready","🟡 Caution / context")))))</x:f>
      </x:c>
      <x:c r="D332" s="174"/>
      <x:c r="E332" s="174"/>
      <x:c r="F332" s="174"/>
      <x:c r="G332" s="174"/>
      <x:c r="H332" s="174"/>
      <x:c r="I332" s="174"/>
      <x:c r="J332" s="174"/>
      <x:c r="K332" s="174"/>
      <x:c r="L332" s="174"/>
      <x:c r="M332" s="174"/>
      <x:c r="N332" s="174"/>
      <x:c r="O332" s="176"/>
      <x:c r="P332" s="174"/>
      <x:c r="Q332" s="174"/>
      <x:c r="R332" s="174"/>
      <x:c r="S332" s="174"/>
      <x:c r="T332" s="174"/>
      <x:c r="U332" s="174"/>
      <x:c r="V332" s="174"/>
      <x:c r="W332" s="175" t="str">
        <x:f>IF(V332="","",LOWER(SUBSTITUTE(SUBSTITUTE(SUBSTITUTE(SUBSTITUTE(TRIM(V332),"https://doi.org/",""),"http://doi.org/",""),"https://dx.doi.org/",""),"doi:","")))</x:f>
      </x:c>
      <x:c r="X332" s="174"/>
      <x:c r="Y332" s="174"/>
      <x:c r="Z332" s="174"/>
      <x:c r="AA332" s="174"/>
      <x:c r="AB332" s="174"/>
      <x:c r="AC332" s="174"/>
      <x:c r="AD332" s="177"/>
      <x:c r="AE332" s="177"/>
      <x:c r="AF332" s="174"/>
      <x:c r="AG332" s="174"/>
      <x:c r="AH332" s="174"/>
      <x:c r="AI332" s="174"/>
      <x:c r="AJ332" s="174"/>
      <x:c r="AK332" s="175" t="str">
        <x:f>IF(AJ332="","",IF(OR(LOWER(AJ332)="brazil",LOWER(AJ332)="brasil"),"Yes","No"))</x:f>
      </x:c>
      <x:c r="AL332" s="174"/>
      <x:c r="AM332" s="174"/>
      <x:c r="AN332" s="174"/>
      <x:c r="AO332" s="178"/>
      <x:c r="AP332" s="174"/>
      <x:c r="AQ332" s="174"/>
      <x:c r="AR332" s="174"/>
      <x:c r="AS332" s="174"/>
      <x:c r="AT332" s="174"/>
      <x:c r="AU332" s="174"/>
      <x:c r="AV332" s="174"/>
      <x:c r="AW332" s="174"/>
      <x:c r="AX332" s="174"/>
      <x:c r="AY332" s="174"/>
      <x:c r="AZ332" s="174"/>
      <x:c r="BA332" s="174"/>
      <x:c r="BB332" s="174"/>
      <x:c r="BC332" s="174"/>
      <x:c r="BD332" s="174"/>
      <x:c r="BE332" s="174"/>
      <x:c r="BF332" s="174"/>
      <x:c r="BG332" s="174"/>
      <x:c r="BH332" s="174"/>
      <x:c r="BI332" s="174"/>
      <x:c r="BJ332" s="174"/>
      <x:c r="BK332" s="174"/>
      <x:c r="BL332" s="174"/>
      <x:c r="BM332" s="174"/>
      <x:c r="BN332" s="174"/>
      <x:c r="BO332" s="174"/>
      <x:c r="BP332" s="174"/>
      <x:c r="BQ332" s="174"/>
      <x:c r="BR332" s="174"/>
      <x:c r="BS332" s="174"/>
      <x:c r="BT332" s="174"/>
      <x:c r="BU332" s="174"/>
      <x:c r="BV332" s="174"/>
      <x:c r="BW332" s="174"/>
      <x:c r="BX332" s="174"/>
      <x:c r="BY332" s="174"/>
      <x:c r="BZ332" s="174"/>
      <x:c r="CA332" s="174"/>
      <x:c r="CB332" s="174"/>
      <x:c r="CC332" s="174"/>
      <x:c r="CD332" s="174"/>
      <x:c r="CE332" s="174"/>
      <x:c r="CF332" s="174"/>
      <x:c r="CG332" s="174"/>
      <x:c r="CH332" s="174"/>
      <x:c r="CI332" s="179"/>
      <x:c r="CJ332" s="174"/>
      <x:c r="CK332" s="174"/>
      <x:c r="CL332" s="174"/>
      <x:c r="CM332" s="174"/>
      <x:c r="CN332" s="174"/>
      <x:c r="CO332" s="177"/>
      <x:c r="CP332" s="174"/>
      <x:c r="CQ332" s="174"/>
      <x:c r="CR332" s="174"/>
      <x:c r="CS332" s="174"/>
      <x:c r="CT332" s="174"/>
      <x:c r="CU332" s="176"/>
      <x:c r="CV332" s="176"/>
      <x:c r="CW332" s="176"/>
      <x:c r="CX332" s="176"/>
      <x:c r="CY332" s="176"/>
      <x:c r="CZ332" s="176"/>
      <x:c r="DA332" s="176"/>
      <x:c r="DB332" s="175" t="str">
        <x:f>IF(L332="","",IF(COUNT(CU332:DA332)&lt;7,"",SUM(CU332:DA332)))</x:f>
      </x:c>
      <x:c r="DC332" s="180" t="str">
        <x:f>IF(DB332="","",ROUND(DB332/14*10,1))</x:f>
      </x:c>
      <x:c r="DD332" s="174"/>
      <x:c r="DE332" s="175" t="str">
        <x:f>IF(L332="","",IF(DC332="","Pending",IF(DD332="Yes","CONDITIONAL — safety override",IF(DC332&gt;=8,"HIGH",IF(DC332&gt;=5,"CONDITIONAL","LOW")))))</x:f>
      </x:c>
      <x:c r="DF332" s="174"/>
      <x:c r="DG332" s="174"/>
      <x:c r="DH332" s="174"/>
      <x:c r="DI332" s="174"/>
      <x:c r="DJ332" s="174"/>
      <x:c r="DK332" s="174"/>
      <x:c r="DL332" s="174"/>
      <x:c r="DM332" s="174"/>
      <x:c r="DN332" s="174"/>
      <x:c r="DO332" s="174"/>
      <x:c r="DP332" s="174"/>
      <x:c r="DQ332" s="174"/>
      <x:c r="DR332" s="174"/>
      <x:c r="DS332" s="174"/>
      <x:c r="DT332" s="174"/>
      <x:c r="DU332" s="174"/>
      <x:c r="DV332" s="174"/>
      <x:c r="DW332" s="174"/>
      <x:c r="DX332" s="174"/>
      <x:c r="DY332" s="174"/>
      <x:c r="DZ332" s="174"/>
      <x:c r="EA332" s="174"/>
      <x:c r="EB332" s="175" t="str">
        <x:f>IF(L332="","",IF(AND(F332="Claim-ready",CJ332="Yes",CL332="Yes",DZ332&lt;&gt;""),"Yes","No / Pending"))</x:f>
      </x:c>
      <x:c r="EC332" s="174"/>
      <x:c r="ED332" s="174"/>
      <x:c r="EE332" s="174"/>
      <x:c r="EF332" s="174"/>
      <x:c r="EG332" s="174"/>
      <x:c r="EH332" s="177"/>
      <x:c r="EI332" s="174"/>
      <x:c r="EJ332" s="174"/>
      <x:c r="EK332" s="174"/>
      <x:c r="EL332" s="177"/>
      <x:c r="EM332" s="174"/>
      <x:c r="EN332" s="181" t="str">
        <x:f>IF(L332="","",(IF(N332&lt;&gt;"",1,0)+IF(O332&lt;&gt;"",1,0)+IF(AJ332&lt;&gt;"",1,0)+IF(AU332&lt;&gt;"",1,0)+IF(BE332&lt;&gt;"",1,0)+IF(CF332&lt;&gt;"",1,0)+IF(CJ332="Yes",1,0)+IF(CL332="Yes",1,0)+IF(DE332&lt;&gt;"Pending",1,0)+IF(F332&lt;&gt;"",1,0)+IF(DZ332&lt;&gt;"",1,0)+IF(EI332&lt;&gt;"",1,0))/12)</x:f>
      </x:c>
    </x:row>
    <x:row r="333">
      <x:c r="A333" s="175" t="str">
        <x:f>IF(L333="","","EV-"&amp;TEXT(ROW()-3,"0000"))</x:f>
      </x:c>
      <x:c r="B333" s="174"/>
      <x:c r="C333" s="175" t="str">
        <x:f>IF(L333="","",IF(OR(CM333="Retracted",CN333="Retracted",F333="Not used"),"🔴 Do not use for conclusion",IF(OR(R333="Official / Institutional",I333="Official / contextual"),"🔵 Official / contextual",IF(OR(I333="Definition",I333="Framework",I333="Paradigm shift"),"🟣 Conceptual key source",IF(AND(CJ333="Yes",CL333="Yes",OR(CG333="High",CG333="Moderate"),CH333&lt;&gt;"High",CH333&lt;&gt;"Critical",F333="Claim-ready"),"🟢 Claim-ready","🟡 Caution / context")))))</x:f>
      </x:c>
      <x:c r="D333" s="174"/>
      <x:c r="E333" s="174"/>
      <x:c r="F333" s="174"/>
      <x:c r="G333" s="174"/>
      <x:c r="H333" s="174"/>
      <x:c r="I333" s="174"/>
      <x:c r="J333" s="174"/>
      <x:c r="K333" s="174"/>
      <x:c r="L333" s="174"/>
      <x:c r="M333" s="174"/>
      <x:c r="N333" s="174"/>
      <x:c r="O333" s="176"/>
      <x:c r="P333" s="174"/>
      <x:c r="Q333" s="174"/>
      <x:c r="R333" s="174"/>
      <x:c r="S333" s="174"/>
      <x:c r="T333" s="174"/>
      <x:c r="U333" s="174"/>
      <x:c r="V333" s="174"/>
      <x:c r="W333" s="175" t="str">
        <x:f>IF(V333="","",LOWER(SUBSTITUTE(SUBSTITUTE(SUBSTITUTE(SUBSTITUTE(TRIM(V333),"https://doi.org/",""),"http://doi.org/",""),"https://dx.doi.org/",""),"doi:","")))</x:f>
      </x:c>
      <x:c r="X333" s="174"/>
      <x:c r="Y333" s="174"/>
      <x:c r="Z333" s="174"/>
      <x:c r="AA333" s="174"/>
      <x:c r="AB333" s="174"/>
      <x:c r="AC333" s="174"/>
      <x:c r="AD333" s="177"/>
      <x:c r="AE333" s="177"/>
      <x:c r="AF333" s="174"/>
      <x:c r="AG333" s="174"/>
      <x:c r="AH333" s="174"/>
      <x:c r="AI333" s="174"/>
      <x:c r="AJ333" s="174"/>
      <x:c r="AK333" s="175" t="str">
        <x:f>IF(AJ333="","",IF(OR(LOWER(AJ333)="brazil",LOWER(AJ333)="brasil"),"Yes","No"))</x:f>
      </x:c>
      <x:c r="AL333" s="174"/>
      <x:c r="AM333" s="174"/>
      <x:c r="AN333" s="174"/>
      <x:c r="AO333" s="178"/>
      <x:c r="AP333" s="174"/>
      <x:c r="AQ333" s="174"/>
      <x:c r="AR333" s="174"/>
      <x:c r="AS333" s="174"/>
      <x:c r="AT333" s="174"/>
      <x:c r="AU333" s="174"/>
      <x:c r="AV333" s="174"/>
      <x:c r="AW333" s="174"/>
      <x:c r="AX333" s="174"/>
      <x:c r="AY333" s="174"/>
      <x:c r="AZ333" s="174"/>
      <x:c r="BA333" s="174"/>
      <x:c r="BB333" s="174"/>
      <x:c r="BC333" s="174"/>
      <x:c r="BD333" s="174"/>
      <x:c r="BE333" s="174"/>
      <x:c r="BF333" s="174"/>
      <x:c r="BG333" s="174"/>
      <x:c r="BH333" s="174"/>
      <x:c r="BI333" s="174"/>
      <x:c r="BJ333" s="174"/>
      <x:c r="BK333" s="174"/>
      <x:c r="BL333" s="174"/>
      <x:c r="BM333" s="174"/>
      <x:c r="BN333" s="174"/>
      <x:c r="BO333" s="174"/>
      <x:c r="BP333" s="174"/>
      <x:c r="BQ333" s="174"/>
      <x:c r="BR333" s="174"/>
      <x:c r="BS333" s="174"/>
      <x:c r="BT333" s="174"/>
      <x:c r="BU333" s="174"/>
      <x:c r="BV333" s="174"/>
      <x:c r="BW333" s="174"/>
      <x:c r="BX333" s="174"/>
      <x:c r="BY333" s="174"/>
      <x:c r="BZ333" s="174"/>
      <x:c r="CA333" s="174"/>
      <x:c r="CB333" s="174"/>
      <x:c r="CC333" s="174"/>
      <x:c r="CD333" s="174"/>
      <x:c r="CE333" s="174"/>
      <x:c r="CF333" s="174"/>
      <x:c r="CG333" s="174"/>
      <x:c r="CH333" s="174"/>
      <x:c r="CI333" s="179"/>
      <x:c r="CJ333" s="174"/>
      <x:c r="CK333" s="174"/>
      <x:c r="CL333" s="174"/>
      <x:c r="CM333" s="174"/>
      <x:c r="CN333" s="174"/>
      <x:c r="CO333" s="177"/>
      <x:c r="CP333" s="174"/>
      <x:c r="CQ333" s="174"/>
      <x:c r="CR333" s="174"/>
      <x:c r="CS333" s="174"/>
      <x:c r="CT333" s="174"/>
      <x:c r="CU333" s="176"/>
      <x:c r="CV333" s="176"/>
      <x:c r="CW333" s="176"/>
      <x:c r="CX333" s="176"/>
      <x:c r="CY333" s="176"/>
      <x:c r="CZ333" s="176"/>
      <x:c r="DA333" s="176"/>
      <x:c r="DB333" s="175" t="str">
        <x:f>IF(L333="","",IF(COUNT(CU333:DA333)&lt;7,"",SUM(CU333:DA333)))</x:f>
      </x:c>
      <x:c r="DC333" s="180" t="str">
        <x:f>IF(DB333="","",ROUND(DB333/14*10,1))</x:f>
      </x:c>
      <x:c r="DD333" s="174"/>
      <x:c r="DE333" s="175" t="str">
        <x:f>IF(L333="","",IF(DC333="","Pending",IF(DD333="Yes","CONDITIONAL — safety override",IF(DC333&gt;=8,"HIGH",IF(DC333&gt;=5,"CONDITIONAL","LOW")))))</x:f>
      </x:c>
      <x:c r="DF333" s="174"/>
      <x:c r="DG333" s="174"/>
      <x:c r="DH333" s="174"/>
      <x:c r="DI333" s="174"/>
      <x:c r="DJ333" s="174"/>
      <x:c r="DK333" s="174"/>
      <x:c r="DL333" s="174"/>
      <x:c r="DM333" s="174"/>
      <x:c r="DN333" s="174"/>
      <x:c r="DO333" s="174"/>
      <x:c r="DP333" s="174"/>
      <x:c r="DQ333" s="174"/>
      <x:c r="DR333" s="174"/>
      <x:c r="DS333" s="174"/>
      <x:c r="DT333" s="174"/>
      <x:c r="DU333" s="174"/>
      <x:c r="DV333" s="174"/>
      <x:c r="DW333" s="174"/>
      <x:c r="DX333" s="174"/>
      <x:c r="DY333" s="174"/>
      <x:c r="DZ333" s="174"/>
      <x:c r="EA333" s="174"/>
      <x:c r="EB333" s="175" t="str">
        <x:f>IF(L333="","",IF(AND(F333="Claim-ready",CJ333="Yes",CL333="Yes",DZ333&lt;&gt;""),"Yes","No / Pending"))</x:f>
      </x:c>
      <x:c r="EC333" s="174"/>
      <x:c r="ED333" s="174"/>
      <x:c r="EE333" s="174"/>
      <x:c r="EF333" s="174"/>
      <x:c r="EG333" s="174"/>
      <x:c r="EH333" s="177"/>
      <x:c r="EI333" s="174"/>
      <x:c r="EJ333" s="174"/>
      <x:c r="EK333" s="174"/>
      <x:c r="EL333" s="177"/>
      <x:c r="EM333" s="174"/>
      <x:c r="EN333" s="181" t="str">
        <x:f>IF(L333="","",(IF(N333&lt;&gt;"",1,0)+IF(O333&lt;&gt;"",1,0)+IF(AJ333&lt;&gt;"",1,0)+IF(AU333&lt;&gt;"",1,0)+IF(BE333&lt;&gt;"",1,0)+IF(CF333&lt;&gt;"",1,0)+IF(CJ333="Yes",1,0)+IF(CL333="Yes",1,0)+IF(DE333&lt;&gt;"Pending",1,0)+IF(F333&lt;&gt;"",1,0)+IF(DZ333&lt;&gt;"",1,0)+IF(EI333&lt;&gt;"",1,0))/12)</x:f>
      </x:c>
    </x:row>
    <x:row r="334">
      <x:c r="A334" s="175" t="str">
        <x:f>IF(L334="","","EV-"&amp;TEXT(ROW()-3,"0000"))</x:f>
      </x:c>
      <x:c r="B334" s="174"/>
      <x:c r="C334" s="175" t="str">
        <x:f>IF(L334="","",IF(OR(CM334="Retracted",CN334="Retracted",F334="Not used"),"🔴 Do not use for conclusion",IF(OR(R334="Official / Institutional",I334="Official / contextual"),"🔵 Official / contextual",IF(OR(I334="Definition",I334="Framework",I334="Paradigm shift"),"🟣 Conceptual key source",IF(AND(CJ334="Yes",CL334="Yes",OR(CG334="High",CG334="Moderate"),CH334&lt;&gt;"High",CH334&lt;&gt;"Critical",F334="Claim-ready"),"🟢 Claim-ready","🟡 Caution / context")))))</x:f>
      </x:c>
      <x:c r="D334" s="174"/>
      <x:c r="E334" s="174"/>
      <x:c r="F334" s="174"/>
      <x:c r="G334" s="174"/>
      <x:c r="H334" s="174"/>
      <x:c r="I334" s="174"/>
      <x:c r="J334" s="174"/>
      <x:c r="K334" s="174"/>
      <x:c r="L334" s="174"/>
      <x:c r="M334" s="174"/>
      <x:c r="N334" s="174"/>
      <x:c r="O334" s="176"/>
      <x:c r="P334" s="174"/>
      <x:c r="Q334" s="174"/>
      <x:c r="R334" s="174"/>
      <x:c r="S334" s="174"/>
      <x:c r="T334" s="174"/>
      <x:c r="U334" s="174"/>
      <x:c r="V334" s="174"/>
      <x:c r="W334" s="175" t="str">
        <x:f>IF(V334="","",LOWER(SUBSTITUTE(SUBSTITUTE(SUBSTITUTE(SUBSTITUTE(TRIM(V334),"https://doi.org/",""),"http://doi.org/",""),"https://dx.doi.org/",""),"doi:","")))</x:f>
      </x:c>
      <x:c r="X334" s="174"/>
      <x:c r="Y334" s="174"/>
      <x:c r="Z334" s="174"/>
      <x:c r="AA334" s="174"/>
      <x:c r="AB334" s="174"/>
      <x:c r="AC334" s="174"/>
      <x:c r="AD334" s="177"/>
      <x:c r="AE334" s="177"/>
      <x:c r="AF334" s="174"/>
      <x:c r="AG334" s="174"/>
      <x:c r="AH334" s="174"/>
      <x:c r="AI334" s="174"/>
      <x:c r="AJ334" s="174"/>
      <x:c r="AK334" s="175" t="str">
        <x:f>IF(AJ334="","",IF(OR(LOWER(AJ334)="brazil",LOWER(AJ334)="brasil"),"Yes","No"))</x:f>
      </x:c>
      <x:c r="AL334" s="174"/>
      <x:c r="AM334" s="174"/>
      <x:c r="AN334" s="174"/>
      <x:c r="AO334" s="178"/>
      <x:c r="AP334" s="174"/>
      <x:c r="AQ334" s="174"/>
      <x:c r="AR334" s="174"/>
      <x:c r="AS334" s="174"/>
      <x:c r="AT334" s="174"/>
      <x:c r="AU334" s="174"/>
      <x:c r="AV334" s="174"/>
      <x:c r="AW334" s="174"/>
      <x:c r="AX334" s="174"/>
      <x:c r="AY334" s="174"/>
      <x:c r="AZ334" s="174"/>
      <x:c r="BA334" s="174"/>
      <x:c r="BB334" s="174"/>
      <x:c r="BC334" s="174"/>
      <x:c r="BD334" s="174"/>
      <x:c r="BE334" s="174"/>
      <x:c r="BF334" s="174"/>
      <x:c r="BG334" s="174"/>
      <x:c r="BH334" s="174"/>
      <x:c r="BI334" s="174"/>
      <x:c r="BJ334" s="174"/>
      <x:c r="BK334" s="174"/>
      <x:c r="BL334" s="174"/>
      <x:c r="BM334" s="174"/>
      <x:c r="BN334" s="174"/>
      <x:c r="BO334" s="174"/>
      <x:c r="BP334" s="174"/>
      <x:c r="BQ334" s="174"/>
      <x:c r="BR334" s="174"/>
      <x:c r="BS334" s="174"/>
      <x:c r="BT334" s="174"/>
      <x:c r="BU334" s="174"/>
      <x:c r="BV334" s="174"/>
      <x:c r="BW334" s="174"/>
      <x:c r="BX334" s="174"/>
      <x:c r="BY334" s="174"/>
      <x:c r="BZ334" s="174"/>
      <x:c r="CA334" s="174"/>
      <x:c r="CB334" s="174"/>
      <x:c r="CC334" s="174"/>
      <x:c r="CD334" s="174"/>
      <x:c r="CE334" s="174"/>
      <x:c r="CF334" s="174"/>
      <x:c r="CG334" s="174"/>
      <x:c r="CH334" s="174"/>
      <x:c r="CI334" s="179"/>
      <x:c r="CJ334" s="174"/>
      <x:c r="CK334" s="174"/>
      <x:c r="CL334" s="174"/>
      <x:c r="CM334" s="174"/>
      <x:c r="CN334" s="174"/>
      <x:c r="CO334" s="177"/>
      <x:c r="CP334" s="174"/>
      <x:c r="CQ334" s="174"/>
      <x:c r="CR334" s="174"/>
      <x:c r="CS334" s="174"/>
      <x:c r="CT334" s="174"/>
      <x:c r="CU334" s="176"/>
      <x:c r="CV334" s="176"/>
      <x:c r="CW334" s="176"/>
      <x:c r="CX334" s="176"/>
      <x:c r="CY334" s="176"/>
      <x:c r="CZ334" s="176"/>
      <x:c r="DA334" s="176"/>
      <x:c r="DB334" s="175" t="str">
        <x:f>IF(L334="","",IF(COUNT(CU334:DA334)&lt;7,"",SUM(CU334:DA334)))</x:f>
      </x:c>
      <x:c r="DC334" s="180" t="str">
        <x:f>IF(DB334="","",ROUND(DB334/14*10,1))</x:f>
      </x:c>
      <x:c r="DD334" s="174"/>
      <x:c r="DE334" s="175" t="str">
        <x:f>IF(L334="","",IF(DC334="","Pending",IF(DD334="Yes","CONDITIONAL — safety override",IF(DC334&gt;=8,"HIGH",IF(DC334&gt;=5,"CONDITIONAL","LOW")))))</x:f>
      </x:c>
      <x:c r="DF334" s="174"/>
      <x:c r="DG334" s="174"/>
      <x:c r="DH334" s="174"/>
      <x:c r="DI334" s="174"/>
      <x:c r="DJ334" s="174"/>
      <x:c r="DK334" s="174"/>
      <x:c r="DL334" s="174"/>
      <x:c r="DM334" s="174"/>
      <x:c r="DN334" s="174"/>
      <x:c r="DO334" s="174"/>
      <x:c r="DP334" s="174"/>
      <x:c r="DQ334" s="174"/>
      <x:c r="DR334" s="174"/>
      <x:c r="DS334" s="174"/>
      <x:c r="DT334" s="174"/>
      <x:c r="DU334" s="174"/>
      <x:c r="DV334" s="174"/>
      <x:c r="DW334" s="174"/>
      <x:c r="DX334" s="174"/>
      <x:c r="DY334" s="174"/>
      <x:c r="DZ334" s="174"/>
      <x:c r="EA334" s="174"/>
      <x:c r="EB334" s="175" t="str">
        <x:f>IF(L334="","",IF(AND(F334="Claim-ready",CJ334="Yes",CL334="Yes",DZ334&lt;&gt;""),"Yes","No / Pending"))</x:f>
      </x:c>
      <x:c r="EC334" s="174"/>
      <x:c r="ED334" s="174"/>
      <x:c r="EE334" s="174"/>
      <x:c r="EF334" s="174"/>
      <x:c r="EG334" s="174"/>
      <x:c r="EH334" s="177"/>
      <x:c r="EI334" s="174"/>
      <x:c r="EJ334" s="174"/>
      <x:c r="EK334" s="174"/>
      <x:c r="EL334" s="177"/>
      <x:c r="EM334" s="174"/>
      <x:c r="EN334" s="181" t="str">
        <x:f>IF(L334="","",(IF(N334&lt;&gt;"",1,0)+IF(O334&lt;&gt;"",1,0)+IF(AJ334&lt;&gt;"",1,0)+IF(AU334&lt;&gt;"",1,0)+IF(BE334&lt;&gt;"",1,0)+IF(CF334&lt;&gt;"",1,0)+IF(CJ334="Yes",1,0)+IF(CL334="Yes",1,0)+IF(DE334&lt;&gt;"Pending",1,0)+IF(F334&lt;&gt;"",1,0)+IF(DZ334&lt;&gt;"",1,0)+IF(EI334&lt;&gt;"",1,0))/12)</x:f>
      </x:c>
    </x:row>
    <x:row r="335">
      <x:c r="A335" s="175" t="str">
        <x:f>IF(L335="","","EV-"&amp;TEXT(ROW()-3,"0000"))</x:f>
      </x:c>
      <x:c r="B335" s="174"/>
      <x:c r="C335" s="175" t="str">
        <x:f>IF(L335="","",IF(OR(CM335="Retracted",CN335="Retracted",F335="Not used"),"🔴 Do not use for conclusion",IF(OR(R335="Official / Institutional",I335="Official / contextual"),"🔵 Official / contextual",IF(OR(I335="Definition",I335="Framework",I335="Paradigm shift"),"🟣 Conceptual key source",IF(AND(CJ335="Yes",CL335="Yes",OR(CG335="High",CG335="Moderate"),CH335&lt;&gt;"High",CH335&lt;&gt;"Critical",F335="Claim-ready"),"🟢 Claim-ready","🟡 Caution / context")))))</x:f>
      </x:c>
      <x:c r="D335" s="174"/>
      <x:c r="E335" s="174"/>
      <x:c r="F335" s="174"/>
      <x:c r="G335" s="174"/>
      <x:c r="H335" s="174"/>
      <x:c r="I335" s="174"/>
      <x:c r="J335" s="174"/>
      <x:c r="K335" s="174"/>
      <x:c r="L335" s="174"/>
      <x:c r="M335" s="174"/>
      <x:c r="N335" s="174"/>
      <x:c r="O335" s="176"/>
      <x:c r="P335" s="174"/>
      <x:c r="Q335" s="174"/>
      <x:c r="R335" s="174"/>
      <x:c r="S335" s="174"/>
      <x:c r="T335" s="174"/>
      <x:c r="U335" s="174"/>
      <x:c r="V335" s="174"/>
      <x:c r="W335" s="175" t="str">
        <x:f>IF(V335="","",LOWER(SUBSTITUTE(SUBSTITUTE(SUBSTITUTE(SUBSTITUTE(TRIM(V335),"https://doi.org/",""),"http://doi.org/",""),"https://dx.doi.org/",""),"doi:","")))</x:f>
      </x:c>
      <x:c r="X335" s="174"/>
      <x:c r="Y335" s="174"/>
      <x:c r="Z335" s="174"/>
      <x:c r="AA335" s="174"/>
      <x:c r="AB335" s="174"/>
      <x:c r="AC335" s="174"/>
      <x:c r="AD335" s="177"/>
      <x:c r="AE335" s="177"/>
      <x:c r="AF335" s="174"/>
      <x:c r="AG335" s="174"/>
      <x:c r="AH335" s="174"/>
      <x:c r="AI335" s="174"/>
      <x:c r="AJ335" s="174"/>
      <x:c r="AK335" s="175" t="str">
        <x:f>IF(AJ335="","",IF(OR(LOWER(AJ335)="brazil",LOWER(AJ335)="brasil"),"Yes","No"))</x:f>
      </x:c>
      <x:c r="AL335" s="174"/>
      <x:c r="AM335" s="174"/>
      <x:c r="AN335" s="174"/>
      <x:c r="AO335" s="178"/>
      <x:c r="AP335" s="174"/>
      <x:c r="AQ335" s="174"/>
      <x:c r="AR335" s="174"/>
      <x:c r="AS335" s="174"/>
      <x:c r="AT335" s="174"/>
      <x:c r="AU335" s="174"/>
      <x:c r="AV335" s="174"/>
      <x:c r="AW335" s="174"/>
      <x:c r="AX335" s="174"/>
      <x:c r="AY335" s="174"/>
      <x:c r="AZ335" s="174"/>
      <x:c r="BA335" s="174"/>
      <x:c r="BB335" s="174"/>
      <x:c r="BC335" s="174"/>
      <x:c r="BD335" s="174"/>
      <x:c r="BE335" s="174"/>
      <x:c r="BF335" s="174"/>
      <x:c r="BG335" s="174"/>
      <x:c r="BH335" s="174"/>
      <x:c r="BI335" s="174"/>
      <x:c r="BJ335" s="174"/>
      <x:c r="BK335" s="174"/>
      <x:c r="BL335" s="174"/>
      <x:c r="BM335" s="174"/>
      <x:c r="BN335" s="174"/>
      <x:c r="BO335" s="174"/>
      <x:c r="BP335" s="174"/>
      <x:c r="BQ335" s="174"/>
      <x:c r="BR335" s="174"/>
      <x:c r="BS335" s="174"/>
      <x:c r="BT335" s="174"/>
      <x:c r="BU335" s="174"/>
      <x:c r="BV335" s="174"/>
      <x:c r="BW335" s="174"/>
      <x:c r="BX335" s="174"/>
      <x:c r="BY335" s="174"/>
      <x:c r="BZ335" s="174"/>
      <x:c r="CA335" s="174"/>
      <x:c r="CB335" s="174"/>
      <x:c r="CC335" s="174"/>
      <x:c r="CD335" s="174"/>
      <x:c r="CE335" s="174"/>
      <x:c r="CF335" s="174"/>
      <x:c r="CG335" s="174"/>
      <x:c r="CH335" s="174"/>
      <x:c r="CI335" s="179"/>
      <x:c r="CJ335" s="174"/>
      <x:c r="CK335" s="174"/>
      <x:c r="CL335" s="174"/>
      <x:c r="CM335" s="174"/>
      <x:c r="CN335" s="174"/>
      <x:c r="CO335" s="177"/>
      <x:c r="CP335" s="174"/>
      <x:c r="CQ335" s="174"/>
      <x:c r="CR335" s="174"/>
      <x:c r="CS335" s="174"/>
      <x:c r="CT335" s="174"/>
      <x:c r="CU335" s="176"/>
      <x:c r="CV335" s="176"/>
      <x:c r="CW335" s="176"/>
      <x:c r="CX335" s="176"/>
      <x:c r="CY335" s="176"/>
      <x:c r="CZ335" s="176"/>
      <x:c r="DA335" s="176"/>
      <x:c r="DB335" s="175" t="str">
        <x:f>IF(L335="","",IF(COUNT(CU335:DA335)&lt;7,"",SUM(CU335:DA335)))</x:f>
      </x:c>
      <x:c r="DC335" s="180" t="str">
        <x:f>IF(DB335="","",ROUND(DB335/14*10,1))</x:f>
      </x:c>
      <x:c r="DD335" s="174"/>
      <x:c r="DE335" s="175" t="str">
        <x:f>IF(L335="","",IF(DC335="","Pending",IF(DD335="Yes","CONDITIONAL — safety override",IF(DC335&gt;=8,"HIGH",IF(DC335&gt;=5,"CONDITIONAL","LOW")))))</x:f>
      </x:c>
      <x:c r="DF335" s="174"/>
      <x:c r="DG335" s="174"/>
      <x:c r="DH335" s="174"/>
      <x:c r="DI335" s="174"/>
      <x:c r="DJ335" s="174"/>
      <x:c r="DK335" s="174"/>
      <x:c r="DL335" s="174"/>
      <x:c r="DM335" s="174"/>
      <x:c r="DN335" s="174"/>
      <x:c r="DO335" s="174"/>
      <x:c r="DP335" s="174"/>
      <x:c r="DQ335" s="174"/>
      <x:c r="DR335" s="174"/>
      <x:c r="DS335" s="174"/>
      <x:c r="DT335" s="174"/>
      <x:c r="DU335" s="174"/>
      <x:c r="DV335" s="174"/>
      <x:c r="DW335" s="174"/>
      <x:c r="DX335" s="174"/>
      <x:c r="DY335" s="174"/>
      <x:c r="DZ335" s="174"/>
      <x:c r="EA335" s="174"/>
      <x:c r="EB335" s="175" t="str">
        <x:f>IF(L335="","",IF(AND(F335="Claim-ready",CJ335="Yes",CL335="Yes",DZ335&lt;&gt;""),"Yes","No / Pending"))</x:f>
      </x:c>
      <x:c r="EC335" s="174"/>
      <x:c r="ED335" s="174"/>
      <x:c r="EE335" s="174"/>
      <x:c r="EF335" s="174"/>
      <x:c r="EG335" s="174"/>
      <x:c r="EH335" s="177"/>
      <x:c r="EI335" s="174"/>
      <x:c r="EJ335" s="174"/>
      <x:c r="EK335" s="174"/>
      <x:c r="EL335" s="177"/>
      <x:c r="EM335" s="174"/>
      <x:c r="EN335" s="181" t="str">
        <x:f>IF(L335="","",(IF(N335&lt;&gt;"",1,0)+IF(O335&lt;&gt;"",1,0)+IF(AJ335&lt;&gt;"",1,0)+IF(AU335&lt;&gt;"",1,0)+IF(BE335&lt;&gt;"",1,0)+IF(CF335&lt;&gt;"",1,0)+IF(CJ335="Yes",1,0)+IF(CL335="Yes",1,0)+IF(DE335&lt;&gt;"Pending",1,0)+IF(F335&lt;&gt;"",1,0)+IF(DZ335&lt;&gt;"",1,0)+IF(EI335&lt;&gt;"",1,0))/12)</x:f>
      </x:c>
    </x:row>
    <x:row r="336">
      <x:c r="A336" s="175" t="str">
        <x:f>IF(L336="","","EV-"&amp;TEXT(ROW()-3,"0000"))</x:f>
      </x:c>
      <x:c r="B336" s="174"/>
      <x:c r="C336" s="175" t="str">
        <x:f>IF(L336="","",IF(OR(CM336="Retracted",CN336="Retracted",F336="Not used"),"🔴 Do not use for conclusion",IF(OR(R336="Official / Institutional",I336="Official / contextual"),"🔵 Official / contextual",IF(OR(I336="Definition",I336="Framework",I336="Paradigm shift"),"🟣 Conceptual key source",IF(AND(CJ336="Yes",CL336="Yes",OR(CG336="High",CG336="Moderate"),CH336&lt;&gt;"High",CH336&lt;&gt;"Critical",F336="Claim-ready"),"🟢 Claim-ready","🟡 Caution / context")))))</x:f>
      </x:c>
      <x:c r="D336" s="174"/>
      <x:c r="E336" s="174"/>
      <x:c r="F336" s="174"/>
      <x:c r="G336" s="174"/>
      <x:c r="H336" s="174"/>
      <x:c r="I336" s="174"/>
      <x:c r="J336" s="174"/>
      <x:c r="K336" s="174"/>
      <x:c r="L336" s="174"/>
      <x:c r="M336" s="174"/>
      <x:c r="N336" s="174"/>
      <x:c r="O336" s="176"/>
      <x:c r="P336" s="174"/>
      <x:c r="Q336" s="174"/>
      <x:c r="R336" s="174"/>
      <x:c r="S336" s="174"/>
      <x:c r="T336" s="174"/>
      <x:c r="U336" s="174"/>
      <x:c r="V336" s="174"/>
      <x:c r="W336" s="175" t="str">
        <x:f>IF(V336="","",LOWER(SUBSTITUTE(SUBSTITUTE(SUBSTITUTE(SUBSTITUTE(TRIM(V336),"https://doi.org/",""),"http://doi.org/",""),"https://dx.doi.org/",""),"doi:","")))</x:f>
      </x:c>
      <x:c r="X336" s="174"/>
      <x:c r="Y336" s="174"/>
      <x:c r="Z336" s="174"/>
      <x:c r="AA336" s="174"/>
      <x:c r="AB336" s="174"/>
      <x:c r="AC336" s="174"/>
      <x:c r="AD336" s="177"/>
      <x:c r="AE336" s="177"/>
      <x:c r="AF336" s="174"/>
      <x:c r="AG336" s="174"/>
      <x:c r="AH336" s="174"/>
      <x:c r="AI336" s="174"/>
      <x:c r="AJ336" s="174"/>
      <x:c r="AK336" s="175" t="str">
        <x:f>IF(AJ336="","",IF(OR(LOWER(AJ336)="brazil",LOWER(AJ336)="brasil"),"Yes","No"))</x:f>
      </x:c>
      <x:c r="AL336" s="174"/>
      <x:c r="AM336" s="174"/>
      <x:c r="AN336" s="174"/>
      <x:c r="AO336" s="178"/>
      <x:c r="AP336" s="174"/>
      <x:c r="AQ336" s="174"/>
      <x:c r="AR336" s="174"/>
      <x:c r="AS336" s="174"/>
      <x:c r="AT336" s="174"/>
      <x:c r="AU336" s="174"/>
      <x:c r="AV336" s="174"/>
      <x:c r="AW336" s="174"/>
      <x:c r="AX336" s="174"/>
      <x:c r="AY336" s="174"/>
      <x:c r="AZ336" s="174"/>
      <x:c r="BA336" s="174"/>
      <x:c r="BB336" s="174"/>
      <x:c r="BC336" s="174"/>
      <x:c r="BD336" s="174"/>
      <x:c r="BE336" s="174"/>
      <x:c r="BF336" s="174"/>
      <x:c r="BG336" s="174"/>
      <x:c r="BH336" s="174"/>
      <x:c r="BI336" s="174"/>
      <x:c r="BJ336" s="174"/>
      <x:c r="BK336" s="174"/>
      <x:c r="BL336" s="174"/>
      <x:c r="BM336" s="174"/>
      <x:c r="BN336" s="174"/>
      <x:c r="BO336" s="174"/>
      <x:c r="BP336" s="174"/>
      <x:c r="BQ336" s="174"/>
      <x:c r="BR336" s="174"/>
      <x:c r="BS336" s="174"/>
      <x:c r="BT336" s="174"/>
      <x:c r="BU336" s="174"/>
      <x:c r="BV336" s="174"/>
      <x:c r="BW336" s="174"/>
      <x:c r="BX336" s="174"/>
      <x:c r="BY336" s="174"/>
      <x:c r="BZ336" s="174"/>
      <x:c r="CA336" s="174"/>
      <x:c r="CB336" s="174"/>
      <x:c r="CC336" s="174"/>
      <x:c r="CD336" s="174"/>
      <x:c r="CE336" s="174"/>
      <x:c r="CF336" s="174"/>
      <x:c r="CG336" s="174"/>
      <x:c r="CH336" s="174"/>
      <x:c r="CI336" s="179"/>
      <x:c r="CJ336" s="174"/>
      <x:c r="CK336" s="174"/>
      <x:c r="CL336" s="174"/>
      <x:c r="CM336" s="174"/>
      <x:c r="CN336" s="174"/>
      <x:c r="CO336" s="177"/>
      <x:c r="CP336" s="174"/>
      <x:c r="CQ336" s="174"/>
      <x:c r="CR336" s="174"/>
      <x:c r="CS336" s="174"/>
      <x:c r="CT336" s="174"/>
      <x:c r="CU336" s="176"/>
      <x:c r="CV336" s="176"/>
      <x:c r="CW336" s="176"/>
      <x:c r="CX336" s="176"/>
      <x:c r="CY336" s="176"/>
      <x:c r="CZ336" s="176"/>
      <x:c r="DA336" s="176"/>
      <x:c r="DB336" s="175" t="str">
        <x:f>IF(L336="","",IF(COUNT(CU336:DA336)&lt;7,"",SUM(CU336:DA336)))</x:f>
      </x:c>
      <x:c r="DC336" s="180" t="str">
        <x:f>IF(DB336="","",ROUND(DB336/14*10,1))</x:f>
      </x:c>
      <x:c r="DD336" s="174"/>
      <x:c r="DE336" s="175" t="str">
        <x:f>IF(L336="","",IF(DC336="","Pending",IF(DD336="Yes","CONDITIONAL — safety override",IF(DC336&gt;=8,"HIGH",IF(DC336&gt;=5,"CONDITIONAL","LOW")))))</x:f>
      </x:c>
      <x:c r="DF336" s="174"/>
      <x:c r="DG336" s="174"/>
      <x:c r="DH336" s="174"/>
      <x:c r="DI336" s="174"/>
      <x:c r="DJ336" s="174"/>
      <x:c r="DK336" s="174"/>
      <x:c r="DL336" s="174"/>
      <x:c r="DM336" s="174"/>
      <x:c r="DN336" s="174"/>
      <x:c r="DO336" s="174"/>
      <x:c r="DP336" s="174"/>
      <x:c r="DQ336" s="174"/>
      <x:c r="DR336" s="174"/>
      <x:c r="DS336" s="174"/>
      <x:c r="DT336" s="174"/>
      <x:c r="DU336" s="174"/>
      <x:c r="DV336" s="174"/>
      <x:c r="DW336" s="174"/>
      <x:c r="DX336" s="174"/>
      <x:c r="DY336" s="174"/>
      <x:c r="DZ336" s="174"/>
      <x:c r="EA336" s="174"/>
      <x:c r="EB336" s="175" t="str">
        <x:f>IF(L336="","",IF(AND(F336="Claim-ready",CJ336="Yes",CL336="Yes",DZ336&lt;&gt;""),"Yes","No / Pending"))</x:f>
      </x:c>
      <x:c r="EC336" s="174"/>
      <x:c r="ED336" s="174"/>
      <x:c r="EE336" s="174"/>
      <x:c r="EF336" s="174"/>
      <x:c r="EG336" s="174"/>
      <x:c r="EH336" s="177"/>
      <x:c r="EI336" s="174"/>
      <x:c r="EJ336" s="174"/>
      <x:c r="EK336" s="174"/>
      <x:c r="EL336" s="177"/>
      <x:c r="EM336" s="174"/>
      <x:c r="EN336" s="181" t="str">
        <x:f>IF(L336="","",(IF(N336&lt;&gt;"",1,0)+IF(O336&lt;&gt;"",1,0)+IF(AJ336&lt;&gt;"",1,0)+IF(AU336&lt;&gt;"",1,0)+IF(BE336&lt;&gt;"",1,0)+IF(CF336&lt;&gt;"",1,0)+IF(CJ336="Yes",1,0)+IF(CL336="Yes",1,0)+IF(DE336&lt;&gt;"Pending",1,0)+IF(F336&lt;&gt;"",1,0)+IF(DZ336&lt;&gt;"",1,0)+IF(EI336&lt;&gt;"",1,0))/12)</x:f>
      </x:c>
    </x:row>
    <x:row r="337">
      <x:c r="A337" s="175" t="str">
        <x:f>IF(L337="","","EV-"&amp;TEXT(ROW()-3,"0000"))</x:f>
      </x:c>
      <x:c r="B337" s="174"/>
      <x:c r="C337" s="175" t="str">
        <x:f>IF(L337="","",IF(OR(CM337="Retracted",CN337="Retracted",F337="Not used"),"🔴 Do not use for conclusion",IF(OR(R337="Official / Institutional",I337="Official / contextual"),"🔵 Official / contextual",IF(OR(I337="Definition",I337="Framework",I337="Paradigm shift"),"🟣 Conceptual key source",IF(AND(CJ337="Yes",CL337="Yes",OR(CG337="High",CG337="Moderate"),CH337&lt;&gt;"High",CH337&lt;&gt;"Critical",F337="Claim-ready"),"🟢 Claim-ready","🟡 Caution / context")))))</x:f>
      </x:c>
      <x:c r="D337" s="174"/>
      <x:c r="E337" s="174"/>
      <x:c r="F337" s="174"/>
      <x:c r="G337" s="174"/>
      <x:c r="H337" s="174"/>
      <x:c r="I337" s="174"/>
      <x:c r="J337" s="174"/>
      <x:c r="K337" s="174"/>
      <x:c r="L337" s="174"/>
      <x:c r="M337" s="174"/>
      <x:c r="N337" s="174"/>
      <x:c r="O337" s="176"/>
      <x:c r="P337" s="174"/>
      <x:c r="Q337" s="174"/>
      <x:c r="R337" s="174"/>
      <x:c r="S337" s="174"/>
      <x:c r="T337" s="174"/>
      <x:c r="U337" s="174"/>
      <x:c r="V337" s="174"/>
      <x:c r="W337" s="175" t="str">
        <x:f>IF(V337="","",LOWER(SUBSTITUTE(SUBSTITUTE(SUBSTITUTE(SUBSTITUTE(TRIM(V337),"https://doi.org/",""),"http://doi.org/",""),"https://dx.doi.org/",""),"doi:","")))</x:f>
      </x:c>
      <x:c r="X337" s="174"/>
      <x:c r="Y337" s="174"/>
      <x:c r="Z337" s="174"/>
      <x:c r="AA337" s="174"/>
      <x:c r="AB337" s="174"/>
      <x:c r="AC337" s="174"/>
      <x:c r="AD337" s="177"/>
      <x:c r="AE337" s="177"/>
      <x:c r="AF337" s="174"/>
      <x:c r="AG337" s="174"/>
      <x:c r="AH337" s="174"/>
      <x:c r="AI337" s="174"/>
      <x:c r="AJ337" s="174"/>
      <x:c r="AK337" s="175" t="str">
        <x:f>IF(AJ337="","",IF(OR(LOWER(AJ337)="brazil",LOWER(AJ337)="brasil"),"Yes","No"))</x:f>
      </x:c>
      <x:c r="AL337" s="174"/>
      <x:c r="AM337" s="174"/>
      <x:c r="AN337" s="174"/>
      <x:c r="AO337" s="178"/>
      <x:c r="AP337" s="174"/>
      <x:c r="AQ337" s="174"/>
      <x:c r="AR337" s="174"/>
      <x:c r="AS337" s="174"/>
      <x:c r="AT337" s="174"/>
      <x:c r="AU337" s="174"/>
      <x:c r="AV337" s="174"/>
      <x:c r="AW337" s="174"/>
      <x:c r="AX337" s="174"/>
      <x:c r="AY337" s="174"/>
      <x:c r="AZ337" s="174"/>
      <x:c r="BA337" s="174"/>
      <x:c r="BB337" s="174"/>
      <x:c r="BC337" s="174"/>
      <x:c r="BD337" s="174"/>
      <x:c r="BE337" s="174"/>
      <x:c r="BF337" s="174"/>
      <x:c r="BG337" s="174"/>
      <x:c r="BH337" s="174"/>
      <x:c r="BI337" s="174"/>
      <x:c r="BJ337" s="174"/>
      <x:c r="BK337" s="174"/>
      <x:c r="BL337" s="174"/>
      <x:c r="BM337" s="174"/>
      <x:c r="BN337" s="174"/>
      <x:c r="BO337" s="174"/>
      <x:c r="BP337" s="174"/>
      <x:c r="BQ337" s="174"/>
      <x:c r="BR337" s="174"/>
      <x:c r="BS337" s="174"/>
      <x:c r="BT337" s="174"/>
      <x:c r="BU337" s="174"/>
      <x:c r="BV337" s="174"/>
      <x:c r="BW337" s="174"/>
      <x:c r="BX337" s="174"/>
      <x:c r="BY337" s="174"/>
      <x:c r="BZ337" s="174"/>
      <x:c r="CA337" s="174"/>
      <x:c r="CB337" s="174"/>
      <x:c r="CC337" s="174"/>
      <x:c r="CD337" s="174"/>
      <x:c r="CE337" s="174"/>
      <x:c r="CF337" s="174"/>
      <x:c r="CG337" s="174"/>
      <x:c r="CH337" s="174"/>
      <x:c r="CI337" s="179"/>
      <x:c r="CJ337" s="174"/>
      <x:c r="CK337" s="174"/>
      <x:c r="CL337" s="174"/>
      <x:c r="CM337" s="174"/>
      <x:c r="CN337" s="174"/>
      <x:c r="CO337" s="177"/>
      <x:c r="CP337" s="174"/>
      <x:c r="CQ337" s="174"/>
      <x:c r="CR337" s="174"/>
      <x:c r="CS337" s="174"/>
      <x:c r="CT337" s="174"/>
      <x:c r="CU337" s="176"/>
      <x:c r="CV337" s="176"/>
      <x:c r="CW337" s="176"/>
      <x:c r="CX337" s="176"/>
      <x:c r="CY337" s="176"/>
      <x:c r="CZ337" s="176"/>
      <x:c r="DA337" s="176"/>
      <x:c r="DB337" s="175" t="str">
        <x:f>IF(L337="","",IF(COUNT(CU337:DA337)&lt;7,"",SUM(CU337:DA337)))</x:f>
      </x:c>
      <x:c r="DC337" s="180" t="str">
        <x:f>IF(DB337="","",ROUND(DB337/14*10,1))</x:f>
      </x:c>
      <x:c r="DD337" s="174"/>
      <x:c r="DE337" s="175" t="str">
        <x:f>IF(L337="","",IF(DC337="","Pending",IF(DD337="Yes","CONDITIONAL — safety override",IF(DC337&gt;=8,"HIGH",IF(DC337&gt;=5,"CONDITIONAL","LOW")))))</x:f>
      </x:c>
      <x:c r="DF337" s="174"/>
      <x:c r="DG337" s="174"/>
      <x:c r="DH337" s="174"/>
      <x:c r="DI337" s="174"/>
      <x:c r="DJ337" s="174"/>
      <x:c r="DK337" s="174"/>
      <x:c r="DL337" s="174"/>
      <x:c r="DM337" s="174"/>
      <x:c r="DN337" s="174"/>
      <x:c r="DO337" s="174"/>
      <x:c r="DP337" s="174"/>
      <x:c r="DQ337" s="174"/>
      <x:c r="DR337" s="174"/>
      <x:c r="DS337" s="174"/>
      <x:c r="DT337" s="174"/>
      <x:c r="DU337" s="174"/>
      <x:c r="DV337" s="174"/>
      <x:c r="DW337" s="174"/>
      <x:c r="DX337" s="174"/>
      <x:c r="DY337" s="174"/>
      <x:c r="DZ337" s="174"/>
      <x:c r="EA337" s="174"/>
      <x:c r="EB337" s="175" t="str">
        <x:f>IF(L337="","",IF(AND(F337="Claim-ready",CJ337="Yes",CL337="Yes",DZ337&lt;&gt;""),"Yes","No / Pending"))</x:f>
      </x:c>
      <x:c r="EC337" s="174"/>
      <x:c r="ED337" s="174"/>
      <x:c r="EE337" s="174"/>
      <x:c r="EF337" s="174"/>
      <x:c r="EG337" s="174"/>
      <x:c r="EH337" s="177"/>
      <x:c r="EI337" s="174"/>
      <x:c r="EJ337" s="174"/>
      <x:c r="EK337" s="174"/>
      <x:c r="EL337" s="177"/>
      <x:c r="EM337" s="174"/>
      <x:c r="EN337" s="181" t="str">
        <x:f>IF(L337="","",(IF(N337&lt;&gt;"",1,0)+IF(O337&lt;&gt;"",1,0)+IF(AJ337&lt;&gt;"",1,0)+IF(AU337&lt;&gt;"",1,0)+IF(BE337&lt;&gt;"",1,0)+IF(CF337&lt;&gt;"",1,0)+IF(CJ337="Yes",1,0)+IF(CL337="Yes",1,0)+IF(DE337&lt;&gt;"Pending",1,0)+IF(F337&lt;&gt;"",1,0)+IF(DZ337&lt;&gt;"",1,0)+IF(EI337&lt;&gt;"",1,0))/12)</x:f>
      </x:c>
    </x:row>
    <x:row r="338">
      <x:c r="A338" s="175" t="str">
        <x:f>IF(L338="","","EV-"&amp;TEXT(ROW()-3,"0000"))</x:f>
      </x:c>
      <x:c r="B338" s="174"/>
      <x:c r="C338" s="175" t="str">
        <x:f>IF(L338="","",IF(OR(CM338="Retracted",CN338="Retracted",F338="Not used"),"🔴 Do not use for conclusion",IF(OR(R338="Official / Institutional",I338="Official / contextual"),"🔵 Official / contextual",IF(OR(I338="Definition",I338="Framework",I338="Paradigm shift"),"🟣 Conceptual key source",IF(AND(CJ338="Yes",CL338="Yes",OR(CG338="High",CG338="Moderate"),CH338&lt;&gt;"High",CH338&lt;&gt;"Critical",F338="Claim-ready"),"🟢 Claim-ready","🟡 Caution / context")))))</x:f>
      </x:c>
      <x:c r="D338" s="174"/>
      <x:c r="E338" s="174"/>
      <x:c r="F338" s="174"/>
      <x:c r="G338" s="174"/>
      <x:c r="H338" s="174"/>
      <x:c r="I338" s="174"/>
      <x:c r="J338" s="174"/>
      <x:c r="K338" s="174"/>
      <x:c r="L338" s="174"/>
      <x:c r="M338" s="174"/>
      <x:c r="N338" s="174"/>
      <x:c r="O338" s="176"/>
      <x:c r="P338" s="174"/>
      <x:c r="Q338" s="174"/>
      <x:c r="R338" s="174"/>
      <x:c r="S338" s="174"/>
      <x:c r="T338" s="174"/>
      <x:c r="U338" s="174"/>
      <x:c r="V338" s="174"/>
      <x:c r="W338" s="175" t="str">
        <x:f>IF(V338="","",LOWER(SUBSTITUTE(SUBSTITUTE(SUBSTITUTE(SUBSTITUTE(TRIM(V338),"https://doi.org/",""),"http://doi.org/",""),"https://dx.doi.org/",""),"doi:","")))</x:f>
      </x:c>
      <x:c r="X338" s="174"/>
      <x:c r="Y338" s="174"/>
      <x:c r="Z338" s="174"/>
      <x:c r="AA338" s="174"/>
      <x:c r="AB338" s="174"/>
      <x:c r="AC338" s="174"/>
      <x:c r="AD338" s="177"/>
      <x:c r="AE338" s="177"/>
      <x:c r="AF338" s="174"/>
      <x:c r="AG338" s="174"/>
      <x:c r="AH338" s="174"/>
      <x:c r="AI338" s="174"/>
      <x:c r="AJ338" s="174"/>
      <x:c r="AK338" s="175" t="str">
        <x:f>IF(AJ338="","",IF(OR(LOWER(AJ338)="brazil",LOWER(AJ338)="brasil"),"Yes","No"))</x:f>
      </x:c>
      <x:c r="AL338" s="174"/>
      <x:c r="AM338" s="174"/>
      <x:c r="AN338" s="174"/>
      <x:c r="AO338" s="178"/>
      <x:c r="AP338" s="174"/>
      <x:c r="AQ338" s="174"/>
      <x:c r="AR338" s="174"/>
      <x:c r="AS338" s="174"/>
      <x:c r="AT338" s="174"/>
      <x:c r="AU338" s="174"/>
      <x:c r="AV338" s="174"/>
      <x:c r="AW338" s="174"/>
      <x:c r="AX338" s="174"/>
      <x:c r="AY338" s="174"/>
      <x:c r="AZ338" s="174"/>
      <x:c r="BA338" s="174"/>
      <x:c r="BB338" s="174"/>
      <x:c r="BC338" s="174"/>
      <x:c r="BD338" s="174"/>
      <x:c r="BE338" s="174"/>
      <x:c r="BF338" s="174"/>
      <x:c r="BG338" s="174"/>
      <x:c r="BH338" s="174"/>
      <x:c r="BI338" s="174"/>
      <x:c r="BJ338" s="174"/>
      <x:c r="BK338" s="174"/>
      <x:c r="BL338" s="174"/>
      <x:c r="BM338" s="174"/>
      <x:c r="BN338" s="174"/>
      <x:c r="BO338" s="174"/>
      <x:c r="BP338" s="174"/>
      <x:c r="BQ338" s="174"/>
      <x:c r="BR338" s="174"/>
      <x:c r="BS338" s="174"/>
      <x:c r="BT338" s="174"/>
      <x:c r="BU338" s="174"/>
      <x:c r="BV338" s="174"/>
      <x:c r="BW338" s="174"/>
      <x:c r="BX338" s="174"/>
      <x:c r="BY338" s="174"/>
      <x:c r="BZ338" s="174"/>
      <x:c r="CA338" s="174"/>
      <x:c r="CB338" s="174"/>
      <x:c r="CC338" s="174"/>
      <x:c r="CD338" s="174"/>
      <x:c r="CE338" s="174"/>
      <x:c r="CF338" s="174"/>
      <x:c r="CG338" s="174"/>
      <x:c r="CH338" s="174"/>
      <x:c r="CI338" s="179"/>
      <x:c r="CJ338" s="174"/>
      <x:c r="CK338" s="174"/>
      <x:c r="CL338" s="174"/>
      <x:c r="CM338" s="174"/>
      <x:c r="CN338" s="174"/>
      <x:c r="CO338" s="177"/>
      <x:c r="CP338" s="174"/>
      <x:c r="CQ338" s="174"/>
      <x:c r="CR338" s="174"/>
      <x:c r="CS338" s="174"/>
      <x:c r="CT338" s="174"/>
      <x:c r="CU338" s="176"/>
      <x:c r="CV338" s="176"/>
      <x:c r="CW338" s="176"/>
      <x:c r="CX338" s="176"/>
      <x:c r="CY338" s="176"/>
      <x:c r="CZ338" s="176"/>
      <x:c r="DA338" s="176"/>
      <x:c r="DB338" s="175" t="str">
        <x:f>IF(L338="","",IF(COUNT(CU338:DA338)&lt;7,"",SUM(CU338:DA338)))</x:f>
      </x:c>
      <x:c r="DC338" s="180" t="str">
        <x:f>IF(DB338="","",ROUND(DB338/14*10,1))</x:f>
      </x:c>
      <x:c r="DD338" s="174"/>
      <x:c r="DE338" s="175" t="str">
        <x:f>IF(L338="","",IF(DC338="","Pending",IF(DD338="Yes","CONDITIONAL — safety override",IF(DC338&gt;=8,"HIGH",IF(DC338&gt;=5,"CONDITIONAL","LOW")))))</x:f>
      </x:c>
      <x:c r="DF338" s="174"/>
      <x:c r="DG338" s="174"/>
      <x:c r="DH338" s="174"/>
      <x:c r="DI338" s="174"/>
      <x:c r="DJ338" s="174"/>
      <x:c r="DK338" s="174"/>
      <x:c r="DL338" s="174"/>
      <x:c r="DM338" s="174"/>
      <x:c r="DN338" s="174"/>
      <x:c r="DO338" s="174"/>
      <x:c r="DP338" s="174"/>
      <x:c r="DQ338" s="174"/>
      <x:c r="DR338" s="174"/>
      <x:c r="DS338" s="174"/>
      <x:c r="DT338" s="174"/>
      <x:c r="DU338" s="174"/>
      <x:c r="DV338" s="174"/>
      <x:c r="DW338" s="174"/>
      <x:c r="DX338" s="174"/>
      <x:c r="DY338" s="174"/>
      <x:c r="DZ338" s="174"/>
      <x:c r="EA338" s="174"/>
      <x:c r="EB338" s="175" t="str">
        <x:f>IF(L338="","",IF(AND(F338="Claim-ready",CJ338="Yes",CL338="Yes",DZ338&lt;&gt;""),"Yes","No / Pending"))</x:f>
      </x:c>
      <x:c r="EC338" s="174"/>
      <x:c r="ED338" s="174"/>
      <x:c r="EE338" s="174"/>
      <x:c r="EF338" s="174"/>
      <x:c r="EG338" s="174"/>
      <x:c r="EH338" s="177"/>
      <x:c r="EI338" s="174"/>
      <x:c r="EJ338" s="174"/>
      <x:c r="EK338" s="174"/>
      <x:c r="EL338" s="177"/>
      <x:c r="EM338" s="174"/>
      <x:c r="EN338" s="181" t="str">
        <x:f>IF(L338="","",(IF(N338&lt;&gt;"",1,0)+IF(O338&lt;&gt;"",1,0)+IF(AJ338&lt;&gt;"",1,0)+IF(AU338&lt;&gt;"",1,0)+IF(BE338&lt;&gt;"",1,0)+IF(CF338&lt;&gt;"",1,0)+IF(CJ338="Yes",1,0)+IF(CL338="Yes",1,0)+IF(DE338&lt;&gt;"Pending",1,0)+IF(F338&lt;&gt;"",1,0)+IF(DZ338&lt;&gt;"",1,0)+IF(EI338&lt;&gt;"",1,0))/12)</x:f>
      </x:c>
    </x:row>
    <x:row r="339">
      <x:c r="A339" s="175" t="str">
        <x:f>IF(L339="","","EV-"&amp;TEXT(ROW()-3,"0000"))</x:f>
      </x:c>
      <x:c r="B339" s="174"/>
      <x:c r="C339" s="175" t="str">
        <x:f>IF(L339="","",IF(OR(CM339="Retracted",CN339="Retracted",F339="Not used"),"🔴 Do not use for conclusion",IF(OR(R339="Official / Institutional",I339="Official / contextual"),"🔵 Official / contextual",IF(OR(I339="Definition",I339="Framework",I339="Paradigm shift"),"🟣 Conceptual key source",IF(AND(CJ339="Yes",CL339="Yes",OR(CG339="High",CG339="Moderate"),CH339&lt;&gt;"High",CH339&lt;&gt;"Critical",F339="Claim-ready"),"🟢 Claim-ready","🟡 Caution / context")))))</x:f>
      </x:c>
      <x:c r="D339" s="174"/>
      <x:c r="E339" s="174"/>
      <x:c r="F339" s="174"/>
      <x:c r="G339" s="174"/>
      <x:c r="H339" s="174"/>
      <x:c r="I339" s="174"/>
      <x:c r="J339" s="174"/>
      <x:c r="K339" s="174"/>
      <x:c r="L339" s="174"/>
      <x:c r="M339" s="174"/>
      <x:c r="N339" s="174"/>
      <x:c r="O339" s="176"/>
      <x:c r="P339" s="174"/>
      <x:c r="Q339" s="174"/>
      <x:c r="R339" s="174"/>
      <x:c r="S339" s="174"/>
      <x:c r="T339" s="174"/>
      <x:c r="U339" s="174"/>
      <x:c r="V339" s="174"/>
      <x:c r="W339" s="175" t="str">
        <x:f>IF(V339="","",LOWER(SUBSTITUTE(SUBSTITUTE(SUBSTITUTE(SUBSTITUTE(TRIM(V339),"https://doi.org/",""),"http://doi.org/",""),"https://dx.doi.org/",""),"doi:","")))</x:f>
      </x:c>
      <x:c r="X339" s="174"/>
      <x:c r="Y339" s="174"/>
      <x:c r="Z339" s="174"/>
      <x:c r="AA339" s="174"/>
      <x:c r="AB339" s="174"/>
      <x:c r="AC339" s="174"/>
      <x:c r="AD339" s="177"/>
      <x:c r="AE339" s="177"/>
      <x:c r="AF339" s="174"/>
      <x:c r="AG339" s="174"/>
      <x:c r="AH339" s="174"/>
      <x:c r="AI339" s="174"/>
      <x:c r="AJ339" s="174"/>
      <x:c r="AK339" s="175" t="str">
        <x:f>IF(AJ339="","",IF(OR(LOWER(AJ339)="brazil",LOWER(AJ339)="brasil"),"Yes","No"))</x:f>
      </x:c>
      <x:c r="AL339" s="174"/>
      <x:c r="AM339" s="174"/>
      <x:c r="AN339" s="174"/>
      <x:c r="AO339" s="178"/>
      <x:c r="AP339" s="174"/>
      <x:c r="AQ339" s="174"/>
      <x:c r="AR339" s="174"/>
      <x:c r="AS339" s="174"/>
      <x:c r="AT339" s="174"/>
      <x:c r="AU339" s="174"/>
      <x:c r="AV339" s="174"/>
      <x:c r="AW339" s="174"/>
      <x:c r="AX339" s="174"/>
      <x:c r="AY339" s="174"/>
      <x:c r="AZ339" s="174"/>
      <x:c r="BA339" s="174"/>
      <x:c r="BB339" s="174"/>
      <x:c r="BC339" s="174"/>
      <x:c r="BD339" s="174"/>
      <x:c r="BE339" s="174"/>
      <x:c r="BF339" s="174"/>
      <x:c r="BG339" s="174"/>
      <x:c r="BH339" s="174"/>
      <x:c r="BI339" s="174"/>
      <x:c r="BJ339" s="174"/>
      <x:c r="BK339" s="174"/>
      <x:c r="BL339" s="174"/>
      <x:c r="BM339" s="174"/>
      <x:c r="BN339" s="174"/>
      <x:c r="BO339" s="174"/>
      <x:c r="BP339" s="174"/>
      <x:c r="BQ339" s="174"/>
      <x:c r="BR339" s="174"/>
      <x:c r="BS339" s="174"/>
      <x:c r="BT339" s="174"/>
      <x:c r="BU339" s="174"/>
      <x:c r="BV339" s="174"/>
      <x:c r="BW339" s="174"/>
      <x:c r="BX339" s="174"/>
      <x:c r="BY339" s="174"/>
      <x:c r="BZ339" s="174"/>
      <x:c r="CA339" s="174"/>
      <x:c r="CB339" s="174"/>
      <x:c r="CC339" s="174"/>
      <x:c r="CD339" s="174"/>
      <x:c r="CE339" s="174"/>
      <x:c r="CF339" s="174"/>
      <x:c r="CG339" s="174"/>
      <x:c r="CH339" s="174"/>
      <x:c r="CI339" s="179"/>
      <x:c r="CJ339" s="174"/>
      <x:c r="CK339" s="174"/>
      <x:c r="CL339" s="174"/>
      <x:c r="CM339" s="174"/>
      <x:c r="CN339" s="174"/>
      <x:c r="CO339" s="177"/>
      <x:c r="CP339" s="174"/>
      <x:c r="CQ339" s="174"/>
      <x:c r="CR339" s="174"/>
      <x:c r="CS339" s="174"/>
      <x:c r="CT339" s="174"/>
      <x:c r="CU339" s="176"/>
      <x:c r="CV339" s="176"/>
      <x:c r="CW339" s="176"/>
      <x:c r="CX339" s="176"/>
      <x:c r="CY339" s="176"/>
      <x:c r="CZ339" s="176"/>
      <x:c r="DA339" s="176"/>
      <x:c r="DB339" s="175" t="str">
        <x:f>IF(L339="","",IF(COUNT(CU339:DA339)&lt;7,"",SUM(CU339:DA339)))</x:f>
      </x:c>
      <x:c r="DC339" s="180" t="str">
        <x:f>IF(DB339="","",ROUND(DB339/14*10,1))</x:f>
      </x:c>
      <x:c r="DD339" s="174"/>
      <x:c r="DE339" s="175" t="str">
        <x:f>IF(L339="","",IF(DC339="","Pending",IF(DD339="Yes","CONDITIONAL — safety override",IF(DC339&gt;=8,"HIGH",IF(DC339&gt;=5,"CONDITIONAL","LOW")))))</x:f>
      </x:c>
      <x:c r="DF339" s="174"/>
      <x:c r="DG339" s="174"/>
      <x:c r="DH339" s="174"/>
      <x:c r="DI339" s="174"/>
      <x:c r="DJ339" s="174"/>
      <x:c r="DK339" s="174"/>
      <x:c r="DL339" s="174"/>
      <x:c r="DM339" s="174"/>
      <x:c r="DN339" s="174"/>
      <x:c r="DO339" s="174"/>
      <x:c r="DP339" s="174"/>
      <x:c r="DQ339" s="174"/>
      <x:c r="DR339" s="174"/>
      <x:c r="DS339" s="174"/>
      <x:c r="DT339" s="174"/>
      <x:c r="DU339" s="174"/>
      <x:c r="DV339" s="174"/>
      <x:c r="DW339" s="174"/>
      <x:c r="DX339" s="174"/>
      <x:c r="DY339" s="174"/>
      <x:c r="DZ339" s="174"/>
      <x:c r="EA339" s="174"/>
      <x:c r="EB339" s="175" t="str">
        <x:f>IF(L339="","",IF(AND(F339="Claim-ready",CJ339="Yes",CL339="Yes",DZ339&lt;&gt;""),"Yes","No / Pending"))</x:f>
      </x:c>
      <x:c r="EC339" s="174"/>
      <x:c r="ED339" s="174"/>
      <x:c r="EE339" s="174"/>
      <x:c r="EF339" s="174"/>
      <x:c r="EG339" s="174"/>
      <x:c r="EH339" s="177"/>
      <x:c r="EI339" s="174"/>
      <x:c r="EJ339" s="174"/>
      <x:c r="EK339" s="174"/>
      <x:c r="EL339" s="177"/>
      <x:c r="EM339" s="174"/>
      <x:c r="EN339" s="181" t="str">
        <x:f>IF(L339="","",(IF(N339&lt;&gt;"",1,0)+IF(O339&lt;&gt;"",1,0)+IF(AJ339&lt;&gt;"",1,0)+IF(AU339&lt;&gt;"",1,0)+IF(BE339&lt;&gt;"",1,0)+IF(CF339&lt;&gt;"",1,0)+IF(CJ339="Yes",1,0)+IF(CL339="Yes",1,0)+IF(DE339&lt;&gt;"Pending",1,0)+IF(F339&lt;&gt;"",1,0)+IF(DZ339&lt;&gt;"",1,0)+IF(EI339&lt;&gt;"",1,0))/12)</x:f>
      </x:c>
    </x:row>
    <x:row r="340">
      <x:c r="A340" s="175" t="str">
        <x:f>IF(L340="","","EV-"&amp;TEXT(ROW()-3,"0000"))</x:f>
      </x:c>
      <x:c r="B340" s="174"/>
      <x:c r="C340" s="175" t="str">
        <x:f>IF(L340="","",IF(OR(CM340="Retracted",CN340="Retracted",F340="Not used"),"🔴 Do not use for conclusion",IF(OR(R340="Official / Institutional",I340="Official / contextual"),"🔵 Official / contextual",IF(OR(I340="Definition",I340="Framework",I340="Paradigm shift"),"🟣 Conceptual key source",IF(AND(CJ340="Yes",CL340="Yes",OR(CG340="High",CG340="Moderate"),CH340&lt;&gt;"High",CH340&lt;&gt;"Critical",F340="Claim-ready"),"🟢 Claim-ready","🟡 Caution / context")))))</x:f>
      </x:c>
      <x:c r="D340" s="174"/>
      <x:c r="E340" s="174"/>
      <x:c r="F340" s="174"/>
      <x:c r="G340" s="174"/>
      <x:c r="H340" s="174"/>
      <x:c r="I340" s="174"/>
      <x:c r="J340" s="174"/>
      <x:c r="K340" s="174"/>
      <x:c r="L340" s="174"/>
      <x:c r="M340" s="174"/>
      <x:c r="N340" s="174"/>
      <x:c r="O340" s="176"/>
      <x:c r="P340" s="174"/>
      <x:c r="Q340" s="174"/>
      <x:c r="R340" s="174"/>
      <x:c r="S340" s="174"/>
      <x:c r="T340" s="174"/>
      <x:c r="U340" s="174"/>
      <x:c r="V340" s="174"/>
      <x:c r="W340" s="175" t="str">
        <x:f>IF(V340="","",LOWER(SUBSTITUTE(SUBSTITUTE(SUBSTITUTE(SUBSTITUTE(TRIM(V340),"https://doi.org/",""),"http://doi.org/",""),"https://dx.doi.org/",""),"doi:","")))</x:f>
      </x:c>
      <x:c r="X340" s="174"/>
      <x:c r="Y340" s="174"/>
      <x:c r="Z340" s="174"/>
      <x:c r="AA340" s="174"/>
      <x:c r="AB340" s="174"/>
      <x:c r="AC340" s="174"/>
      <x:c r="AD340" s="177"/>
      <x:c r="AE340" s="177"/>
      <x:c r="AF340" s="174"/>
      <x:c r="AG340" s="174"/>
      <x:c r="AH340" s="174"/>
      <x:c r="AI340" s="174"/>
      <x:c r="AJ340" s="174"/>
      <x:c r="AK340" s="175" t="str">
        <x:f>IF(AJ340="","",IF(OR(LOWER(AJ340)="brazil",LOWER(AJ340)="brasil"),"Yes","No"))</x:f>
      </x:c>
      <x:c r="AL340" s="174"/>
      <x:c r="AM340" s="174"/>
      <x:c r="AN340" s="174"/>
      <x:c r="AO340" s="178"/>
      <x:c r="AP340" s="174"/>
      <x:c r="AQ340" s="174"/>
      <x:c r="AR340" s="174"/>
      <x:c r="AS340" s="174"/>
      <x:c r="AT340" s="174"/>
      <x:c r="AU340" s="174"/>
      <x:c r="AV340" s="174"/>
      <x:c r="AW340" s="174"/>
      <x:c r="AX340" s="174"/>
      <x:c r="AY340" s="174"/>
      <x:c r="AZ340" s="174"/>
      <x:c r="BA340" s="174"/>
      <x:c r="BB340" s="174"/>
      <x:c r="BC340" s="174"/>
      <x:c r="BD340" s="174"/>
      <x:c r="BE340" s="174"/>
      <x:c r="BF340" s="174"/>
      <x:c r="BG340" s="174"/>
      <x:c r="BH340" s="174"/>
      <x:c r="BI340" s="174"/>
      <x:c r="BJ340" s="174"/>
      <x:c r="BK340" s="174"/>
      <x:c r="BL340" s="174"/>
      <x:c r="BM340" s="174"/>
      <x:c r="BN340" s="174"/>
      <x:c r="BO340" s="174"/>
      <x:c r="BP340" s="174"/>
      <x:c r="BQ340" s="174"/>
      <x:c r="BR340" s="174"/>
      <x:c r="BS340" s="174"/>
      <x:c r="BT340" s="174"/>
      <x:c r="BU340" s="174"/>
      <x:c r="BV340" s="174"/>
      <x:c r="BW340" s="174"/>
      <x:c r="BX340" s="174"/>
      <x:c r="BY340" s="174"/>
      <x:c r="BZ340" s="174"/>
      <x:c r="CA340" s="174"/>
      <x:c r="CB340" s="174"/>
      <x:c r="CC340" s="174"/>
      <x:c r="CD340" s="174"/>
      <x:c r="CE340" s="174"/>
      <x:c r="CF340" s="174"/>
      <x:c r="CG340" s="174"/>
      <x:c r="CH340" s="174"/>
      <x:c r="CI340" s="179"/>
      <x:c r="CJ340" s="174"/>
      <x:c r="CK340" s="174"/>
      <x:c r="CL340" s="174"/>
      <x:c r="CM340" s="174"/>
      <x:c r="CN340" s="174"/>
      <x:c r="CO340" s="177"/>
      <x:c r="CP340" s="174"/>
      <x:c r="CQ340" s="174"/>
      <x:c r="CR340" s="174"/>
      <x:c r="CS340" s="174"/>
      <x:c r="CT340" s="174"/>
      <x:c r="CU340" s="176"/>
      <x:c r="CV340" s="176"/>
      <x:c r="CW340" s="176"/>
      <x:c r="CX340" s="176"/>
      <x:c r="CY340" s="176"/>
      <x:c r="CZ340" s="176"/>
      <x:c r="DA340" s="176"/>
      <x:c r="DB340" s="175" t="str">
        <x:f>IF(L340="","",IF(COUNT(CU340:DA340)&lt;7,"",SUM(CU340:DA340)))</x:f>
      </x:c>
      <x:c r="DC340" s="180" t="str">
        <x:f>IF(DB340="","",ROUND(DB340/14*10,1))</x:f>
      </x:c>
      <x:c r="DD340" s="174"/>
      <x:c r="DE340" s="175" t="str">
        <x:f>IF(L340="","",IF(DC340="","Pending",IF(DD340="Yes","CONDITIONAL — safety override",IF(DC340&gt;=8,"HIGH",IF(DC340&gt;=5,"CONDITIONAL","LOW")))))</x:f>
      </x:c>
      <x:c r="DF340" s="174"/>
      <x:c r="DG340" s="174"/>
      <x:c r="DH340" s="174"/>
      <x:c r="DI340" s="174"/>
      <x:c r="DJ340" s="174"/>
      <x:c r="DK340" s="174"/>
      <x:c r="DL340" s="174"/>
      <x:c r="DM340" s="174"/>
      <x:c r="DN340" s="174"/>
      <x:c r="DO340" s="174"/>
      <x:c r="DP340" s="174"/>
      <x:c r="DQ340" s="174"/>
      <x:c r="DR340" s="174"/>
      <x:c r="DS340" s="174"/>
      <x:c r="DT340" s="174"/>
      <x:c r="DU340" s="174"/>
      <x:c r="DV340" s="174"/>
      <x:c r="DW340" s="174"/>
      <x:c r="DX340" s="174"/>
      <x:c r="DY340" s="174"/>
      <x:c r="DZ340" s="174"/>
      <x:c r="EA340" s="174"/>
      <x:c r="EB340" s="175" t="str">
        <x:f>IF(L340="","",IF(AND(F340="Claim-ready",CJ340="Yes",CL340="Yes",DZ340&lt;&gt;""),"Yes","No / Pending"))</x:f>
      </x:c>
      <x:c r="EC340" s="174"/>
      <x:c r="ED340" s="174"/>
      <x:c r="EE340" s="174"/>
      <x:c r="EF340" s="174"/>
      <x:c r="EG340" s="174"/>
      <x:c r="EH340" s="177"/>
      <x:c r="EI340" s="174"/>
      <x:c r="EJ340" s="174"/>
      <x:c r="EK340" s="174"/>
      <x:c r="EL340" s="177"/>
      <x:c r="EM340" s="174"/>
      <x:c r="EN340" s="181" t="str">
        <x:f>IF(L340="","",(IF(N340&lt;&gt;"",1,0)+IF(O340&lt;&gt;"",1,0)+IF(AJ340&lt;&gt;"",1,0)+IF(AU340&lt;&gt;"",1,0)+IF(BE340&lt;&gt;"",1,0)+IF(CF340&lt;&gt;"",1,0)+IF(CJ340="Yes",1,0)+IF(CL340="Yes",1,0)+IF(DE340&lt;&gt;"Pending",1,0)+IF(F340&lt;&gt;"",1,0)+IF(DZ340&lt;&gt;"",1,0)+IF(EI340&lt;&gt;"",1,0))/12)</x:f>
      </x:c>
    </x:row>
    <x:row r="341">
      <x:c r="A341" s="175" t="str">
        <x:f>IF(L341="","","EV-"&amp;TEXT(ROW()-3,"0000"))</x:f>
      </x:c>
      <x:c r="B341" s="174"/>
      <x:c r="C341" s="175" t="str">
        <x:f>IF(L341="","",IF(OR(CM341="Retracted",CN341="Retracted",F341="Not used"),"🔴 Do not use for conclusion",IF(OR(R341="Official / Institutional",I341="Official / contextual"),"🔵 Official / contextual",IF(OR(I341="Definition",I341="Framework",I341="Paradigm shift"),"🟣 Conceptual key source",IF(AND(CJ341="Yes",CL341="Yes",OR(CG341="High",CG341="Moderate"),CH341&lt;&gt;"High",CH341&lt;&gt;"Critical",F341="Claim-ready"),"🟢 Claim-ready","🟡 Caution / context")))))</x:f>
      </x:c>
      <x:c r="D341" s="174"/>
      <x:c r="E341" s="174"/>
      <x:c r="F341" s="174"/>
      <x:c r="G341" s="174"/>
      <x:c r="H341" s="174"/>
      <x:c r="I341" s="174"/>
      <x:c r="J341" s="174"/>
      <x:c r="K341" s="174"/>
      <x:c r="L341" s="174"/>
      <x:c r="M341" s="174"/>
      <x:c r="N341" s="174"/>
      <x:c r="O341" s="176"/>
      <x:c r="P341" s="174"/>
      <x:c r="Q341" s="174"/>
      <x:c r="R341" s="174"/>
      <x:c r="S341" s="174"/>
      <x:c r="T341" s="174"/>
      <x:c r="U341" s="174"/>
      <x:c r="V341" s="174"/>
      <x:c r="W341" s="175" t="str">
        <x:f>IF(V341="","",LOWER(SUBSTITUTE(SUBSTITUTE(SUBSTITUTE(SUBSTITUTE(TRIM(V341),"https://doi.org/",""),"http://doi.org/",""),"https://dx.doi.org/",""),"doi:","")))</x:f>
      </x:c>
      <x:c r="X341" s="174"/>
      <x:c r="Y341" s="174"/>
      <x:c r="Z341" s="174"/>
      <x:c r="AA341" s="174"/>
      <x:c r="AB341" s="174"/>
      <x:c r="AC341" s="174"/>
      <x:c r="AD341" s="177"/>
      <x:c r="AE341" s="177"/>
      <x:c r="AF341" s="174"/>
      <x:c r="AG341" s="174"/>
      <x:c r="AH341" s="174"/>
      <x:c r="AI341" s="174"/>
      <x:c r="AJ341" s="174"/>
      <x:c r="AK341" s="175" t="str">
        <x:f>IF(AJ341="","",IF(OR(LOWER(AJ341)="brazil",LOWER(AJ341)="brasil"),"Yes","No"))</x:f>
      </x:c>
      <x:c r="AL341" s="174"/>
      <x:c r="AM341" s="174"/>
      <x:c r="AN341" s="174"/>
      <x:c r="AO341" s="178"/>
      <x:c r="AP341" s="174"/>
      <x:c r="AQ341" s="174"/>
      <x:c r="AR341" s="174"/>
      <x:c r="AS341" s="174"/>
      <x:c r="AT341" s="174"/>
      <x:c r="AU341" s="174"/>
      <x:c r="AV341" s="174"/>
      <x:c r="AW341" s="174"/>
      <x:c r="AX341" s="174"/>
      <x:c r="AY341" s="174"/>
      <x:c r="AZ341" s="174"/>
      <x:c r="BA341" s="174"/>
      <x:c r="BB341" s="174"/>
      <x:c r="BC341" s="174"/>
      <x:c r="BD341" s="174"/>
      <x:c r="BE341" s="174"/>
      <x:c r="BF341" s="174"/>
      <x:c r="BG341" s="174"/>
      <x:c r="BH341" s="174"/>
      <x:c r="BI341" s="174"/>
      <x:c r="BJ341" s="174"/>
      <x:c r="BK341" s="174"/>
      <x:c r="BL341" s="174"/>
      <x:c r="BM341" s="174"/>
      <x:c r="BN341" s="174"/>
      <x:c r="BO341" s="174"/>
      <x:c r="BP341" s="174"/>
      <x:c r="BQ341" s="174"/>
      <x:c r="BR341" s="174"/>
      <x:c r="BS341" s="174"/>
      <x:c r="BT341" s="174"/>
      <x:c r="BU341" s="174"/>
      <x:c r="BV341" s="174"/>
      <x:c r="BW341" s="174"/>
      <x:c r="BX341" s="174"/>
      <x:c r="BY341" s="174"/>
      <x:c r="BZ341" s="174"/>
      <x:c r="CA341" s="174"/>
      <x:c r="CB341" s="174"/>
      <x:c r="CC341" s="174"/>
      <x:c r="CD341" s="174"/>
      <x:c r="CE341" s="174"/>
      <x:c r="CF341" s="174"/>
      <x:c r="CG341" s="174"/>
      <x:c r="CH341" s="174"/>
      <x:c r="CI341" s="179"/>
      <x:c r="CJ341" s="174"/>
      <x:c r="CK341" s="174"/>
      <x:c r="CL341" s="174"/>
      <x:c r="CM341" s="174"/>
      <x:c r="CN341" s="174"/>
      <x:c r="CO341" s="177"/>
      <x:c r="CP341" s="174"/>
      <x:c r="CQ341" s="174"/>
      <x:c r="CR341" s="174"/>
      <x:c r="CS341" s="174"/>
      <x:c r="CT341" s="174"/>
      <x:c r="CU341" s="176"/>
      <x:c r="CV341" s="176"/>
      <x:c r="CW341" s="176"/>
      <x:c r="CX341" s="176"/>
      <x:c r="CY341" s="176"/>
      <x:c r="CZ341" s="176"/>
      <x:c r="DA341" s="176"/>
      <x:c r="DB341" s="175" t="str">
        <x:f>IF(L341="","",IF(COUNT(CU341:DA341)&lt;7,"",SUM(CU341:DA341)))</x:f>
      </x:c>
      <x:c r="DC341" s="180" t="str">
        <x:f>IF(DB341="","",ROUND(DB341/14*10,1))</x:f>
      </x:c>
      <x:c r="DD341" s="174"/>
      <x:c r="DE341" s="175" t="str">
        <x:f>IF(L341="","",IF(DC341="","Pending",IF(DD341="Yes","CONDITIONAL — safety override",IF(DC341&gt;=8,"HIGH",IF(DC341&gt;=5,"CONDITIONAL","LOW")))))</x:f>
      </x:c>
      <x:c r="DF341" s="174"/>
      <x:c r="DG341" s="174"/>
      <x:c r="DH341" s="174"/>
      <x:c r="DI341" s="174"/>
      <x:c r="DJ341" s="174"/>
      <x:c r="DK341" s="174"/>
      <x:c r="DL341" s="174"/>
      <x:c r="DM341" s="174"/>
      <x:c r="DN341" s="174"/>
      <x:c r="DO341" s="174"/>
      <x:c r="DP341" s="174"/>
      <x:c r="DQ341" s="174"/>
      <x:c r="DR341" s="174"/>
      <x:c r="DS341" s="174"/>
      <x:c r="DT341" s="174"/>
      <x:c r="DU341" s="174"/>
      <x:c r="DV341" s="174"/>
      <x:c r="DW341" s="174"/>
      <x:c r="DX341" s="174"/>
      <x:c r="DY341" s="174"/>
      <x:c r="DZ341" s="174"/>
      <x:c r="EA341" s="174"/>
      <x:c r="EB341" s="175" t="str">
        <x:f>IF(L341="","",IF(AND(F341="Claim-ready",CJ341="Yes",CL341="Yes",DZ341&lt;&gt;""),"Yes","No / Pending"))</x:f>
      </x:c>
      <x:c r="EC341" s="174"/>
      <x:c r="ED341" s="174"/>
      <x:c r="EE341" s="174"/>
      <x:c r="EF341" s="174"/>
      <x:c r="EG341" s="174"/>
      <x:c r="EH341" s="177"/>
      <x:c r="EI341" s="174"/>
      <x:c r="EJ341" s="174"/>
      <x:c r="EK341" s="174"/>
      <x:c r="EL341" s="177"/>
      <x:c r="EM341" s="174"/>
      <x:c r="EN341" s="181" t="str">
        <x:f>IF(L341="","",(IF(N341&lt;&gt;"",1,0)+IF(O341&lt;&gt;"",1,0)+IF(AJ341&lt;&gt;"",1,0)+IF(AU341&lt;&gt;"",1,0)+IF(BE341&lt;&gt;"",1,0)+IF(CF341&lt;&gt;"",1,0)+IF(CJ341="Yes",1,0)+IF(CL341="Yes",1,0)+IF(DE341&lt;&gt;"Pending",1,0)+IF(F341&lt;&gt;"",1,0)+IF(DZ341&lt;&gt;"",1,0)+IF(EI341&lt;&gt;"",1,0))/12)</x:f>
      </x:c>
    </x:row>
    <x:row r="342">
      <x:c r="A342" s="175" t="str">
        <x:f>IF(L342="","","EV-"&amp;TEXT(ROW()-3,"0000"))</x:f>
      </x:c>
      <x:c r="B342" s="174"/>
      <x:c r="C342" s="175" t="str">
        <x:f>IF(L342="","",IF(OR(CM342="Retracted",CN342="Retracted",F342="Not used"),"🔴 Do not use for conclusion",IF(OR(R342="Official / Institutional",I342="Official / contextual"),"🔵 Official / contextual",IF(OR(I342="Definition",I342="Framework",I342="Paradigm shift"),"🟣 Conceptual key source",IF(AND(CJ342="Yes",CL342="Yes",OR(CG342="High",CG342="Moderate"),CH342&lt;&gt;"High",CH342&lt;&gt;"Critical",F342="Claim-ready"),"🟢 Claim-ready","🟡 Caution / context")))))</x:f>
      </x:c>
      <x:c r="D342" s="174"/>
      <x:c r="E342" s="174"/>
      <x:c r="F342" s="174"/>
      <x:c r="G342" s="174"/>
      <x:c r="H342" s="174"/>
      <x:c r="I342" s="174"/>
      <x:c r="J342" s="174"/>
      <x:c r="K342" s="174"/>
      <x:c r="L342" s="174"/>
      <x:c r="M342" s="174"/>
      <x:c r="N342" s="174"/>
      <x:c r="O342" s="176"/>
      <x:c r="P342" s="174"/>
      <x:c r="Q342" s="174"/>
      <x:c r="R342" s="174"/>
      <x:c r="S342" s="174"/>
      <x:c r="T342" s="174"/>
      <x:c r="U342" s="174"/>
      <x:c r="V342" s="174"/>
      <x:c r="W342" s="175" t="str">
        <x:f>IF(V342="","",LOWER(SUBSTITUTE(SUBSTITUTE(SUBSTITUTE(SUBSTITUTE(TRIM(V342),"https://doi.org/",""),"http://doi.org/",""),"https://dx.doi.org/",""),"doi:","")))</x:f>
      </x:c>
      <x:c r="X342" s="174"/>
      <x:c r="Y342" s="174"/>
      <x:c r="Z342" s="174"/>
      <x:c r="AA342" s="174"/>
      <x:c r="AB342" s="174"/>
      <x:c r="AC342" s="174"/>
      <x:c r="AD342" s="177"/>
      <x:c r="AE342" s="177"/>
      <x:c r="AF342" s="174"/>
      <x:c r="AG342" s="174"/>
      <x:c r="AH342" s="174"/>
      <x:c r="AI342" s="174"/>
      <x:c r="AJ342" s="174"/>
      <x:c r="AK342" s="175" t="str">
        <x:f>IF(AJ342="","",IF(OR(LOWER(AJ342)="brazil",LOWER(AJ342)="brasil"),"Yes","No"))</x:f>
      </x:c>
      <x:c r="AL342" s="174"/>
      <x:c r="AM342" s="174"/>
      <x:c r="AN342" s="174"/>
      <x:c r="AO342" s="178"/>
      <x:c r="AP342" s="174"/>
      <x:c r="AQ342" s="174"/>
      <x:c r="AR342" s="174"/>
      <x:c r="AS342" s="174"/>
      <x:c r="AT342" s="174"/>
      <x:c r="AU342" s="174"/>
      <x:c r="AV342" s="174"/>
      <x:c r="AW342" s="174"/>
      <x:c r="AX342" s="174"/>
      <x:c r="AY342" s="174"/>
      <x:c r="AZ342" s="174"/>
      <x:c r="BA342" s="174"/>
      <x:c r="BB342" s="174"/>
      <x:c r="BC342" s="174"/>
      <x:c r="BD342" s="174"/>
      <x:c r="BE342" s="174"/>
      <x:c r="BF342" s="174"/>
      <x:c r="BG342" s="174"/>
      <x:c r="BH342" s="174"/>
      <x:c r="BI342" s="174"/>
      <x:c r="BJ342" s="174"/>
      <x:c r="BK342" s="174"/>
      <x:c r="BL342" s="174"/>
      <x:c r="BM342" s="174"/>
      <x:c r="BN342" s="174"/>
      <x:c r="BO342" s="174"/>
      <x:c r="BP342" s="174"/>
      <x:c r="BQ342" s="174"/>
      <x:c r="BR342" s="174"/>
      <x:c r="BS342" s="174"/>
      <x:c r="BT342" s="174"/>
      <x:c r="BU342" s="174"/>
      <x:c r="BV342" s="174"/>
      <x:c r="BW342" s="174"/>
      <x:c r="BX342" s="174"/>
      <x:c r="BY342" s="174"/>
      <x:c r="BZ342" s="174"/>
      <x:c r="CA342" s="174"/>
      <x:c r="CB342" s="174"/>
      <x:c r="CC342" s="174"/>
      <x:c r="CD342" s="174"/>
      <x:c r="CE342" s="174"/>
      <x:c r="CF342" s="174"/>
      <x:c r="CG342" s="174"/>
      <x:c r="CH342" s="174"/>
      <x:c r="CI342" s="179"/>
      <x:c r="CJ342" s="174"/>
      <x:c r="CK342" s="174"/>
      <x:c r="CL342" s="174"/>
      <x:c r="CM342" s="174"/>
      <x:c r="CN342" s="174"/>
      <x:c r="CO342" s="177"/>
      <x:c r="CP342" s="174"/>
      <x:c r="CQ342" s="174"/>
      <x:c r="CR342" s="174"/>
      <x:c r="CS342" s="174"/>
      <x:c r="CT342" s="174"/>
      <x:c r="CU342" s="176"/>
      <x:c r="CV342" s="176"/>
      <x:c r="CW342" s="176"/>
      <x:c r="CX342" s="176"/>
      <x:c r="CY342" s="176"/>
      <x:c r="CZ342" s="176"/>
      <x:c r="DA342" s="176"/>
      <x:c r="DB342" s="175" t="str">
        <x:f>IF(L342="","",IF(COUNT(CU342:DA342)&lt;7,"",SUM(CU342:DA342)))</x:f>
      </x:c>
      <x:c r="DC342" s="180" t="str">
        <x:f>IF(DB342="","",ROUND(DB342/14*10,1))</x:f>
      </x:c>
      <x:c r="DD342" s="174"/>
      <x:c r="DE342" s="175" t="str">
        <x:f>IF(L342="","",IF(DC342="","Pending",IF(DD342="Yes","CONDITIONAL — safety override",IF(DC342&gt;=8,"HIGH",IF(DC342&gt;=5,"CONDITIONAL","LOW")))))</x:f>
      </x:c>
      <x:c r="DF342" s="174"/>
      <x:c r="DG342" s="174"/>
      <x:c r="DH342" s="174"/>
      <x:c r="DI342" s="174"/>
      <x:c r="DJ342" s="174"/>
      <x:c r="DK342" s="174"/>
      <x:c r="DL342" s="174"/>
      <x:c r="DM342" s="174"/>
      <x:c r="DN342" s="174"/>
      <x:c r="DO342" s="174"/>
      <x:c r="DP342" s="174"/>
      <x:c r="DQ342" s="174"/>
      <x:c r="DR342" s="174"/>
      <x:c r="DS342" s="174"/>
      <x:c r="DT342" s="174"/>
      <x:c r="DU342" s="174"/>
      <x:c r="DV342" s="174"/>
      <x:c r="DW342" s="174"/>
      <x:c r="DX342" s="174"/>
      <x:c r="DY342" s="174"/>
      <x:c r="DZ342" s="174"/>
      <x:c r="EA342" s="174"/>
      <x:c r="EB342" s="175" t="str">
        <x:f>IF(L342="","",IF(AND(F342="Claim-ready",CJ342="Yes",CL342="Yes",DZ342&lt;&gt;""),"Yes","No / Pending"))</x:f>
      </x:c>
      <x:c r="EC342" s="174"/>
      <x:c r="ED342" s="174"/>
      <x:c r="EE342" s="174"/>
      <x:c r="EF342" s="174"/>
      <x:c r="EG342" s="174"/>
      <x:c r="EH342" s="177"/>
      <x:c r="EI342" s="174"/>
      <x:c r="EJ342" s="174"/>
      <x:c r="EK342" s="174"/>
      <x:c r="EL342" s="177"/>
      <x:c r="EM342" s="174"/>
      <x:c r="EN342" s="181" t="str">
        <x:f>IF(L342="","",(IF(N342&lt;&gt;"",1,0)+IF(O342&lt;&gt;"",1,0)+IF(AJ342&lt;&gt;"",1,0)+IF(AU342&lt;&gt;"",1,0)+IF(BE342&lt;&gt;"",1,0)+IF(CF342&lt;&gt;"",1,0)+IF(CJ342="Yes",1,0)+IF(CL342="Yes",1,0)+IF(DE342&lt;&gt;"Pending",1,0)+IF(F342&lt;&gt;"",1,0)+IF(DZ342&lt;&gt;"",1,0)+IF(EI342&lt;&gt;"",1,0))/12)</x:f>
      </x:c>
    </x:row>
    <x:row r="343">
      <x:c r="A343" s="175" t="str">
        <x:f>IF(L343="","","EV-"&amp;TEXT(ROW()-3,"0000"))</x:f>
      </x:c>
      <x:c r="B343" s="174"/>
      <x:c r="C343" s="175" t="str">
        <x:f>IF(L343="","",IF(OR(CM343="Retracted",CN343="Retracted",F343="Not used"),"🔴 Do not use for conclusion",IF(OR(R343="Official / Institutional",I343="Official / contextual"),"🔵 Official / contextual",IF(OR(I343="Definition",I343="Framework",I343="Paradigm shift"),"🟣 Conceptual key source",IF(AND(CJ343="Yes",CL343="Yes",OR(CG343="High",CG343="Moderate"),CH343&lt;&gt;"High",CH343&lt;&gt;"Critical",F343="Claim-ready"),"🟢 Claim-ready","🟡 Caution / context")))))</x:f>
      </x:c>
      <x:c r="D343" s="174"/>
      <x:c r="E343" s="174"/>
      <x:c r="F343" s="174"/>
      <x:c r="G343" s="174"/>
      <x:c r="H343" s="174"/>
      <x:c r="I343" s="174"/>
      <x:c r="J343" s="174"/>
      <x:c r="K343" s="174"/>
      <x:c r="L343" s="174"/>
      <x:c r="M343" s="174"/>
      <x:c r="N343" s="174"/>
      <x:c r="O343" s="176"/>
      <x:c r="P343" s="174"/>
      <x:c r="Q343" s="174"/>
      <x:c r="R343" s="174"/>
      <x:c r="S343" s="174"/>
      <x:c r="T343" s="174"/>
      <x:c r="U343" s="174"/>
      <x:c r="V343" s="174"/>
      <x:c r="W343" s="175" t="str">
        <x:f>IF(V343="","",LOWER(SUBSTITUTE(SUBSTITUTE(SUBSTITUTE(SUBSTITUTE(TRIM(V343),"https://doi.org/",""),"http://doi.org/",""),"https://dx.doi.org/",""),"doi:","")))</x:f>
      </x:c>
      <x:c r="X343" s="174"/>
      <x:c r="Y343" s="174"/>
      <x:c r="Z343" s="174"/>
      <x:c r="AA343" s="174"/>
      <x:c r="AB343" s="174"/>
      <x:c r="AC343" s="174"/>
      <x:c r="AD343" s="177"/>
      <x:c r="AE343" s="177"/>
      <x:c r="AF343" s="174"/>
      <x:c r="AG343" s="174"/>
      <x:c r="AH343" s="174"/>
      <x:c r="AI343" s="174"/>
      <x:c r="AJ343" s="174"/>
      <x:c r="AK343" s="175" t="str">
        <x:f>IF(AJ343="","",IF(OR(LOWER(AJ343)="brazil",LOWER(AJ343)="brasil"),"Yes","No"))</x:f>
      </x:c>
      <x:c r="AL343" s="174"/>
      <x:c r="AM343" s="174"/>
      <x:c r="AN343" s="174"/>
      <x:c r="AO343" s="178"/>
      <x:c r="AP343" s="174"/>
      <x:c r="AQ343" s="174"/>
      <x:c r="AR343" s="174"/>
      <x:c r="AS343" s="174"/>
      <x:c r="AT343" s="174"/>
      <x:c r="AU343" s="174"/>
      <x:c r="AV343" s="174"/>
      <x:c r="AW343" s="174"/>
      <x:c r="AX343" s="174"/>
      <x:c r="AY343" s="174"/>
      <x:c r="AZ343" s="174"/>
      <x:c r="BA343" s="174"/>
      <x:c r="BB343" s="174"/>
      <x:c r="BC343" s="174"/>
      <x:c r="BD343" s="174"/>
      <x:c r="BE343" s="174"/>
      <x:c r="BF343" s="174"/>
      <x:c r="BG343" s="174"/>
      <x:c r="BH343" s="174"/>
      <x:c r="BI343" s="174"/>
      <x:c r="BJ343" s="174"/>
      <x:c r="BK343" s="174"/>
      <x:c r="BL343" s="174"/>
      <x:c r="BM343" s="174"/>
      <x:c r="BN343" s="174"/>
      <x:c r="BO343" s="174"/>
      <x:c r="BP343" s="174"/>
      <x:c r="BQ343" s="174"/>
      <x:c r="BR343" s="174"/>
      <x:c r="BS343" s="174"/>
      <x:c r="BT343" s="174"/>
      <x:c r="BU343" s="174"/>
      <x:c r="BV343" s="174"/>
      <x:c r="BW343" s="174"/>
      <x:c r="BX343" s="174"/>
      <x:c r="BY343" s="174"/>
      <x:c r="BZ343" s="174"/>
      <x:c r="CA343" s="174"/>
      <x:c r="CB343" s="174"/>
      <x:c r="CC343" s="174"/>
      <x:c r="CD343" s="174"/>
      <x:c r="CE343" s="174"/>
      <x:c r="CF343" s="174"/>
      <x:c r="CG343" s="174"/>
      <x:c r="CH343" s="174"/>
      <x:c r="CI343" s="179"/>
      <x:c r="CJ343" s="174"/>
      <x:c r="CK343" s="174"/>
      <x:c r="CL343" s="174"/>
      <x:c r="CM343" s="174"/>
      <x:c r="CN343" s="174"/>
      <x:c r="CO343" s="177"/>
      <x:c r="CP343" s="174"/>
      <x:c r="CQ343" s="174"/>
      <x:c r="CR343" s="174"/>
      <x:c r="CS343" s="174"/>
      <x:c r="CT343" s="174"/>
      <x:c r="CU343" s="176"/>
      <x:c r="CV343" s="176"/>
      <x:c r="CW343" s="176"/>
      <x:c r="CX343" s="176"/>
      <x:c r="CY343" s="176"/>
      <x:c r="CZ343" s="176"/>
      <x:c r="DA343" s="176"/>
      <x:c r="DB343" s="175" t="str">
        <x:f>IF(L343="","",IF(COUNT(CU343:DA343)&lt;7,"",SUM(CU343:DA343)))</x:f>
      </x:c>
      <x:c r="DC343" s="180" t="str">
        <x:f>IF(DB343="","",ROUND(DB343/14*10,1))</x:f>
      </x:c>
      <x:c r="DD343" s="174"/>
      <x:c r="DE343" s="175" t="str">
        <x:f>IF(L343="","",IF(DC343="","Pending",IF(DD343="Yes","CONDITIONAL — safety override",IF(DC343&gt;=8,"HIGH",IF(DC343&gt;=5,"CONDITIONAL","LOW")))))</x:f>
      </x:c>
      <x:c r="DF343" s="174"/>
      <x:c r="DG343" s="174"/>
      <x:c r="DH343" s="174"/>
      <x:c r="DI343" s="174"/>
      <x:c r="DJ343" s="174"/>
      <x:c r="DK343" s="174"/>
      <x:c r="DL343" s="174"/>
      <x:c r="DM343" s="174"/>
      <x:c r="DN343" s="174"/>
      <x:c r="DO343" s="174"/>
      <x:c r="DP343" s="174"/>
      <x:c r="DQ343" s="174"/>
      <x:c r="DR343" s="174"/>
      <x:c r="DS343" s="174"/>
      <x:c r="DT343" s="174"/>
      <x:c r="DU343" s="174"/>
      <x:c r="DV343" s="174"/>
      <x:c r="DW343" s="174"/>
      <x:c r="DX343" s="174"/>
      <x:c r="DY343" s="174"/>
      <x:c r="DZ343" s="174"/>
      <x:c r="EA343" s="174"/>
      <x:c r="EB343" s="175" t="str">
        <x:f>IF(L343="","",IF(AND(F343="Claim-ready",CJ343="Yes",CL343="Yes",DZ343&lt;&gt;""),"Yes","No / Pending"))</x:f>
      </x:c>
      <x:c r="EC343" s="174"/>
      <x:c r="ED343" s="174"/>
      <x:c r="EE343" s="174"/>
      <x:c r="EF343" s="174"/>
      <x:c r="EG343" s="174"/>
      <x:c r="EH343" s="177"/>
      <x:c r="EI343" s="174"/>
      <x:c r="EJ343" s="174"/>
      <x:c r="EK343" s="174"/>
      <x:c r="EL343" s="177"/>
      <x:c r="EM343" s="174"/>
      <x:c r="EN343" s="181" t="str">
        <x:f>IF(L343="","",(IF(N343&lt;&gt;"",1,0)+IF(O343&lt;&gt;"",1,0)+IF(AJ343&lt;&gt;"",1,0)+IF(AU343&lt;&gt;"",1,0)+IF(BE343&lt;&gt;"",1,0)+IF(CF343&lt;&gt;"",1,0)+IF(CJ343="Yes",1,0)+IF(CL343="Yes",1,0)+IF(DE343&lt;&gt;"Pending",1,0)+IF(F343&lt;&gt;"",1,0)+IF(DZ343&lt;&gt;"",1,0)+IF(EI343&lt;&gt;"",1,0))/12)</x:f>
      </x:c>
    </x:row>
    <x:row r="344">
      <x:c r="A344" s="175" t="str">
        <x:f>IF(L344="","","EV-"&amp;TEXT(ROW()-3,"0000"))</x:f>
      </x:c>
      <x:c r="B344" s="174"/>
      <x:c r="C344" s="175" t="str">
        <x:f>IF(L344="","",IF(OR(CM344="Retracted",CN344="Retracted",F344="Not used"),"🔴 Do not use for conclusion",IF(OR(R344="Official / Institutional",I344="Official / contextual"),"🔵 Official / contextual",IF(OR(I344="Definition",I344="Framework",I344="Paradigm shift"),"🟣 Conceptual key source",IF(AND(CJ344="Yes",CL344="Yes",OR(CG344="High",CG344="Moderate"),CH344&lt;&gt;"High",CH344&lt;&gt;"Critical",F344="Claim-ready"),"🟢 Claim-ready","🟡 Caution / context")))))</x:f>
      </x:c>
      <x:c r="D344" s="174"/>
      <x:c r="E344" s="174"/>
      <x:c r="F344" s="174"/>
      <x:c r="G344" s="174"/>
      <x:c r="H344" s="174"/>
      <x:c r="I344" s="174"/>
      <x:c r="J344" s="174"/>
      <x:c r="K344" s="174"/>
      <x:c r="L344" s="174"/>
      <x:c r="M344" s="174"/>
      <x:c r="N344" s="174"/>
      <x:c r="O344" s="176"/>
      <x:c r="P344" s="174"/>
      <x:c r="Q344" s="174"/>
      <x:c r="R344" s="174"/>
      <x:c r="S344" s="174"/>
      <x:c r="T344" s="174"/>
      <x:c r="U344" s="174"/>
      <x:c r="V344" s="174"/>
      <x:c r="W344" s="175" t="str">
        <x:f>IF(V344="","",LOWER(SUBSTITUTE(SUBSTITUTE(SUBSTITUTE(SUBSTITUTE(TRIM(V344),"https://doi.org/",""),"http://doi.org/",""),"https://dx.doi.org/",""),"doi:","")))</x:f>
      </x:c>
      <x:c r="X344" s="174"/>
      <x:c r="Y344" s="174"/>
      <x:c r="Z344" s="174"/>
      <x:c r="AA344" s="174"/>
      <x:c r="AB344" s="174"/>
      <x:c r="AC344" s="174"/>
      <x:c r="AD344" s="177"/>
      <x:c r="AE344" s="177"/>
      <x:c r="AF344" s="174"/>
      <x:c r="AG344" s="174"/>
      <x:c r="AH344" s="174"/>
      <x:c r="AI344" s="174"/>
      <x:c r="AJ344" s="174"/>
      <x:c r="AK344" s="175" t="str">
        <x:f>IF(AJ344="","",IF(OR(LOWER(AJ344)="brazil",LOWER(AJ344)="brasil"),"Yes","No"))</x:f>
      </x:c>
      <x:c r="AL344" s="174"/>
      <x:c r="AM344" s="174"/>
      <x:c r="AN344" s="174"/>
      <x:c r="AO344" s="178"/>
      <x:c r="AP344" s="174"/>
      <x:c r="AQ344" s="174"/>
      <x:c r="AR344" s="174"/>
      <x:c r="AS344" s="174"/>
      <x:c r="AT344" s="174"/>
      <x:c r="AU344" s="174"/>
      <x:c r="AV344" s="174"/>
      <x:c r="AW344" s="174"/>
      <x:c r="AX344" s="174"/>
      <x:c r="AY344" s="174"/>
      <x:c r="AZ344" s="174"/>
      <x:c r="BA344" s="174"/>
      <x:c r="BB344" s="174"/>
      <x:c r="BC344" s="174"/>
      <x:c r="BD344" s="174"/>
      <x:c r="BE344" s="174"/>
      <x:c r="BF344" s="174"/>
      <x:c r="BG344" s="174"/>
      <x:c r="BH344" s="174"/>
      <x:c r="BI344" s="174"/>
      <x:c r="BJ344" s="174"/>
      <x:c r="BK344" s="174"/>
      <x:c r="BL344" s="174"/>
      <x:c r="BM344" s="174"/>
      <x:c r="BN344" s="174"/>
      <x:c r="BO344" s="174"/>
      <x:c r="BP344" s="174"/>
      <x:c r="BQ344" s="174"/>
      <x:c r="BR344" s="174"/>
      <x:c r="BS344" s="174"/>
      <x:c r="BT344" s="174"/>
      <x:c r="BU344" s="174"/>
      <x:c r="BV344" s="174"/>
      <x:c r="BW344" s="174"/>
      <x:c r="BX344" s="174"/>
      <x:c r="BY344" s="174"/>
      <x:c r="BZ344" s="174"/>
      <x:c r="CA344" s="174"/>
      <x:c r="CB344" s="174"/>
      <x:c r="CC344" s="174"/>
      <x:c r="CD344" s="174"/>
      <x:c r="CE344" s="174"/>
      <x:c r="CF344" s="174"/>
      <x:c r="CG344" s="174"/>
      <x:c r="CH344" s="174"/>
      <x:c r="CI344" s="179"/>
      <x:c r="CJ344" s="174"/>
      <x:c r="CK344" s="174"/>
      <x:c r="CL344" s="174"/>
      <x:c r="CM344" s="174"/>
      <x:c r="CN344" s="174"/>
      <x:c r="CO344" s="177"/>
      <x:c r="CP344" s="174"/>
      <x:c r="CQ344" s="174"/>
      <x:c r="CR344" s="174"/>
      <x:c r="CS344" s="174"/>
      <x:c r="CT344" s="174"/>
      <x:c r="CU344" s="176"/>
      <x:c r="CV344" s="176"/>
      <x:c r="CW344" s="176"/>
      <x:c r="CX344" s="176"/>
      <x:c r="CY344" s="176"/>
      <x:c r="CZ344" s="176"/>
      <x:c r="DA344" s="176"/>
      <x:c r="DB344" s="175" t="str">
        <x:f>IF(L344="","",IF(COUNT(CU344:DA344)&lt;7,"",SUM(CU344:DA344)))</x:f>
      </x:c>
      <x:c r="DC344" s="180" t="str">
        <x:f>IF(DB344="","",ROUND(DB344/14*10,1))</x:f>
      </x:c>
      <x:c r="DD344" s="174"/>
      <x:c r="DE344" s="175" t="str">
        <x:f>IF(L344="","",IF(DC344="","Pending",IF(DD344="Yes","CONDITIONAL — safety override",IF(DC344&gt;=8,"HIGH",IF(DC344&gt;=5,"CONDITIONAL","LOW")))))</x:f>
      </x:c>
      <x:c r="DF344" s="174"/>
      <x:c r="DG344" s="174"/>
      <x:c r="DH344" s="174"/>
      <x:c r="DI344" s="174"/>
      <x:c r="DJ344" s="174"/>
      <x:c r="DK344" s="174"/>
      <x:c r="DL344" s="174"/>
      <x:c r="DM344" s="174"/>
      <x:c r="DN344" s="174"/>
      <x:c r="DO344" s="174"/>
      <x:c r="DP344" s="174"/>
      <x:c r="DQ344" s="174"/>
      <x:c r="DR344" s="174"/>
      <x:c r="DS344" s="174"/>
      <x:c r="DT344" s="174"/>
      <x:c r="DU344" s="174"/>
      <x:c r="DV344" s="174"/>
      <x:c r="DW344" s="174"/>
      <x:c r="DX344" s="174"/>
      <x:c r="DY344" s="174"/>
      <x:c r="DZ344" s="174"/>
      <x:c r="EA344" s="174"/>
      <x:c r="EB344" s="175" t="str">
        <x:f>IF(L344="","",IF(AND(F344="Claim-ready",CJ344="Yes",CL344="Yes",DZ344&lt;&gt;""),"Yes","No / Pending"))</x:f>
      </x:c>
      <x:c r="EC344" s="174"/>
      <x:c r="ED344" s="174"/>
      <x:c r="EE344" s="174"/>
      <x:c r="EF344" s="174"/>
      <x:c r="EG344" s="174"/>
      <x:c r="EH344" s="177"/>
      <x:c r="EI344" s="174"/>
      <x:c r="EJ344" s="174"/>
      <x:c r="EK344" s="174"/>
      <x:c r="EL344" s="177"/>
      <x:c r="EM344" s="174"/>
      <x:c r="EN344" s="181" t="str">
        <x:f>IF(L344="","",(IF(N344&lt;&gt;"",1,0)+IF(O344&lt;&gt;"",1,0)+IF(AJ344&lt;&gt;"",1,0)+IF(AU344&lt;&gt;"",1,0)+IF(BE344&lt;&gt;"",1,0)+IF(CF344&lt;&gt;"",1,0)+IF(CJ344="Yes",1,0)+IF(CL344="Yes",1,0)+IF(DE344&lt;&gt;"Pending",1,0)+IF(F344&lt;&gt;"",1,0)+IF(DZ344&lt;&gt;"",1,0)+IF(EI344&lt;&gt;"",1,0))/12)</x:f>
      </x:c>
    </x:row>
    <x:row r="345">
      <x:c r="A345" s="175" t="str">
        <x:f>IF(L345="","","EV-"&amp;TEXT(ROW()-3,"0000"))</x:f>
      </x:c>
      <x:c r="B345" s="174"/>
      <x:c r="C345" s="175" t="str">
        <x:f>IF(L345="","",IF(OR(CM345="Retracted",CN345="Retracted",F345="Not used"),"🔴 Do not use for conclusion",IF(OR(R345="Official / Institutional",I345="Official / contextual"),"🔵 Official / contextual",IF(OR(I345="Definition",I345="Framework",I345="Paradigm shift"),"🟣 Conceptual key source",IF(AND(CJ345="Yes",CL345="Yes",OR(CG345="High",CG345="Moderate"),CH345&lt;&gt;"High",CH345&lt;&gt;"Critical",F345="Claim-ready"),"🟢 Claim-ready","🟡 Caution / context")))))</x:f>
      </x:c>
      <x:c r="D345" s="174"/>
      <x:c r="E345" s="174"/>
      <x:c r="F345" s="174"/>
      <x:c r="G345" s="174"/>
      <x:c r="H345" s="174"/>
      <x:c r="I345" s="174"/>
      <x:c r="J345" s="174"/>
      <x:c r="K345" s="174"/>
      <x:c r="L345" s="174"/>
      <x:c r="M345" s="174"/>
      <x:c r="N345" s="174"/>
      <x:c r="O345" s="176"/>
      <x:c r="P345" s="174"/>
      <x:c r="Q345" s="174"/>
      <x:c r="R345" s="174"/>
      <x:c r="S345" s="174"/>
      <x:c r="T345" s="174"/>
      <x:c r="U345" s="174"/>
      <x:c r="V345" s="174"/>
      <x:c r="W345" s="175" t="str">
        <x:f>IF(V345="","",LOWER(SUBSTITUTE(SUBSTITUTE(SUBSTITUTE(SUBSTITUTE(TRIM(V345),"https://doi.org/",""),"http://doi.org/",""),"https://dx.doi.org/",""),"doi:","")))</x:f>
      </x:c>
      <x:c r="X345" s="174"/>
      <x:c r="Y345" s="174"/>
      <x:c r="Z345" s="174"/>
      <x:c r="AA345" s="174"/>
      <x:c r="AB345" s="174"/>
      <x:c r="AC345" s="174"/>
      <x:c r="AD345" s="177"/>
      <x:c r="AE345" s="177"/>
      <x:c r="AF345" s="174"/>
      <x:c r="AG345" s="174"/>
      <x:c r="AH345" s="174"/>
      <x:c r="AI345" s="174"/>
      <x:c r="AJ345" s="174"/>
      <x:c r="AK345" s="175" t="str">
        <x:f>IF(AJ345="","",IF(OR(LOWER(AJ345)="brazil",LOWER(AJ345)="brasil"),"Yes","No"))</x:f>
      </x:c>
      <x:c r="AL345" s="174"/>
      <x:c r="AM345" s="174"/>
      <x:c r="AN345" s="174"/>
      <x:c r="AO345" s="178"/>
      <x:c r="AP345" s="174"/>
      <x:c r="AQ345" s="174"/>
      <x:c r="AR345" s="174"/>
      <x:c r="AS345" s="174"/>
      <x:c r="AT345" s="174"/>
      <x:c r="AU345" s="174"/>
      <x:c r="AV345" s="174"/>
      <x:c r="AW345" s="174"/>
      <x:c r="AX345" s="174"/>
      <x:c r="AY345" s="174"/>
      <x:c r="AZ345" s="174"/>
      <x:c r="BA345" s="174"/>
      <x:c r="BB345" s="174"/>
      <x:c r="BC345" s="174"/>
      <x:c r="BD345" s="174"/>
      <x:c r="BE345" s="174"/>
      <x:c r="BF345" s="174"/>
      <x:c r="BG345" s="174"/>
      <x:c r="BH345" s="174"/>
      <x:c r="BI345" s="174"/>
      <x:c r="BJ345" s="174"/>
      <x:c r="BK345" s="174"/>
      <x:c r="BL345" s="174"/>
      <x:c r="BM345" s="174"/>
      <x:c r="BN345" s="174"/>
      <x:c r="BO345" s="174"/>
      <x:c r="BP345" s="174"/>
      <x:c r="BQ345" s="174"/>
      <x:c r="BR345" s="174"/>
      <x:c r="BS345" s="174"/>
      <x:c r="BT345" s="174"/>
      <x:c r="BU345" s="174"/>
      <x:c r="BV345" s="174"/>
      <x:c r="BW345" s="174"/>
      <x:c r="BX345" s="174"/>
      <x:c r="BY345" s="174"/>
      <x:c r="BZ345" s="174"/>
      <x:c r="CA345" s="174"/>
      <x:c r="CB345" s="174"/>
      <x:c r="CC345" s="174"/>
      <x:c r="CD345" s="174"/>
      <x:c r="CE345" s="174"/>
      <x:c r="CF345" s="174"/>
      <x:c r="CG345" s="174"/>
      <x:c r="CH345" s="174"/>
      <x:c r="CI345" s="179"/>
      <x:c r="CJ345" s="174"/>
      <x:c r="CK345" s="174"/>
      <x:c r="CL345" s="174"/>
      <x:c r="CM345" s="174"/>
      <x:c r="CN345" s="174"/>
      <x:c r="CO345" s="177"/>
      <x:c r="CP345" s="174"/>
      <x:c r="CQ345" s="174"/>
      <x:c r="CR345" s="174"/>
      <x:c r="CS345" s="174"/>
      <x:c r="CT345" s="174"/>
      <x:c r="CU345" s="176"/>
      <x:c r="CV345" s="176"/>
      <x:c r="CW345" s="176"/>
      <x:c r="CX345" s="176"/>
      <x:c r="CY345" s="176"/>
      <x:c r="CZ345" s="176"/>
      <x:c r="DA345" s="176"/>
      <x:c r="DB345" s="175" t="str">
        <x:f>IF(L345="","",IF(COUNT(CU345:DA345)&lt;7,"",SUM(CU345:DA345)))</x:f>
      </x:c>
      <x:c r="DC345" s="180" t="str">
        <x:f>IF(DB345="","",ROUND(DB345/14*10,1))</x:f>
      </x:c>
      <x:c r="DD345" s="174"/>
      <x:c r="DE345" s="175" t="str">
        <x:f>IF(L345="","",IF(DC345="","Pending",IF(DD345="Yes","CONDITIONAL — safety override",IF(DC345&gt;=8,"HIGH",IF(DC345&gt;=5,"CONDITIONAL","LOW")))))</x:f>
      </x:c>
      <x:c r="DF345" s="174"/>
      <x:c r="DG345" s="174"/>
      <x:c r="DH345" s="174"/>
      <x:c r="DI345" s="174"/>
      <x:c r="DJ345" s="174"/>
      <x:c r="DK345" s="174"/>
      <x:c r="DL345" s="174"/>
      <x:c r="DM345" s="174"/>
      <x:c r="DN345" s="174"/>
      <x:c r="DO345" s="174"/>
      <x:c r="DP345" s="174"/>
      <x:c r="DQ345" s="174"/>
      <x:c r="DR345" s="174"/>
      <x:c r="DS345" s="174"/>
      <x:c r="DT345" s="174"/>
      <x:c r="DU345" s="174"/>
      <x:c r="DV345" s="174"/>
      <x:c r="DW345" s="174"/>
      <x:c r="DX345" s="174"/>
      <x:c r="DY345" s="174"/>
      <x:c r="DZ345" s="174"/>
      <x:c r="EA345" s="174"/>
      <x:c r="EB345" s="175" t="str">
        <x:f>IF(L345="","",IF(AND(F345="Claim-ready",CJ345="Yes",CL345="Yes",DZ345&lt;&gt;""),"Yes","No / Pending"))</x:f>
      </x:c>
      <x:c r="EC345" s="174"/>
      <x:c r="ED345" s="174"/>
      <x:c r="EE345" s="174"/>
      <x:c r="EF345" s="174"/>
      <x:c r="EG345" s="174"/>
      <x:c r="EH345" s="177"/>
      <x:c r="EI345" s="174"/>
      <x:c r="EJ345" s="174"/>
      <x:c r="EK345" s="174"/>
      <x:c r="EL345" s="177"/>
      <x:c r="EM345" s="174"/>
      <x:c r="EN345" s="181" t="str">
        <x:f>IF(L345="","",(IF(N345&lt;&gt;"",1,0)+IF(O345&lt;&gt;"",1,0)+IF(AJ345&lt;&gt;"",1,0)+IF(AU345&lt;&gt;"",1,0)+IF(BE345&lt;&gt;"",1,0)+IF(CF345&lt;&gt;"",1,0)+IF(CJ345="Yes",1,0)+IF(CL345="Yes",1,0)+IF(DE345&lt;&gt;"Pending",1,0)+IF(F345&lt;&gt;"",1,0)+IF(DZ345&lt;&gt;"",1,0)+IF(EI345&lt;&gt;"",1,0))/12)</x:f>
      </x:c>
    </x:row>
    <x:row r="346">
      <x:c r="A346" s="175" t="str">
        <x:f>IF(L346="","","EV-"&amp;TEXT(ROW()-3,"0000"))</x:f>
      </x:c>
      <x:c r="B346" s="174"/>
      <x:c r="C346" s="175" t="str">
        <x:f>IF(L346="","",IF(OR(CM346="Retracted",CN346="Retracted",F346="Not used"),"🔴 Do not use for conclusion",IF(OR(R346="Official / Institutional",I346="Official / contextual"),"🔵 Official / contextual",IF(OR(I346="Definition",I346="Framework",I346="Paradigm shift"),"🟣 Conceptual key source",IF(AND(CJ346="Yes",CL346="Yes",OR(CG346="High",CG346="Moderate"),CH346&lt;&gt;"High",CH346&lt;&gt;"Critical",F346="Claim-ready"),"🟢 Claim-ready","🟡 Caution / context")))))</x:f>
      </x:c>
      <x:c r="D346" s="174"/>
      <x:c r="E346" s="174"/>
      <x:c r="F346" s="174"/>
      <x:c r="G346" s="174"/>
      <x:c r="H346" s="174"/>
      <x:c r="I346" s="174"/>
      <x:c r="J346" s="174"/>
      <x:c r="K346" s="174"/>
      <x:c r="L346" s="174"/>
      <x:c r="M346" s="174"/>
      <x:c r="N346" s="174"/>
      <x:c r="O346" s="176"/>
      <x:c r="P346" s="174"/>
      <x:c r="Q346" s="174"/>
      <x:c r="R346" s="174"/>
      <x:c r="S346" s="174"/>
      <x:c r="T346" s="174"/>
      <x:c r="U346" s="174"/>
      <x:c r="V346" s="174"/>
      <x:c r="W346" s="175" t="str">
        <x:f>IF(V346="","",LOWER(SUBSTITUTE(SUBSTITUTE(SUBSTITUTE(SUBSTITUTE(TRIM(V346),"https://doi.org/",""),"http://doi.org/",""),"https://dx.doi.org/",""),"doi:","")))</x:f>
      </x:c>
      <x:c r="X346" s="174"/>
      <x:c r="Y346" s="174"/>
      <x:c r="Z346" s="174"/>
      <x:c r="AA346" s="174"/>
      <x:c r="AB346" s="174"/>
      <x:c r="AC346" s="174"/>
      <x:c r="AD346" s="177"/>
      <x:c r="AE346" s="177"/>
      <x:c r="AF346" s="174"/>
      <x:c r="AG346" s="174"/>
      <x:c r="AH346" s="174"/>
      <x:c r="AI346" s="174"/>
      <x:c r="AJ346" s="174"/>
      <x:c r="AK346" s="175" t="str">
        <x:f>IF(AJ346="","",IF(OR(LOWER(AJ346)="brazil",LOWER(AJ346)="brasil"),"Yes","No"))</x:f>
      </x:c>
      <x:c r="AL346" s="174"/>
      <x:c r="AM346" s="174"/>
      <x:c r="AN346" s="174"/>
      <x:c r="AO346" s="178"/>
      <x:c r="AP346" s="174"/>
      <x:c r="AQ346" s="174"/>
      <x:c r="AR346" s="174"/>
      <x:c r="AS346" s="174"/>
      <x:c r="AT346" s="174"/>
      <x:c r="AU346" s="174"/>
      <x:c r="AV346" s="174"/>
      <x:c r="AW346" s="174"/>
      <x:c r="AX346" s="174"/>
      <x:c r="AY346" s="174"/>
      <x:c r="AZ346" s="174"/>
      <x:c r="BA346" s="174"/>
      <x:c r="BB346" s="174"/>
      <x:c r="BC346" s="174"/>
      <x:c r="BD346" s="174"/>
      <x:c r="BE346" s="174"/>
      <x:c r="BF346" s="174"/>
      <x:c r="BG346" s="174"/>
      <x:c r="BH346" s="174"/>
      <x:c r="BI346" s="174"/>
      <x:c r="BJ346" s="174"/>
      <x:c r="BK346" s="174"/>
      <x:c r="BL346" s="174"/>
      <x:c r="BM346" s="174"/>
      <x:c r="BN346" s="174"/>
      <x:c r="BO346" s="174"/>
      <x:c r="BP346" s="174"/>
      <x:c r="BQ346" s="174"/>
      <x:c r="BR346" s="174"/>
      <x:c r="BS346" s="174"/>
      <x:c r="BT346" s="174"/>
      <x:c r="BU346" s="174"/>
      <x:c r="BV346" s="174"/>
      <x:c r="BW346" s="174"/>
      <x:c r="BX346" s="174"/>
      <x:c r="BY346" s="174"/>
      <x:c r="BZ346" s="174"/>
      <x:c r="CA346" s="174"/>
      <x:c r="CB346" s="174"/>
      <x:c r="CC346" s="174"/>
      <x:c r="CD346" s="174"/>
      <x:c r="CE346" s="174"/>
      <x:c r="CF346" s="174"/>
      <x:c r="CG346" s="174"/>
      <x:c r="CH346" s="174"/>
      <x:c r="CI346" s="179"/>
      <x:c r="CJ346" s="174"/>
      <x:c r="CK346" s="174"/>
      <x:c r="CL346" s="174"/>
      <x:c r="CM346" s="174"/>
      <x:c r="CN346" s="174"/>
      <x:c r="CO346" s="177"/>
      <x:c r="CP346" s="174"/>
      <x:c r="CQ346" s="174"/>
      <x:c r="CR346" s="174"/>
      <x:c r="CS346" s="174"/>
      <x:c r="CT346" s="174"/>
      <x:c r="CU346" s="176"/>
      <x:c r="CV346" s="176"/>
      <x:c r="CW346" s="176"/>
      <x:c r="CX346" s="176"/>
      <x:c r="CY346" s="176"/>
      <x:c r="CZ346" s="176"/>
      <x:c r="DA346" s="176"/>
      <x:c r="DB346" s="175" t="str">
        <x:f>IF(L346="","",IF(COUNT(CU346:DA346)&lt;7,"",SUM(CU346:DA346)))</x:f>
      </x:c>
      <x:c r="DC346" s="180" t="str">
        <x:f>IF(DB346="","",ROUND(DB346/14*10,1))</x:f>
      </x:c>
      <x:c r="DD346" s="174"/>
      <x:c r="DE346" s="175" t="str">
        <x:f>IF(L346="","",IF(DC346="","Pending",IF(DD346="Yes","CONDITIONAL — safety override",IF(DC346&gt;=8,"HIGH",IF(DC346&gt;=5,"CONDITIONAL","LOW")))))</x:f>
      </x:c>
      <x:c r="DF346" s="174"/>
      <x:c r="DG346" s="174"/>
      <x:c r="DH346" s="174"/>
      <x:c r="DI346" s="174"/>
      <x:c r="DJ346" s="174"/>
      <x:c r="DK346" s="174"/>
      <x:c r="DL346" s="174"/>
      <x:c r="DM346" s="174"/>
      <x:c r="DN346" s="174"/>
      <x:c r="DO346" s="174"/>
      <x:c r="DP346" s="174"/>
      <x:c r="DQ346" s="174"/>
      <x:c r="DR346" s="174"/>
      <x:c r="DS346" s="174"/>
      <x:c r="DT346" s="174"/>
      <x:c r="DU346" s="174"/>
      <x:c r="DV346" s="174"/>
      <x:c r="DW346" s="174"/>
      <x:c r="DX346" s="174"/>
      <x:c r="DY346" s="174"/>
      <x:c r="DZ346" s="174"/>
      <x:c r="EA346" s="174"/>
      <x:c r="EB346" s="175" t="str">
        <x:f>IF(L346="","",IF(AND(F346="Claim-ready",CJ346="Yes",CL346="Yes",DZ346&lt;&gt;""),"Yes","No / Pending"))</x:f>
      </x:c>
      <x:c r="EC346" s="174"/>
      <x:c r="ED346" s="174"/>
      <x:c r="EE346" s="174"/>
      <x:c r="EF346" s="174"/>
      <x:c r="EG346" s="174"/>
      <x:c r="EH346" s="177"/>
      <x:c r="EI346" s="174"/>
      <x:c r="EJ346" s="174"/>
      <x:c r="EK346" s="174"/>
      <x:c r="EL346" s="177"/>
      <x:c r="EM346" s="174"/>
      <x:c r="EN346" s="181" t="str">
        <x:f>IF(L346="","",(IF(N346&lt;&gt;"",1,0)+IF(O346&lt;&gt;"",1,0)+IF(AJ346&lt;&gt;"",1,0)+IF(AU346&lt;&gt;"",1,0)+IF(BE346&lt;&gt;"",1,0)+IF(CF346&lt;&gt;"",1,0)+IF(CJ346="Yes",1,0)+IF(CL346="Yes",1,0)+IF(DE346&lt;&gt;"Pending",1,0)+IF(F346&lt;&gt;"",1,0)+IF(DZ346&lt;&gt;"",1,0)+IF(EI346&lt;&gt;"",1,0))/12)</x:f>
      </x:c>
    </x:row>
    <x:row r="347">
      <x:c r="A347" s="175" t="str">
        <x:f>IF(L347="","","EV-"&amp;TEXT(ROW()-3,"0000"))</x:f>
      </x:c>
      <x:c r="B347" s="174"/>
      <x:c r="C347" s="175" t="str">
        <x:f>IF(L347="","",IF(OR(CM347="Retracted",CN347="Retracted",F347="Not used"),"🔴 Do not use for conclusion",IF(OR(R347="Official / Institutional",I347="Official / contextual"),"🔵 Official / contextual",IF(OR(I347="Definition",I347="Framework",I347="Paradigm shift"),"🟣 Conceptual key source",IF(AND(CJ347="Yes",CL347="Yes",OR(CG347="High",CG347="Moderate"),CH347&lt;&gt;"High",CH347&lt;&gt;"Critical",F347="Claim-ready"),"🟢 Claim-ready","🟡 Caution / context")))))</x:f>
      </x:c>
      <x:c r="D347" s="174"/>
      <x:c r="E347" s="174"/>
      <x:c r="F347" s="174"/>
      <x:c r="G347" s="174"/>
      <x:c r="H347" s="174"/>
      <x:c r="I347" s="174"/>
      <x:c r="J347" s="174"/>
      <x:c r="K347" s="174"/>
      <x:c r="L347" s="174"/>
      <x:c r="M347" s="174"/>
      <x:c r="N347" s="174"/>
      <x:c r="O347" s="176"/>
      <x:c r="P347" s="174"/>
      <x:c r="Q347" s="174"/>
      <x:c r="R347" s="174"/>
      <x:c r="S347" s="174"/>
      <x:c r="T347" s="174"/>
      <x:c r="U347" s="174"/>
      <x:c r="V347" s="174"/>
      <x:c r="W347" s="175" t="str">
        <x:f>IF(V347="","",LOWER(SUBSTITUTE(SUBSTITUTE(SUBSTITUTE(SUBSTITUTE(TRIM(V347),"https://doi.org/",""),"http://doi.org/",""),"https://dx.doi.org/",""),"doi:","")))</x:f>
      </x:c>
      <x:c r="X347" s="174"/>
      <x:c r="Y347" s="174"/>
      <x:c r="Z347" s="174"/>
      <x:c r="AA347" s="174"/>
      <x:c r="AB347" s="174"/>
      <x:c r="AC347" s="174"/>
      <x:c r="AD347" s="177"/>
      <x:c r="AE347" s="177"/>
      <x:c r="AF347" s="174"/>
      <x:c r="AG347" s="174"/>
      <x:c r="AH347" s="174"/>
      <x:c r="AI347" s="174"/>
      <x:c r="AJ347" s="174"/>
      <x:c r="AK347" s="175" t="str">
        <x:f>IF(AJ347="","",IF(OR(LOWER(AJ347)="brazil",LOWER(AJ347)="brasil"),"Yes","No"))</x:f>
      </x:c>
      <x:c r="AL347" s="174"/>
      <x:c r="AM347" s="174"/>
      <x:c r="AN347" s="174"/>
      <x:c r="AO347" s="178"/>
      <x:c r="AP347" s="174"/>
      <x:c r="AQ347" s="174"/>
      <x:c r="AR347" s="174"/>
      <x:c r="AS347" s="174"/>
      <x:c r="AT347" s="174"/>
      <x:c r="AU347" s="174"/>
      <x:c r="AV347" s="174"/>
      <x:c r="AW347" s="174"/>
      <x:c r="AX347" s="174"/>
      <x:c r="AY347" s="174"/>
      <x:c r="AZ347" s="174"/>
      <x:c r="BA347" s="174"/>
      <x:c r="BB347" s="174"/>
      <x:c r="BC347" s="174"/>
      <x:c r="BD347" s="174"/>
      <x:c r="BE347" s="174"/>
      <x:c r="BF347" s="174"/>
      <x:c r="BG347" s="174"/>
      <x:c r="BH347" s="174"/>
      <x:c r="BI347" s="174"/>
      <x:c r="BJ347" s="174"/>
      <x:c r="BK347" s="174"/>
      <x:c r="BL347" s="174"/>
      <x:c r="BM347" s="174"/>
      <x:c r="BN347" s="174"/>
      <x:c r="BO347" s="174"/>
      <x:c r="BP347" s="174"/>
      <x:c r="BQ347" s="174"/>
      <x:c r="BR347" s="174"/>
      <x:c r="BS347" s="174"/>
      <x:c r="BT347" s="174"/>
      <x:c r="BU347" s="174"/>
      <x:c r="BV347" s="174"/>
      <x:c r="BW347" s="174"/>
      <x:c r="BX347" s="174"/>
      <x:c r="BY347" s="174"/>
      <x:c r="BZ347" s="174"/>
      <x:c r="CA347" s="174"/>
      <x:c r="CB347" s="174"/>
      <x:c r="CC347" s="174"/>
      <x:c r="CD347" s="174"/>
      <x:c r="CE347" s="174"/>
      <x:c r="CF347" s="174"/>
      <x:c r="CG347" s="174"/>
      <x:c r="CH347" s="174"/>
      <x:c r="CI347" s="179"/>
      <x:c r="CJ347" s="174"/>
      <x:c r="CK347" s="174"/>
      <x:c r="CL347" s="174"/>
      <x:c r="CM347" s="174"/>
      <x:c r="CN347" s="174"/>
      <x:c r="CO347" s="177"/>
      <x:c r="CP347" s="174"/>
      <x:c r="CQ347" s="174"/>
      <x:c r="CR347" s="174"/>
      <x:c r="CS347" s="174"/>
      <x:c r="CT347" s="174"/>
      <x:c r="CU347" s="176"/>
      <x:c r="CV347" s="176"/>
      <x:c r="CW347" s="176"/>
      <x:c r="CX347" s="176"/>
      <x:c r="CY347" s="176"/>
      <x:c r="CZ347" s="176"/>
      <x:c r="DA347" s="176"/>
      <x:c r="DB347" s="175" t="str">
        <x:f>IF(L347="","",IF(COUNT(CU347:DA347)&lt;7,"",SUM(CU347:DA347)))</x:f>
      </x:c>
      <x:c r="DC347" s="180" t="str">
        <x:f>IF(DB347="","",ROUND(DB347/14*10,1))</x:f>
      </x:c>
      <x:c r="DD347" s="174"/>
      <x:c r="DE347" s="175" t="str">
        <x:f>IF(L347="","",IF(DC347="","Pending",IF(DD347="Yes","CONDITIONAL — safety override",IF(DC347&gt;=8,"HIGH",IF(DC347&gt;=5,"CONDITIONAL","LOW")))))</x:f>
      </x:c>
      <x:c r="DF347" s="174"/>
      <x:c r="DG347" s="174"/>
      <x:c r="DH347" s="174"/>
      <x:c r="DI347" s="174"/>
      <x:c r="DJ347" s="174"/>
      <x:c r="DK347" s="174"/>
      <x:c r="DL347" s="174"/>
      <x:c r="DM347" s="174"/>
      <x:c r="DN347" s="174"/>
      <x:c r="DO347" s="174"/>
      <x:c r="DP347" s="174"/>
      <x:c r="DQ347" s="174"/>
      <x:c r="DR347" s="174"/>
      <x:c r="DS347" s="174"/>
      <x:c r="DT347" s="174"/>
      <x:c r="DU347" s="174"/>
      <x:c r="DV347" s="174"/>
      <x:c r="DW347" s="174"/>
      <x:c r="DX347" s="174"/>
      <x:c r="DY347" s="174"/>
      <x:c r="DZ347" s="174"/>
      <x:c r="EA347" s="174"/>
      <x:c r="EB347" s="175" t="str">
        <x:f>IF(L347="","",IF(AND(F347="Claim-ready",CJ347="Yes",CL347="Yes",DZ347&lt;&gt;""),"Yes","No / Pending"))</x:f>
      </x:c>
      <x:c r="EC347" s="174"/>
      <x:c r="ED347" s="174"/>
      <x:c r="EE347" s="174"/>
      <x:c r="EF347" s="174"/>
      <x:c r="EG347" s="174"/>
      <x:c r="EH347" s="177"/>
      <x:c r="EI347" s="174"/>
      <x:c r="EJ347" s="174"/>
      <x:c r="EK347" s="174"/>
      <x:c r="EL347" s="177"/>
      <x:c r="EM347" s="174"/>
      <x:c r="EN347" s="181" t="str">
        <x:f>IF(L347="","",(IF(N347&lt;&gt;"",1,0)+IF(O347&lt;&gt;"",1,0)+IF(AJ347&lt;&gt;"",1,0)+IF(AU347&lt;&gt;"",1,0)+IF(BE347&lt;&gt;"",1,0)+IF(CF347&lt;&gt;"",1,0)+IF(CJ347="Yes",1,0)+IF(CL347="Yes",1,0)+IF(DE347&lt;&gt;"Pending",1,0)+IF(F347&lt;&gt;"",1,0)+IF(DZ347&lt;&gt;"",1,0)+IF(EI347&lt;&gt;"",1,0))/12)</x:f>
      </x:c>
    </x:row>
    <x:row r="348">
      <x:c r="A348" s="175" t="str">
        <x:f>IF(L348="","","EV-"&amp;TEXT(ROW()-3,"0000"))</x:f>
      </x:c>
      <x:c r="B348" s="174"/>
      <x:c r="C348" s="175" t="str">
        <x:f>IF(L348="","",IF(OR(CM348="Retracted",CN348="Retracted",F348="Not used"),"🔴 Do not use for conclusion",IF(OR(R348="Official / Institutional",I348="Official / contextual"),"🔵 Official / contextual",IF(OR(I348="Definition",I348="Framework",I348="Paradigm shift"),"🟣 Conceptual key source",IF(AND(CJ348="Yes",CL348="Yes",OR(CG348="High",CG348="Moderate"),CH348&lt;&gt;"High",CH348&lt;&gt;"Critical",F348="Claim-ready"),"🟢 Claim-ready","🟡 Caution / context")))))</x:f>
      </x:c>
      <x:c r="D348" s="174"/>
      <x:c r="E348" s="174"/>
      <x:c r="F348" s="174"/>
      <x:c r="G348" s="174"/>
      <x:c r="H348" s="174"/>
      <x:c r="I348" s="174"/>
      <x:c r="J348" s="174"/>
      <x:c r="K348" s="174"/>
      <x:c r="L348" s="174"/>
      <x:c r="M348" s="174"/>
      <x:c r="N348" s="174"/>
      <x:c r="O348" s="176"/>
      <x:c r="P348" s="174"/>
      <x:c r="Q348" s="174"/>
      <x:c r="R348" s="174"/>
      <x:c r="S348" s="174"/>
      <x:c r="T348" s="174"/>
      <x:c r="U348" s="174"/>
      <x:c r="V348" s="174"/>
      <x:c r="W348" s="175" t="str">
        <x:f>IF(V348="","",LOWER(SUBSTITUTE(SUBSTITUTE(SUBSTITUTE(SUBSTITUTE(TRIM(V348),"https://doi.org/",""),"http://doi.org/",""),"https://dx.doi.org/",""),"doi:","")))</x:f>
      </x:c>
      <x:c r="X348" s="174"/>
      <x:c r="Y348" s="174"/>
      <x:c r="Z348" s="174"/>
      <x:c r="AA348" s="174"/>
      <x:c r="AB348" s="174"/>
      <x:c r="AC348" s="174"/>
      <x:c r="AD348" s="177"/>
      <x:c r="AE348" s="177"/>
      <x:c r="AF348" s="174"/>
      <x:c r="AG348" s="174"/>
      <x:c r="AH348" s="174"/>
      <x:c r="AI348" s="174"/>
      <x:c r="AJ348" s="174"/>
      <x:c r="AK348" s="175" t="str">
        <x:f>IF(AJ348="","",IF(OR(LOWER(AJ348)="brazil",LOWER(AJ348)="brasil"),"Yes","No"))</x:f>
      </x:c>
      <x:c r="AL348" s="174"/>
      <x:c r="AM348" s="174"/>
      <x:c r="AN348" s="174"/>
      <x:c r="AO348" s="178"/>
      <x:c r="AP348" s="174"/>
      <x:c r="AQ348" s="174"/>
      <x:c r="AR348" s="174"/>
      <x:c r="AS348" s="174"/>
      <x:c r="AT348" s="174"/>
      <x:c r="AU348" s="174"/>
      <x:c r="AV348" s="174"/>
      <x:c r="AW348" s="174"/>
      <x:c r="AX348" s="174"/>
      <x:c r="AY348" s="174"/>
      <x:c r="AZ348" s="174"/>
      <x:c r="BA348" s="174"/>
      <x:c r="BB348" s="174"/>
      <x:c r="BC348" s="174"/>
      <x:c r="BD348" s="174"/>
      <x:c r="BE348" s="174"/>
      <x:c r="BF348" s="174"/>
      <x:c r="BG348" s="174"/>
      <x:c r="BH348" s="174"/>
      <x:c r="BI348" s="174"/>
      <x:c r="BJ348" s="174"/>
      <x:c r="BK348" s="174"/>
      <x:c r="BL348" s="174"/>
      <x:c r="BM348" s="174"/>
      <x:c r="BN348" s="174"/>
      <x:c r="BO348" s="174"/>
      <x:c r="BP348" s="174"/>
      <x:c r="BQ348" s="174"/>
      <x:c r="BR348" s="174"/>
      <x:c r="BS348" s="174"/>
      <x:c r="BT348" s="174"/>
      <x:c r="BU348" s="174"/>
      <x:c r="BV348" s="174"/>
      <x:c r="BW348" s="174"/>
      <x:c r="BX348" s="174"/>
      <x:c r="BY348" s="174"/>
      <x:c r="BZ348" s="174"/>
      <x:c r="CA348" s="174"/>
      <x:c r="CB348" s="174"/>
      <x:c r="CC348" s="174"/>
      <x:c r="CD348" s="174"/>
      <x:c r="CE348" s="174"/>
      <x:c r="CF348" s="174"/>
      <x:c r="CG348" s="174"/>
      <x:c r="CH348" s="174"/>
      <x:c r="CI348" s="179"/>
      <x:c r="CJ348" s="174"/>
      <x:c r="CK348" s="174"/>
      <x:c r="CL348" s="174"/>
      <x:c r="CM348" s="174"/>
      <x:c r="CN348" s="174"/>
      <x:c r="CO348" s="177"/>
      <x:c r="CP348" s="174"/>
      <x:c r="CQ348" s="174"/>
      <x:c r="CR348" s="174"/>
      <x:c r="CS348" s="174"/>
      <x:c r="CT348" s="174"/>
      <x:c r="CU348" s="176"/>
      <x:c r="CV348" s="176"/>
      <x:c r="CW348" s="176"/>
      <x:c r="CX348" s="176"/>
      <x:c r="CY348" s="176"/>
      <x:c r="CZ348" s="176"/>
      <x:c r="DA348" s="176"/>
      <x:c r="DB348" s="175" t="str">
        <x:f>IF(L348="","",IF(COUNT(CU348:DA348)&lt;7,"",SUM(CU348:DA348)))</x:f>
      </x:c>
      <x:c r="DC348" s="180" t="str">
        <x:f>IF(DB348="","",ROUND(DB348/14*10,1))</x:f>
      </x:c>
      <x:c r="DD348" s="174"/>
      <x:c r="DE348" s="175" t="str">
        <x:f>IF(L348="","",IF(DC348="","Pending",IF(DD348="Yes","CONDITIONAL — safety override",IF(DC348&gt;=8,"HIGH",IF(DC348&gt;=5,"CONDITIONAL","LOW")))))</x:f>
      </x:c>
      <x:c r="DF348" s="174"/>
      <x:c r="DG348" s="174"/>
      <x:c r="DH348" s="174"/>
      <x:c r="DI348" s="174"/>
      <x:c r="DJ348" s="174"/>
      <x:c r="DK348" s="174"/>
      <x:c r="DL348" s="174"/>
      <x:c r="DM348" s="174"/>
      <x:c r="DN348" s="174"/>
      <x:c r="DO348" s="174"/>
      <x:c r="DP348" s="174"/>
      <x:c r="DQ348" s="174"/>
      <x:c r="DR348" s="174"/>
      <x:c r="DS348" s="174"/>
      <x:c r="DT348" s="174"/>
      <x:c r="DU348" s="174"/>
      <x:c r="DV348" s="174"/>
      <x:c r="DW348" s="174"/>
      <x:c r="DX348" s="174"/>
      <x:c r="DY348" s="174"/>
      <x:c r="DZ348" s="174"/>
      <x:c r="EA348" s="174"/>
      <x:c r="EB348" s="175" t="str">
        <x:f>IF(L348="","",IF(AND(F348="Claim-ready",CJ348="Yes",CL348="Yes",DZ348&lt;&gt;""),"Yes","No / Pending"))</x:f>
      </x:c>
      <x:c r="EC348" s="174"/>
      <x:c r="ED348" s="174"/>
      <x:c r="EE348" s="174"/>
      <x:c r="EF348" s="174"/>
      <x:c r="EG348" s="174"/>
      <x:c r="EH348" s="177"/>
      <x:c r="EI348" s="174"/>
      <x:c r="EJ348" s="174"/>
      <x:c r="EK348" s="174"/>
      <x:c r="EL348" s="177"/>
      <x:c r="EM348" s="174"/>
      <x:c r="EN348" s="181" t="str">
        <x:f>IF(L348="","",(IF(N348&lt;&gt;"",1,0)+IF(O348&lt;&gt;"",1,0)+IF(AJ348&lt;&gt;"",1,0)+IF(AU348&lt;&gt;"",1,0)+IF(BE348&lt;&gt;"",1,0)+IF(CF348&lt;&gt;"",1,0)+IF(CJ348="Yes",1,0)+IF(CL348="Yes",1,0)+IF(DE348&lt;&gt;"Pending",1,0)+IF(F348&lt;&gt;"",1,0)+IF(DZ348&lt;&gt;"",1,0)+IF(EI348&lt;&gt;"",1,0))/12)</x:f>
      </x:c>
    </x:row>
    <x:row r="349">
      <x:c r="A349" s="175" t="str">
        <x:f>IF(L349="","","EV-"&amp;TEXT(ROW()-3,"0000"))</x:f>
      </x:c>
      <x:c r="B349" s="174"/>
      <x:c r="C349" s="175" t="str">
        <x:f>IF(L349="","",IF(OR(CM349="Retracted",CN349="Retracted",F349="Not used"),"🔴 Do not use for conclusion",IF(OR(R349="Official / Institutional",I349="Official / contextual"),"🔵 Official / contextual",IF(OR(I349="Definition",I349="Framework",I349="Paradigm shift"),"🟣 Conceptual key source",IF(AND(CJ349="Yes",CL349="Yes",OR(CG349="High",CG349="Moderate"),CH349&lt;&gt;"High",CH349&lt;&gt;"Critical",F349="Claim-ready"),"🟢 Claim-ready","🟡 Caution / context")))))</x:f>
      </x:c>
      <x:c r="D349" s="174"/>
      <x:c r="E349" s="174"/>
      <x:c r="F349" s="174"/>
      <x:c r="G349" s="174"/>
      <x:c r="H349" s="174"/>
      <x:c r="I349" s="174"/>
      <x:c r="J349" s="174"/>
      <x:c r="K349" s="174"/>
      <x:c r="L349" s="174"/>
      <x:c r="M349" s="174"/>
      <x:c r="N349" s="174"/>
      <x:c r="O349" s="176"/>
      <x:c r="P349" s="174"/>
      <x:c r="Q349" s="174"/>
      <x:c r="R349" s="174"/>
      <x:c r="S349" s="174"/>
      <x:c r="T349" s="174"/>
      <x:c r="U349" s="174"/>
      <x:c r="V349" s="174"/>
      <x:c r="W349" s="175" t="str">
        <x:f>IF(V349="","",LOWER(SUBSTITUTE(SUBSTITUTE(SUBSTITUTE(SUBSTITUTE(TRIM(V349),"https://doi.org/",""),"http://doi.org/",""),"https://dx.doi.org/",""),"doi:","")))</x:f>
      </x:c>
      <x:c r="X349" s="174"/>
      <x:c r="Y349" s="174"/>
      <x:c r="Z349" s="174"/>
      <x:c r="AA349" s="174"/>
      <x:c r="AB349" s="174"/>
      <x:c r="AC349" s="174"/>
      <x:c r="AD349" s="177"/>
      <x:c r="AE349" s="177"/>
      <x:c r="AF349" s="174"/>
      <x:c r="AG349" s="174"/>
      <x:c r="AH349" s="174"/>
      <x:c r="AI349" s="174"/>
      <x:c r="AJ349" s="174"/>
      <x:c r="AK349" s="175" t="str">
        <x:f>IF(AJ349="","",IF(OR(LOWER(AJ349)="brazil",LOWER(AJ349)="brasil"),"Yes","No"))</x:f>
      </x:c>
      <x:c r="AL349" s="174"/>
      <x:c r="AM349" s="174"/>
      <x:c r="AN349" s="174"/>
      <x:c r="AO349" s="178"/>
      <x:c r="AP349" s="174"/>
      <x:c r="AQ349" s="174"/>
      <x:c r="AR349" s="174"/>
      <x:c r="AS349" s="174"/>
      <x:c r="AT349" s="174"/>
      <x:c r="AU349" s="174"/>
      <x:c r="AV349" s="174"/>
      <x:c r="AW349" s="174"/>
      <x:c r="AX349" s="174"/>
      <x:c r="AY349" s="174"/>
      <x:c r="AZ349" s="174"/>
      <x:c r="BA349" s="174"/>
      <x:c r="BB349" s="174"/>
      <x:c r="BC349" s="174"/>
      <x:c r="BD349" s="174"/>
      <x:c r="BE349" s="174"/>
      <x:c r="BF349" s="174"/>
      <x:c r="BG349" s="174"/>
      <x:c r="BH349" s="174"/>
      <x:c r="BI349" s="174"/>
      <x:c r="BJ349" s="174"/>
      <x:c r="BK349" s="174"/>
      <x:c r="BL349" s="174"/>
      <x:c r="BM349" s="174"/>
      <x:c r="BN349" s="174"/>
      <x:c r="BO349" s="174"/>
      <x:c r="BP349" s="174"/>
      <x:c r="BQ349" s="174"/>
      <x:c r="BR349" s="174"/>
      <x:c r="BS349" s="174"/>
      <x:c r="BT349" s="174"/>
      <x:c r="BU349" s="174"/>
      <x:c r="BV349" s="174"/>
      <x:c r="BW349" s="174"/>
      <x:c r="BX349" s="174"/>
      <x:c r="BY349" s="174"/>
      <x:c r="BZ349" s="174"/>
      <x:c r="CA349" s="174"/>
      <x:c r="CB349" s="174"/>
      <x:c r="CC349" s="174"/>
      <x:c r="CD349" s="174"/>
      <x:c r="CE349" s="174"/>
      <x:c r="CF349" s="174"/>
      <x:c r="CG349" s="174"/>
      <x:c r="CH349" s="174"/>
      <x:c r="CI349" s="179"/>
      <x:c r="CJ349" s="174"/>
      <x:c r="CK349" s="174"/>
      <x:c r="CL349" s="174"/>
      <x:c r="CM349" s="174"/>
      <x:c r="CN349" s="174"/>
      <x:c r="CO349" s="177"/>
      <x:c r="CP349" s="174"/>
      <x:c r="CQ349" s="174"/>
      <x:c r="CR349" s="174"/>
      <x:c r="CS349" s="174"/>
      <x:c r="CT349" s="174"/>
      <x:c r="CU349" s="176"/>
      <x:c r="CV349" s="176"/>
      <x:c r="CW349" s="176"/>
      <x:c r="CX349" s="176"/>
      <x:c r="CY349" s="176"/>
      <x:c r="CZ349" s="176"/>
      <x:c r="DA349" s="176"/>
      <x:c r="DB349" s="175" t="str">
        <x:f>IF(L349="","",IF(COUNT(CU349:DA349)&lt;7,"",SUM(CU349:DA349)))</x:f>
      </x:c>
      <x:c r="DC349" s="180" t="str">
        <x:f>IF(DB349="","",ROUND(DB349/14*10,1))</x:f>
      </x:c>
      <x:c r="DD349" s="174"/>
      <x:c r="DE349" s="175" t="str">
        <x:f>IF(L349="","",IF(DC349="","Pending",IF(DD349="Yes","CONDITIONAL — safety override",IF(DC349&gt;=8,"HIGH",IF(DC349&gt;=5,"CONDITIONAL","LOW")))))</x:f>
      </x:c>
      <x:c r="DF349" s="174"/>
      <x:c r="DG349" s="174"/>
      <x:c r="DH349" s="174"/>
      <x:c r="DI349" s="174"/>
      <x:c r="DJ349" s="174"/>
      <x:c r="DK349" s="174"/>
      <x:c r="DL349" s="174"/>
      <x:c r="DM349" s="174"/>
      <x:c r="DN349" s="174"/>
      <x:c r="DO349" s="174"/>
      <x:c r="DP349" s="174"/>
      <x:c r="DQ349" s="174"/>
      <x:c r="DR349" s="174"/>
      <x:c r="DS349" s="174"/>
      <x:c r="DT349" s="174"/>
      <x:c r="DU349" s="174"/>
      <x:c r="DV349" s="174"/>
      <x:c r="DW349" s="174"/>
      <x:c r="DX349" s="174"/>
      <x:c r="DY349" s="174"/>
      <x:c r="DZ349" s="174"/>
      <x:c r="EA349" s="174"/>
      <x:c r="EB349" s="175" t="str">
        <x:f>IF(L349="","",IF(AND(F349="Claim-ready",CJ349="Yes",CL349="Yes",DZ349&lt;&gt;""),"Yes","No / Pending"))</x:f>
      </x:c>
      <x:c r="EC349" s="174"/>
      <x:c r="ED349" s="174"/>
      <x:c r="EE349" s="174"/>
      <x:c r="EF349" s="174"/>
      <x:c r="EG349" s="174"/>
      <x:c r="EH349" s="177"/>
      <x:c r="EI349" s="174"/>
      <x:c r="EJ349" s="174"/>
      <x:c r="EK349" s="174"/>
      <x:c r="EL349" s="177"/>
      <x:c r="EM349" s="174"/>
      <x:c r="EN349" s="181" t="str">
        <x:f>IF(L349="","",(IF(N349&lt;&gt;"",1,0)+IF(O349&lt;&gt;"",1,0)+IF(AJ349&lt;&gt;"",1,0)+IF(AU349&lt;&gt;"",1,0)+IF(BE349&lt;&gt;"",1,0)+IF(CF349&lt;&gt;"",1,0)+IF(CJ349="Yes",1,0)+IF(CL349="Yes",1,0)+IF(DE349&lt;&gt;"Pending",1,0)+IF(F349&lt;&gt;"",1,0)+IF(DZ349&lt;&gt;"",1,0)+IF(EI349&lt;&gt;"",1,0))/12)</x:f>
      </x:c>
    </x:row>
    <x:row r="350">
      <x:c r="A350" s="175" t="str">
        <x:f>IF(L350="","","EV-"&amp;TEXT(ROW()-3,"0000"))</x:f>
      </x:c>
      <x:c r="B350" s="174"/>
      <x:c r="C350" s="175" t="str">
        <x:f>IF(L350="","",IF(OR(CM350="Retracted",CN350="Retracted",F350="Not used"),"🔴 Do not use for conclusion",IF(OR(R350="Official / Institutional",I350="Official / contextual"),"🔵 Official / contextual",IF(OR(I350="Definition",I350="Framework",I350="Paradigm shift"),"🟣 Conceptual key source",IF(AND(CJ350="Yes",CL350="Yes",OR(CG350="High",CG350="Moderate"),CH350&lt;&gt;"High",CH350&lt;&gt;"Critical",F350="Claim-ready"),"🟢 Claim-ready","🟡 Caution / context")))))</x:f>
      </x:c>
      <x:c r="D350" s="174"/>
      <x:c r="E350" s="174"/>
      <x:c r="F350" s="174"/>
      <x:c r="G350" s="174"/>
      <x:c r="H350" s="174"/>
      <x:c r="I350" s="174"/>
      <x:c r="J350" s="174"/>
      <x:c r="K350" s="174"/>
      <x:c r="L350" s="174"/>
      <x:c r="M350" s="174"/>
      <x:c r="N350" s="174"/>
      <x:c r="O350" s="176"/>
      <x:c r="P350" s="174"/>
      <x:c r="Q350" s="174"/>
      <x:c r="R350" s="174"/>
      <x:c r="S350" s="174"/>
      <x:c r="T350" s="174"/>
      <x:c r="U350" s="174"/>
      <x:c r="V350" s="174"/>
      <x:c r="W350" s="175" t="str">
        <x:f>IF(V350="","",LOWER(SUBSTITUTE(SUBSTITUTE(SUBSTITUTE(SUBSTITUTE(TRIM(V350),"https://doi.org/",""),"http://doi.org/",""),"https://dx.doi.org/",""),"doi:","")))</x:f>
      </x:c>
      <x:c r="X350" s="174"/>
      <x:c r="Y350" s="174"/>
      <x:c r="Z350" s="174"/>
      <x:c r="AA350" s="174"/>
      <x:c r="AB350" s="174"/>
      <x:c r="AC350" s="174"/>
      <x:c r="AD350" s="177"/>
      <x:c r="AE350" s="177"/>
      <x:c r="AF350" s="174"/>
      <x:c r="AG350" s="174"/>
      <x:c r="AH350" s="174"/>
      <x:c r="AI350" s="174"/>
      <x:c r="AJ350" s="174"/>
      <x:c r="AK350" s="175" t="str">
        <x:f>IF(AJ350="","",IF(OR(LOWER(AJ350)="brazil",LOWER(AJ350)="brasil"),"Yes","No"))</x:f>
      </x:c>
      <x:c r="AL350" s="174"/>
      <x:c r="AM350" s="174"/>
      <x:c r="AN350" s="174"/>
      <x:c r="AO350" s="178"/>
      <x:c r="AP350" s="174"/>
      <x:c r="AQ350" s="174"/>
      <x:c r="AR350" s="174"/>
      <x:c r="AS350" s="174"/>
      <x:c r="AT350" s="174"/>
      <x:c r="AU350" s="174"/>
      <x:c r="AV350" s="174"/>
      <x:c r="AW350" s="174"/>
      <x:c r="AX350" s="174"/>
      <x:c r="AY350" s="174"/>
      <x:c r="AZ350" s="174"/>
      <x:c r="BA350" s="174"/>
      <x:c r="BB350" s="174"/>
      <x:c r="BC350" s="174"/>
      <x:c r="BD350" s="174"/>
      <x:c r="BE350" s="174"/>
      <x:c r="BF350" s="174"/>
      <x:c r="BG350" s="174"/>
      <x:c r="BH350" s="174"/>
      <x:c r="BI350" s="174"/>
      <x:c r="BJ350" s="174"/>
      <x:c r="BK350" s="174"/>
      <x:c r="BL350" s="174"/>
      <x:c r="BM350" s="174"/>
      <x:c r="BN350" s="174"/>
      <x:c r="BO350" s="174"/>
      <x:c r="BP350" s="174"/>
      <x:c r="BQ350" s="174"/>
      <x:c r="BR350" s="174"/>
      <x:c r="BS350" s="174"/>
      <x:c r="BT350" s="174"/>
      <x:c r="BU350" s="174"/>
      <x:c r="BV350" s="174"/>
      <x:c r="BW350" s="174"/>
      <x:c r="BX350" s="174"/>
      <x:c r="BY350" s="174"/>
      <x:c r="BZ350" s="174"/>
      <x:c r="CA350" s="174"/>
      <x:c r="CB350" s="174"/>
      <x:c r="CC350" s="174"/>
      <x:c r="CD350" s="174"/>
      <x:c r="CE350" s="174"/>
      <x:c r="CF350" s="174"/>
      <x:c r="CG350" s="174"/>
      <x:c r="CH350" s="174"/>
      <x:c r="CI350" s="179"/>
      <x:c r="CJ350" s="174"/>
      <x:c r="CK350" s="174"/>
      <x:c r="CL350" s="174"/>
      <x:c r="CM350" s="174"/>
      <x:c r="CN350" s="174"/>
      <x:c r="CO350" s="177"/>
      <x:c r="CP350" s="174"/>
      <x:c r="CQ350" s="174"/>
      <x:c r="CR350" s="174"/>
      <x:c r="CS350" s="174"/>
      <x:c r="CT350" s="174"/>
      <x:c r="CU350" s="176"/>
      <x:c r="CV350" s="176"/>
      <x:c r="CW350" s="176"/>
      <x:c r="CX350" s="176"/>
      <x:c r="CY350" s="176"/>
      <x:c r="CZ350" s="176"/>
      <x:c r="DA350" s="176"/>
      <x:c r="DB350" s="175" t="str">
        <x:f>IF(L350="","",IF(COUNT(CU350:DA350)&lt;7,"",SUM(CU350:DA350)))</x:f>
      </x:c>
      <x:c r="DC350" s="180" t="str">
        <x:f>IF(DB350="","",ROUND(DB350/14*10,1))</x:f>
      </x:c>
      <x:c r="DD350" s="174"/>
      <x:c r="DE350" s="175" t="str">
        <x:f>IF(L350="","",IF(DC350="","Pending",IF(DD350="Yes","CONDITIONAL — safety override",IF(DC350&gt;=8,"HIGH",IF(DC350&gt;=5,"CONDITIONAL","LOW")))))</x:f>
      </x:c>
      <x:c r="DF350" s="174"/>
      <x:c r="DG350" s="174"/>
      <x:c r="DH350" s="174"/>
      <x:c r="DI350" s="174"/>
      <x:c r="DJ350" s="174"/>
      <x:c r="DK350" s="174"/>
      <x:c r="DL350" s="174"/>
      <x:c r="DM350" s="174"/>
      <x:c r="DN350" s="174"/>
      <x:c r="DO350" s="174"/>
      <x:c r="DP350" s="174"/>
      <x:c r="DQ350" s="174"/>
      <x:c r="DR350" s="174"/>
      <x:c r="DS350" s="174"/>
      <x:c r="DT350" s="174"/>
      <x:c r="DU350" s="174"/>
      <x:c r="DV350" s="174"/>
      <x:c r="DW350" s="174"/>
      <x:c r="DX350" s="174"/>
      <x:c r="DY350" s="174"/>
      <x:c r="DZ350" s="174"/>
      <x:c r="EA350" s="174"/>
      <x:c r="EB350" s="175" t="str">
        <x:f>IF(L350="","",IF(AND(F350="Claim-ready",CJ350="Yes",CL350="Yes",DZ350&lt;&gt;""),"Yes","No / Pending"))</x:f>
      </x:c>
      <x:c r="EC350" s="174"/>
      <x:c r="ED350" s="174"/>
      <x:c r="EE350" s="174"/>
      <x:c r="EF350" s="174"/>
      <x:c r="EG350" s="174"/>
      <x:c r="EH350" s="177"/>
      <x:c r="EI350" s="174"/>
      <x:c r="EJ350" s="174"/>
      <x:c r="EK350" s="174"/>
      <x:c r="EL350" s="177"/>
      <x:c r="EM350" s="174"/>
      <x:c r="EN350" s="181" t="str">
        <x:f>IF(L350="","",(IF(N350&lt;&gt;"",1,0)+IF(O350&lt;&gt;"",1,0)+IF(AJ350&lt;&gt;"",1,0)+IF(AU350&lt;&gt;"",1,0)+IF(BE350&lt;&gt;"",1,0)+IF(CF350&lt;&gt;"",1,0)+IF(CJ350="Yes",1,0)+IF(CL350="Yes",1,0)+IF(DE350&lt;&gt;"Pending",1,0)+IF(F350&lt;&gt;"",1,0)+IF(DZ350&lt;&gt;"",1,0)+IF(EI350&lt;&gt;"",1,0))/12)</x:f>
      </x:c>
    </x:row>
    <x:row r="351">
      <x:c r="A351" s="175" t="str">
        <x:f>IF(L351="","","EV-"&amp;TEXT(ROW()-3,"0000"))</x:f>
      </x:c>
      <x:c r="B351" s="174"/>
      <x:c r="C351" s="175" t="str">
        <x:f>IF(L351="","",IF(OR(CM351="Retracted",CN351="Retracted",F351="Not used"),"🔴 Do not use for conclusion",IF(OR(R351="Official / Institutional",I351="Official / contextual"),"🔵 Official / contextual",IF(OR(I351="Definition",I351="Framework",I351="Paradigm shift"),"🟣 Conceptual key source",IF(AND(CJ351="Yes",CL351="Yes",OR(CG351="High",CG351="Moderate"),CH351&lt;&gt;"High",CH351&lt;&gt;"Critical",F351="Claim-ready"),"🟢 Claim-ready","🟡 Caution / context")))))</x:f>
      </x:c>
      <x:c r="D351" s="174"/>
      <x:c r="E351" s="174"/>
      <x:c r="F351" s="174"/>
      <x:c r="G351" s="174"/>
      <x:c r="H351" s="174"/>
      <x:c r="I351" s="174"/>
      <x:c r="J351" s="174"/>
      <x:c r="K351" s="174"/>
      <x:c r="L351" s="174"/>
      <x:c r="M351" s="174"/>
      <x:c r="N351" s="174"/>
      <x:c r="O351" s="176"/>
      <x:c r="P351" s="174"/>
      <x:c r="Q351" s="174"/>
      <x:c r="R351" s="174"/>
      <x:c r="S351" s="174"/>
      <x:c r="T351" s="174"/>
      <x:c r="U351" s="174"/>
      <x:c r="V351" s="174"/>
      <x:c r="W351" s="175" t="str">
        <x:f>IF(V351="","",LOWER(SUBSTITUTE(SUBSTITUTE(SUBSTITUTE(SUBSTITUTE(TRIM(V351),"https://doi.org/",""),"http://doi.org/",""),"https://dx.doi.org/",""),"doi:","")))</x:f>
      </x:c>
      <x:c r="X351" s="174"/>
      <x:c r="Y351" s="174"/>
      <x:c r="Z351" s="174"/>
      <x:c r="AA351" s="174"/>
      <x:c r="AB351" s="174"/>
      <x:c r="AC351" s="174"/>
      <x:c r="AD351" s="177"/>
      <x:c r="AE351" s="177"/>
      <x:c r="AF351" s="174"/>
      <x:c r="AG351" s="174"/>
      <x:c r="AH351" s="174"/>
      <x:c r="AI351" s="174"/>
      <x:c r="AJ351" s="174"/>
      <x:c r="AK351" s="175" t="str">
        <x:f>IF(AJ351="","",IF(OR(LOWER(AJ351)="brazil",LOWER(AJ351)="brasil"),"Yes","No"))</x:f>
      </x:c>
      <x:c r="AL351" s="174"/>
      <x:c r="AM351" s="174"/>
      <x:c r="AN351" s="174"/>
      <x:c r="AO351" s="178"/>
      <x:c r="AP351" s="174"/>
      <x:c r="AQ351" s="174"/>
      <x:c r="AR351" s="174"/>
      <x:c r="AS351" s="174"/>
      <x:c r="AT351" s="174"/>
      <x:c r="AU351" s="174"/>
      <x:c r="AV351" s="174"/>
      <x:c r="AW351" s="174"/>
      <x:c r="AX351" s="174"/>
      <x:c r="AY351" s="174"/>
      <x:c r="AZ351" s="174"/>
      <x:c r="BA351" s="174"/>
      <x:c r="BB351" s="174"/>
      <x:c r="BC351" s="174"/>
      <x:c r="BD351" s="174"/>
      <x:c r="BE351" s="174"/>
      <x:c r="BF351" s="174"/>
      <x:c r="BG351" s="174"/>
      <x:c r="BH351" s="174"/>
      <x:c r="BI351" s="174"/>
      <x:c r="BJ351" s="174"/>
      <x:c r="BK351" s="174"/>
      <x:c r="BL351" s="174"/>
      <x:c r="BM351" s="174"/>
      <x:c r="BN351" s="174"/>
      <x:c r="BO351" s="174"/>
      <x:c r="BP351" s="174"/>
      <x:c r="BQ351" s="174"/>
      <x:c r="BR351" s="174"/>
      <x:c r="BS351" s="174"/>
      <x:c r="BT351" s="174"/>
      <x:c r="BU351" s="174"/>
      <x:c r="BV351" s="174"/>
      <x:c r="BW351" s="174"/>
      <x:c r="BX351" s="174"/>
      <x:c r="BY351" s="174"/>
      <x:c r="BZ351" s="174"/>
      <x:c r="CA351" s="174"/>
      <x:c r="CB351" s="174"/>
      <x:c r="CC351" s="174"/>
      <x:c r="CD351" s="174"/>
      <x:c r="CE351" s="174"/>
      <x:c r="CF351" s="174"/>
      <x:c r="CG351" s="174"/>
      <x:c r="CH351" s="174"/>
      <x:c r="CI351" s="179"/>
      <x:c r="CJ351" s="174"/>
      <x:c r="CK351" s="174"/>
      <x:c r="CL351" s="174"/>
      <x:c r="CM351" s="174"/>
      <x:c r="CN351" s="174"/>
      <x:c r="CO351" s="177"/>
      <x:c r="CP351" s="174"/>
      <x:c r="CQ351" s="174"/>
      <x:c r="CR351" s="174"/>
      <x:c r="CS351" s="174"/>
      <x:c r="CT351" s="174"/>
      <x:c r="CU351" s="176"/>
      <x:c r="CV351" s="176"/>
      <x:c r="CW351" s="176"/>
      <x:c r="CX351" s="176"/>
      <x:c r="CY351" s="176"/>
      <x:c r="CZ351" s="176"/>
      <x:c r="DA351" s="176"/>
      <x:c r="DB351" s="175" t="str">
        <x:f>IF(L351="","",IF(COUNT(CU351:DA351)&lt;7,"",SUM(CU351:DA351)))</x:f>
      </x:c>
      <x:c r="DC351" s="180" t="str">
        <x:f>IF(DB351="","",ROUND(DB351/14*10,1))</x:f>
      </x:c>
      <x:c r="DD351" s="174"/>
      <x:c r="DE351" s="175" t="str">
        <x:f>IF(L351="","",IF(DC351="","Pending",IF(DD351="Yes","CONDITIONAL — safety override",IF(DC351&gt;=8,"HIGH",IF(DC351&gt;=5,"CONDITIONAL","LOW")))))</x:f>
      </x:c>
      <x:c r="DF351" s="174"/>
      <x:c r="DG351" s="174"/>
      <x:c r="DH351" s="174"/>
      <x:c r="DI351" s="174"/>
      <x:c r="DJ351" s="174"/>
      <x:c r="DK351" s="174"/>
      <x:c r="DL351" s="174"/>
      <x:c r="DM351" s="174"/>
      <x:c r="DN351" s="174"/>
      <x:c r="DO351" s="174"/>
      <x:c r="DP351" s="174"/>
      <x:c r="DQ351" s="174"/>
      <x:c r="DR351" s="174"/>
      <x:c r="DS351" s="174"/>
      <x:c r="DT351" s="174"/>
      <x:c r="DU351" s="174"/>
      <x:c r="DV351" s="174"/>
      <x:c r="DW351" s="174"/>
      <x:c r="DX351" s="174"/>
      <x:c r="DY351" s="174"/>
      <x:c r="DZ351" s="174"/>
      <x:c r="EA351" s="174"/>
      <x:c r="EB351" s="175" t="str">
        <x:f>IF(L351="","",IF(AND(F351="Claim-ready",CJ351="Yes",CL351="Yes",DZ351&lt;&gt;""),"Yes","No / Pending"))</x:f>
      </x:c>
      <x:c r="EC351" s="174"/>
      <x:c r="ED351" s="174"/>
      <x:c r="EE351" s="174"/>
      <x:c r="EF351" s="174"/>
      <x:c r="EG351" s="174"/>
      <x:c r="EH351" s="177"/>
      <x:c r="EI351" s="174"/>
      <x:c r="EJ351" s="174"/>
      <x:c r="EK351" s="174"/>
      <x:c r="EL351" s="177"/>
      <x:c r="EM351" s="174"/>
      <x:c r="EN351" s="181" t="str">
        <x:f>IF(L351="","",(IF(N351&lt;&gt;"",1,0)+IF(O351&lt;&gt;"",1,0)+IF(AJ351&lt;&gt;"",1,0)+IF(AU351&lt;&gt;"",1,0)+IF(BE351&lt;&gt;"",1,0)+IF(CF351&lt;&gt;"",1,0)+IF(CJ351="Yes",1,0)+IF(CL351="Yes",1,0)+IF(DE351&lt;&gt;"Pending",1,0)+IF(F351&lt;&gt;"",1,0)+IF(DZ351&lt;&gt;"",1,0)+IF(EI351&lt;&gt;"",1,0))/12)</x:f>
      </x:c>
    </x:row>
    <x:row r="352">
      <x:c r="A352" s="175" t="str">
        <x:f>IF(L352="","","EV-"&amp;TEXT(ROW()-3,"0000"))</x:f>
      </x:c>
      <x:c r="B352" s="174"/>
      <x:c r="C352" s="175" t="str">
        <x:f>IF(L352="","",IF(OR(CM352="Retracted",CN352="Retracted",F352="Not used"),"🔴 Do not use for conclusion",IF(OR(R352="Official / Institutional",I352="Official / contextual"),"🔵 Official / contextual",IF(OR(I352="Definition",I352="Framework",I352="Paradigm shift"),"🟣 Conceptual key source",IF(AND(CJ352="Yes",CL352="Yes",OR(CG352="High",CG352="Moderate"),CH352&lt;&gt;"High",CH352&lt;&gt;"Critical",F352="Claim-ready"),"🟢 Claim-ready","🟡 Caution / context")))))</x:f>
      </x:c>
      <x:c r="D352" s="174"/>
      <x:c r="E352" s="174"/>
      <x:c r="F352" s="174"/>
      <x:c r="G352" s="174"/>
      <x:c r="H352" s="174"/>
      <x:c r="I352" s="174"/>
      <x:c r="J352" s="174"/>
      <x:c r="K352" s="174"/>
      <x:c r="L352" s="174"/>
      <x:c r="M352" s="174"/>
      <x:c r="N352" s="174"/>
      <x:c r="O352" s="176"/>
      <x:c r="P352" s="174"/>
      <x:c r="Q352" s="174"/>
      <x:c r="R352" s="174"/>
      <x:c r="S352" s="174"/>
      <x:c r="T352" s="174"/>
      <x:c r="U352" s="174"/>
      <x:c r="V352" s="174"/>
      <x:c r="W352" s="175" t="str">
        <x:f>IF(V352="","",LOWER(SUBSTITUTE(SUBSTITUTE(SUBSTITUTE(SUBSTITUTE(TRIM(V352),"https://doi.org/",""),"http://doi.org/",""),"https://dx.doi.org/",""),"doi:","")))</x:f>
      </x:c>
      <x:c r="X352" s="174"/>
      <x:c r="Y352" s="174"/>
      <x:c r="Z352" s="174"/>
      <x:c r="AA352" s="174"/>
      <x:c r="AB352" s="174"/>
      <x:c r="AC352" s="174"/>
      <x:c r="AD352" s="177"/>
      <x:c r="AE352" s="177"/>
      <x:c r="AF352" s="174"/>
      <x:c r="AG352" s="174"/>
      <x:c r="AH352" s="174"/>
      <x:c r="AI352" s="174"/>
      <x:c r="AJ352" s="174"/>
      <x:c r="AK352" s="175" t="str">
        <x:f>IF(AJ352="","",IF(OR(LOWER(AJ352)="brazil",LOWER(AJ352)="brasil"),"Yes","No"))</x:f>
      </x:c>
      <x:c r="AL352" s="174"/>
      <x:c r="AM352" s="174"/>
      <x:c r="AN352" s="174"/>
      <x:c r="AO352" s="178"/>
      <x:c r="AP352" s="174"/>
      <x:c r="AQ352" s="174"/>
      <x:c r="AR352" s="174"/>
      <x:c r="AS352" s="174"/>
      <x:c r="AT352" s="174"/>
      <x:c r="AU352" s="174"/>
      <x:c r="AV352" s="174"/>
      <x:c r="AW352" s="174"/>
      <x:c r="AX352" s="174"/>
      <x:c r="AY352" s="174"/>
      <x:c r="AZ352" s="174"/>
      <x:c r="BA352" s="174"/>
      <x:c r="BB352" s="174"/>
      <x:c r="BC352" s="174"/>
      <x:c r="BD352" s="174"/>
      <x:c r="BE352" s="174"/>
      <x:c r="BF352" s="174"/>
      <x:c r="BG352" s="174"/>
      <x:c r="BH352" s="174"/>
      <x:c r="BI352" s="174"/>
      <x:c r="BJ352" s="174"/>
      <x:c r="BK352" s="174"/>
      <x:c r="BL352" s="174"/>
      <x:c r="BM352" s="174"/>
      <x:c r="BN352" s="174"/>
      <x:c r="BO352" s="174"/>
      <x:c r="BP352" s="174"/>
      <x:c r="BQ352" s="174"/>
      <x:c r="BR352" s="174"/>
      <x:c r="BS352" s="174"/>
      <x:c r="BT352" s="174"/>
      <x:c r="BU352" s="174"/>
      <x:c r="BV352" s="174"/>
      <x:c r="BW352" s="174"/>
      <x:c r="BX352" s="174"/>
      <x:c r="BY352" s="174"/>
      <x:c r="BZ352" s="174"/>
      <x:c r="CA352" s="174"/>
      <x:c r="CB352" s="174"/>
      <x:c r="CC352" s="174"/>
      <x:c r="CD352" s="174"/>
      <x:c r="CE352" s="174"/>
      <x:c r="CF352" s="174"/>
      <x:c r="CG352" s="174"/>
      <x:c r="CH352" s="174"/>
      <x:c r="CI352" s="179"/>
      <x:c r="CJ352" s="174"/>
      <x:c r="CK352" s="174"/>
      <x:c r="CL352" s="174"/>
      <x:c r="CM352" s="174"/>
      <x:c r="CN352" s="174"/>
      <x:c r="CO352" s="177"/>
      <x:c r="CP352" s="174"/>
      <x:c r="CQ352" s="174"/>
      <x:c r="CR352" s="174"/>
      <x:c r="CS352" s="174"/>
      <x:c r="CT352" s="174"/>
      <x:c r="CU352" s="176"/>
      <x:c r="CV352" s="176"/>
      <x:c r="CW352" s="176"/>
      <x:c r="CX352" s="176"/>
      <x:c r="CY352" s="176"/>
      <x:c r="CZ352" s="176"/>
      <x:c r="DA352" s="176"/>
      <x:c r="DB352" s="175" t="str">
        <x:f>IF(L352="","",IF(COUNT(CU352:DA352)&lt;7,"",SUM(CU352:DA352)))</x:f>
      </x:c>
      <x:c r="DC352" s="180" t="str">
        <x:f>IF(DB352="","",ROUND(DB352/14*10,1))</x:f>
      </x:c>
      <x:c r="DD352" s="174"/>
      <x:c r="DE352" s="175" t="str">
        <x:f>IF(L352="","",IF(DC352="","Pending",IF(DD352="Yes","CONDITIONAL — safety override",IF(DC352&gt;=8,"HIGH",IF(DC352&gt;=5,"CONDITIONAL","LOW")))))</x:f>
      </x:c>
      <x:c r="DF352" s="174"/>
      <x:c r="DG352" s="174"/>
      <x:c r="DH352" s="174"/>
      <x:c r="DI352" s="174"/>
      <x:c r="DJ352" s="174"/>
      <x:c r="DK352" s="174"/>
      <x:c r="DL352" s="174"/>
      <x:c r="DM352" s="174"/>
      <x:c r="DN352" s="174"/>
      <x:c r="DO352" s="174"/>
      <x:c r="DP352" s="174"/>
      <x:c r="DQ352" s="174"/>
      <x:c r="DR352" s="174"/>
      <x:c r="DS352" s="174"/>
      <x:c r="DT352" s="174"/>
      <x:c r="DU352" s="174"/>
      <x:c r="DV352" s="174"/>
      <x:c r="DW352" s="174"/>
      <x:c r="DX352" s="174"/>
      <x:c r="DY352" s="174"/>
      <x:c r="DZ352" s="174"/>
      <x:c r="EA352" s="174"/>
      <x:c r="EB352" s="175" t="str">
        <x:f>IF(L352="","",IF(AND(F352="Claim-ready",CJ352="Yes",CL352="Yes",DZ352&lt;&gt;""),"Yes","No / Pending"))</x:f>
      </x:c>
      <x:c r="EC352" s="174"/>
      <x:c r="ED352" s="174"/>
      <x:c r="EE352" s="174"/>
      <x:c r="EF352" s="174"/>
      <x:c r="EG352" s="174"/>
      <x:c r="EH352" s="177"/>
      <x:c r="EI352" s="174"/>
      <x:c r="EJ352" s="174"/>
      <x:c r="EK352" s="174"/>
      <x:c r="EL352" s="177"/>
      <x:c r="EM352" s="174"/>
      <x:c r="EN352" s="181" t="str">
        <x:f>IF(L352="","",(IF(N352&lt;&gt;"",1,0)+IF(O352&lt;&gt;"",1,0)+IF(AJ352&lt;&gt;"",1,0)+IF(AU352&lt;&gt;"",1,0)+IF(BE352&lt;&gt;"",1,0)+IF(CF352&lt;&gt;"",1,0)+IF(CJ352="Yes",1,0)+IF(CL352="Yes",1,0)+IF(DE352&lt;&gt;"Pending",1,0)+IF(F352&lt;&gt;"",1,0)+IF(DZ352&lt;&gt;"",1,0)+IF(EI352&lt;&gt;"",1,0))/12)</x:f>
      </x:c>
    </x:row>
    <x:row r="353">
      <x:c r="A353" s="175" t="str">
        <x:f>IF(L353="","","EV-"&amp;TEXT(ROW()-3,"0000"))</x:f>
      </x:c>
      <x:c r="B353" s="174"/>
      <x:c r="C353" s="175" t="str">
        <x:f>IF(L353="","",IF(OR(CM353="Retracted",CN353="Retracted",F353="Not used"),"🔴 Do not use for conclusion",IF(OR(R353="Official / Institutional",I353="Official / contextual"),"🔵 Official / contextual",IF(OR(I353="Definition",I353="Framework",I353="Paradigm shift"),"🟣 Conceptual key source",IF(AND(CJ353="Yes",CL353="Yes",OR(CG353="High",CG353="Moderate"),CH353&lt;&gt;"High",CH353&lt;&gt;"Critical",F353="Claim-ready"),"🟢 Claim-ready","🟡 Caution / context")))))</x:f>
      </x:c>
      <x:c r="D353" s="174"/>
      <x:c r="E353" s="174"/>
      <x:c r="F353" s="174"/>
      <x:c r="G353" s="174"/>
      <x:c r="H353" s="174"/>
      <x:c r="I353" s="174"/>
      <x:c r="J353" s="174"/>
      <x:c r="K353" s="174"/>
      <x:c r="L353" s="174"/>
      <x:c r="M353" s="174"/>
      <x:c r="N353" s="174"/>
      <x:c r="O353" s="176"/>
      <x:c r="P353" s="174"/>
      <x:c r="Q353" s="174"/>
      <x:c r="R353" s="174"/>
      <x:c r="S353" s="174"/>
      <x:c r="T353" s="174"/>
      <x:c r="U353" s="174"/>
      <x:c r="V353" s="174"/>
      <x:c r="W353" s="175" t="str">
        <x:f>IF(V353="","",LOWER(SUBSTITUTE(SUBSTITUTE(SUBSTITUTE(SUBSTITUTE(TRIM(V353),"https://doi.org/",""),"http://doi.org/",""),"https://dx.doi.org/",""),"doi:","")))</x:f>
      </x:c>
      <x:c r="X353" s="174"/>
      <x:c r="Y353" s="174"/>
      <x:c r="Z353" s="174"/>
      <x:c r="AA353" s="174"/>
      <x:c r="AB353" s="174"/>
      <x:c r="AC353" s="174"/>
      <x:c r="AD353" s="177"/>
      <x:c r="AE353" s="177"/>
      <x:c r="AF353" s="174"/>
      <x:c r="AG353" s="174"/>
      <x:c r="AH353" s="174"/>
      <x:c r="AI353" s="174"/>
      <x:c r="AJ353" s="174"/>
      <x:c r="AK353" s="175" t="str">
        <x:f>IF(AJ353="","",IF(OR(LOWER(AJ353)="brazil",LOWER(AJ353)="brasil"),"Yes","No"))</x:f>
      </x:c>
      <x:c r="AL353" s="174"/>
      <x:c r="AM353" s="174"/>
      <x:c r="AN353" s="174"/>
      <x:c r="AO353" s="178"/>
      <x:c r="AP353" s="174"/>
      <x:c r="AQ353" s="174"/>
      <x:c r="AR353" s="174"/>
      <x:c r="AS353" s="174"/>
      <x:c r="AT353" s="174"/>
      <x:c r="AU353" s="174"/>
      <x:c r="AV353" s="174"/>
      <x:c r="AW353" s="174"/>
      <x:c r="AX353" s="174"/>
      <x:c r="AY353" s="174"/>
      <x:c r="AZ353" s="174"/>
      <x:c r="BA353" s="174"/>
      <x:c r="BB353" s="174"/>
      <x:c r="BC353" s="174"/>
      <x:c r="BD353" s="174"/>
      <x:c r="BE353" s="174"/>
      <x:c r="BF353" s="174"/>
      <x:c r="BG353" s="174"/>
      <x:c r="BH353" s="174"/>
      <x:c r="BI353" s="174"/>
      <x:c r="BJ353" s="174"/>
      <x:c r="BK353" s="174"/>
      <x:c r="BL353" s="174"/>
      <x:c r="BM353" s="174"/>
      <x:c r="BN353" s="174"/>
      <x:c r="BO353" s="174"/>
      <x:c r="BP353" s="174"/>
      <x:c r="BQ353" s="174"/>
      <x:c r="BR353" s="174"/>
      <x:c r="BS353" s="174"/>
      <x:c r="BT353" s="174"/>
      <x:c r="BU353" s="174"/>
      <x:c r="BV353" s="174"/>
      <x:c r="BW353" s="174"/>
      <x:c r="BX353" s="174"/>
      <x:c r="BY353" s="174"/>
      <x:c r="BZ353" s="174"/>
      <x:c r="CA353" s="174"/>
      <x:c r="CB353" s="174"/>
      <x:c r="CC353" s="174"/>
      <x:c r="CD353" s="174"/>
      <x:c r="CE353" s="174"/>
      <x:c r="CF353" s="174"/>
      <x:c r="CG353" s="174"/>
      <x:c r="CH353" s="174"/>
      <x:c r="CI353" s="179"/>
      <x:c r="CJ353" s="174"/>
      <x:c r="CK353" s="174"/>
      <x:c r="CL353" s="174"/>
      <x:c r="CM353" s="174"/>
      <x:c r="CN353" s="174"/>
      <x:c r="CO353" s="177"/>
      <x:c r="CP353" s="174"/>
      <x:c r="CQ353" s="174"/>
      <x:c r="CR353" s="174"/>
      <x:c r="CS353" s="174"/>
      <x:c r="CT353" s="174"/>
      <x:c r="CU353" s="176"/>
      <x:c r="CV353" s="176"/>
      <x:c r="CW353" s="176"/>
      <x:c r="CX353" s="176"/>
      <x:c r="CY353" s="176"/>
      <x:c r="CZ353" s="176"/>
      <x:c r="DA353" s="176"/>
      <x:c r="DB353" s="175" t="str">
        <x:f>IF(L353="","",IF(COUNT(CU353:DA353)&lt;7,"",SUM(CU353:DA353)))</x:f>
      </x:c>
      <x:c r="DC353" s="180" t="str">
        <x:f>IF(DB353="","",ROUND(DB353/14*10,1))</x:f>
      </x:c>
      <x:c r="DD353" s="174"/>
      <x:c r="DE353" s="175" t="str">
        <x:f>IF(L353="","",IF(DC353="","Pending",IF(DD353="Yes","CONDITIONAL — safety override",IF(DC353&gt;=8,"HIGH",IF(DC353&gt;=5,"CONDITIONAL","LOW")))))</x:f>
      </x:c>
      <x:c r="DF353" s="174"/>
      <x:c r="DG353" s="174"/>
      <x:c r="DH353" s="174"/>
      <x:c r="DI353" s="174"/>
      <x:c r="DJ353" s="174"/>
      <x:c r="DK353" s="174"/>
      <x:c r="DL353" s="174"/>
      <x:c r="DM353" s="174"/>
      <x:c r="DN353" s="174"/>
      <x:c r="DO353" s="174"/>
      <x:c r="DP353" s="174"/>
      <x:c r="DQ353" s="174"/>
      <x:c r="DR353" s="174"/>
      <x:c r="DS353" s="174"/>
      <x:c r="DT353" s="174"/>
      <x:c r="DU353" s="174"/>
      <x:c r="DV353" s="174"/>
      <x:c r="DW353" s="174"/>
      <x:c r="DX353" s="174"/>
      <x:c r="DY353" s="174"/>
      <x:c r="DZ353" s="174"/>
      <x:c r="EA353" s="174"/>
      <x:c r="EB353" s="175" t="str">
        <x:f>IF(L353="","",IF(AND(F353="Claim-ready",CJ353="Yes",CL353="Yes",DZ353&lt;&gt;""),"Yes","No / Pending"))</x:f>
      </x:c>
      <x:c r="EC353" s="174"/>
      <x:c r="ED353" s="174"/>
      <x:c r="EE353" s="174"/>
      <x:c r="EF353" s="174"/>
      <x:c r="EG353" s="174"/>
      <x:c r="EH353" s="177"/>
      <x:c r="EI353" s="174"/>
      <x:c r="EJ353" s="174"/>
      <x:c r="EK353" s="174"/>
      <x:c r="EL353" s="177"/>
      <x:c r="EM353" s="174"/>
      <x:c r="EN353" s="181" t="str">
        <x:f>IF(L353="","",(IF(N353&lt;&gt;"",1,0)+IF(O353&lt;&gt;"",1,0)+IF(AJ353&lt;&gt;"",1,0)+IF(AU353&lt;&gt;"",1,0)+IF(BE353&lt;&gt;"",1,0)+IF(CF353&lt;&gt;"",1,0)+IF(CJ353="Yes",1,0)+IF(CL353="Yes",1,0)+IF(DE353&lt;&gt;"Pending",1,0)+IF(F353&lt;&gt;"",1,0)+IF(DZ353&lt;&gt;"",1,0)+IF(EI353&lt;&gt;"",1,0))/12)</x:f>
      </x:c>
    </x:row>
    <x:row r="354">
      <x:c r="A354" s="175" t="str">
        <x:f>IF(L354="","","EV-"&amp;TEXT(ROW()-3,"0000"))</x:f>
      </x:c>
      <x:c r="B354" s="174"/>
      <x:c r="C354" s="175" t="str">
        <x:f>IF(L354="","",IF(OR(CM354="Retracted",CN354="Retracted",F354="Not used"),"🔴 Do not use for conclusion",IF(OR(R354="Official / Institutional",I354="Official / contextual"),"🔵 Official / contextual",IF(OR(I354="Definition",I354="Framework",I354="Paradigm shift"),"🟣 Conceptual key source",IF(AND(CJ354="Yes",CL354="Yes",OR(CG354="High",CG354="Moderate"),CH354&lt;&gt;"High",CH354&lt;&gt;"Critical",F354="Claim-ready"),"🟢 Claim-ready","🟡 Caution / context")))))</x:f>
      </x:c>
      <x:c r="D354" s="174"/>
      <x:c r="E354" s="174"/>
      <x:c r="F354" s="174"/>
      <x:c r="G354" s="174"/>
      <x:c r="H354" s="174"/>
      <x:c r="I354" s="174"/>
      <x:c r="J354" s="174"/>
      <x:c r="K354" s="174"/>
      <x:c r="L354" s="174"/>
      <x:c r="M354" s="174"/>
      <x:c r="N354" s="174"/>
      <x:c r="O354" s="176"/>
      <x:c r="P354" s="174"/>
      <x:c r="Q354" s="174"/>
      <x:c r="R354" s="174"/>
      <x:c r="S354" s="174"/>
      <x:c r="T354" s="174"/>
      <x:c r="U354" s="174"/>
      <x:c r="V354" s="174"/>
      <x:c r="W354" s="175" t="str">
        <x:f>IF(V354="","",LOWER(SUBSTITUTE(SUBSTITUTE(SUBSTITUTE(SUBSTITUTE(TRIM(V354),"https://doi.org/",""),"http://doi.org/",""),"https://dx.doi.org/",""),"doi:","")))</x:f>
      </x:c>
      <x:c r="X354" s="174"/>
      <x:c r="Y354" s="174"/>
      <x:c r="Z354" s="174"/>
      <x:c r="AA354" s="174"/>
      <x:c r="AB354" s="174"/>
      <x:c r="AC354" s="174"/>
      <x:c r="AD354" s="177"/>
      <x:c r="AE354" s="177"/>
      <x:c r="AF354" s="174"/>
      <x:c r="AG354" s="174"/>
      <x:c r="AH354" s="174"/>
      <x:c r="AI354" s="174"/>
      <x:c r="AJ354" s="174"/>
      <x:c r="AK354" s="175" t="str">
        <x:f>IF(AJ354="","",IF(OR(LOWER(AJ354)="brazil",LOWER(AJ354)="brasil"),"Yes","No"))</x:f>
      </x:c>
      <x:c r="AL354" s="174"/>
      <x:c r="AM354" s="174"/>
      <x:c r="AN354" s="174"/>
      <x:c r="AO354" s="178"/>
      <x:c r="AP354" s="174"/>
      <x:c r="AQ354" s="174"/>
      <x:c r="AR354" s="174"/>
      <x:c r="AS354" s="174"/>
      <x:c r="AT354" s="174"/>
      <x:c r="AU354" s="174"/>
      <x:c r="AV354" s="174"/>
      <x:c r="AW354" s="174"/>
      <x:c r="AX354" s="174"/>
      <x:c r="AY354" s="174"/>
      <x:c r="AZ354" s="174"/>
      <x:c r="BA354" s="174"/>
      <x:c r="BB354" s="174"/>
      <x:c r="BC354" s="174"/>
      <x:c r="BD354" s="174"/>
      <x:c r="BE354" s="174"/>
      <x:c r="BF354" s="174"/>
      <x:c r="BG354" s="174"/>
      <x:c r="BH354" s="174"/>
      <x:c r="BI354" s="174"/>
      <x:c r="BJ354" s="174"/>
      <x:c r="BK354" s="174"/>
      <x:c r="BL354" s="174"/>
      <x:c r="BM354" s="174"/>
      <x:c r="BN354" s="174"/>
      <x:c r="BO354" s="174"/>
      <x:c r="BP354" s="174"/>
      <x:c r="BQ354" s="174"/>
      <x:c r="BR354" s="174"/>
      <x:c r="BS354" s="174"/>
      <x:c r="BT354" s="174"/>
      <x:c r="BU354" s="174"/>
      <x:c r="BV354" s="174"/>
      <x:c r="BW354" s="174"/>
      <x:c r="BX354" s="174"/>
      <x:c r="BY354" s="174"/>
      <x:c r="BZ354" s="174"/>
      <x:c r="CA354" s="174"/>
      <x:c r="CB354" s="174"/>
      <x:c r="CC354" s="174"/>
      <x:c r="CD354" s="174"/>
      <x:c r="CE354" s="174"/>
      <x:c r="CF354" s="174"/>
      <x:c r="CG354" s="174"/>
      <x:c r="CH354" s="174"/>
      <x:c r="CI354" s="179"/>
      <x:c r="CJ354" s="174"/>
      <x:c r="CK354" s="174"/>
      <x:c r="CL354" s="174"/>
      <x:c r="CM354" s="174"/>
      <x:c r="CN354" s="174"/>
      <x:c r="CO354" s="177"/>
      <x:c r="CP354" s="174"/>
      <x:c r="CQ354" s="174"/>
      <x:c r="CR354" s="174"/>
      <x:c r="CS354" s="174"/>
      <x:c r="CT354" s="174"/>
      <x:c r="CU354" s="176"/>
      <x:c r="CV354" s="176"/>
      <x:c r="CW354" s="176"/>
      <x:c r="CX354" s="176"/>
      <x:c r="CY354" s="176"/>
      <x:c r="CZ354" s="176"/>
      <x:c r="DA354" s="176"/>
      <x:c r="DB354" s="175" t="str">
        <x:f>IF(L354="","",IF(COUNT(CU354:DA354)&lt;7,"",SUM(CU354:DA354)))</x:f>
      </x:c>
      <x:c r="DC354" s="180" t="str">
        <x:f>IF(DB354="","",ROUND(DB354/14*10,1))</x:f>
      </x:c>
      <x:c r="DD354" s="174"/>
      <x:c r="DE354" s="175" t="str">
        <x:f>IF(L354="","",IF(DC354="","Pending",IF(DD354="Yes","CONDITIONAL — safety override",IF(DC354&gt;=8,"HIGH",IF(DC354&gt;=5,"CONDITIONAL","LOW")))))</x:f>
      </x:c>
      <x:c r="DF354" s="174"/>
      <x:c r="DG354" s="174"/>
      <x:c r="DH354" s="174"/>
      <x:c r="DI354" s="174"/>
      <x:c r="DJ354" s="174"/>
      <x:c r="DK354" s="174"/>
      <x:c r="DL354" s="174"/>
      <x:c r="DM354" s="174"/>
      <x:c r="DN354" s="174"/>
      <x:c r="DO354" s="174"/>
      <x:c r="DP354" s="174"/>
      <x:c r="DQ354" s="174"/>
      <x:c r="DR354" s="174"/>
      <x:c r="DS354" s="174"/>
      <x:c r="DT354" s="174"/>
      <x:c r="DU354" s="174"/>
      <x:c r="DV354" s="174"/>
      <x:c r="DW354" s="174"/>
      <x:c r="DX354" s="174"/>
      <x:c r="DY354" s="174"/>
      <x:c r="DZ354" s="174"/>
      <x:c r="EA354" s="174"/>
      <x:c r="EB354" s="175" t="str">
        <x:f>IF(L354="","",IF(AND(F354="Claim-ready",CJ354="Yes",CL354="Yes",DZ354&lt;&gt;""),"Yes","No / Pending"))</x:f>
      </x:c>
      <x:c r="EC354" s="174"/>
      <x:c r="ED354" s="174"/>
      <x:c r="EE354" s="174"/>
      <x:c r="EF354" s="174"/>
      <x:c r="EG354" s="174"/>
      <x:c r="EH354" s="177"/>
      <x:c r="EI354" s="174"/>
      <x:c r="EJ354" s="174"/>
      <x:c r="EK354" s="174"/>
      <x:c r="EL354" s="177"/>
      <x:c r="EM354" s="174"/>
      <x:c r="EN354" s="181" t="str">
        <x:f>IF(L354="","",(IF(N354&lt;&gt;"",1,0)+IF(O354&lt;&gt;"",1,0)+IF(AJ354&lt;&gt;"",1,0)+IF(AU354&lt;&gt;"",1,0)+IF(BE354&lt;&gt;"",1,0)+IF(CF354&lt;&gt;"",1,0)+IF(CJ354="Yes",1,0)+IF(CL354="Yes",1,0)+IF(DE354&lt;&gt;"Pending",1,0)+IF(F354&lt;&gt;"",1,0)+IF(DZ354&lt;&gt;"",1,0)+IF(EI354&lt;&gt;"",1,0))/12)</x:f>
      </x:c>
    </x:row>
    <x:row r="355">
      <x:c r="A355" s="175" t="str">
        <x:f>IF(L355="","","EV-"&amp;TEXT(ROW()-3,"0000"))</x:f>
      </x:c>
      <x:c r="B355" s="174"/>
      <x:c r="C355" s="175" t="str">
        <x:f>IF(L355="","",IF(OR(CM355="Retracted",CN355="Retracted",F355="Not used"),"🔴 Do not use for conclusion",IF(OR(R355="Official / Institutional",I355="Official / contextual"),"🔵 Official / contextual",IF(OR(I355="Definition",I355="Framework",I355="Paradigm shift"),"🟣 Conceptual key source",IF(AND(CJ355="Yes",CL355="Yes",OR(CG355="High",CG355="Moderate"),CH355&lt;&gt;"High",CH355&lt;&gt;"Critical",F355="Claim-ready"),"🟢 Claim-ready","🟡 Caution / context")))))</x:f>
      </x:c>
      <x:c r="D355" s="174"/>
      <x:c r="E355" s="174"/>
      <x:c r="F355" s="174"/>
      <x:c r="G355" s="174"/>
      <x:c r="H355" s="174"/>
      <x:c r="I355" s="174"/>
      <x:c r="J355" s="174"/>
      <x:c r="K355" s="174"/>
      <x:c r="L355" s="174"/>
      <x:c r="M355" s="174"/>
      <x:c r="N355" s="174"/>
      <x:c r="O355" s="176"/>
      <x:c r="P355" s="174"/>
      <x:c r="Q355" s="174"/>
      <x:c r="R355" s="174"/>
      <x:c r="S355" s="174"/>
      <x:c r="T355" s="174"/>
      <x:c r="U355" s="174"/>
      <x:c r="V355" s="174"/>
      <x:c r="W355" s="175" t="str">
        <x:f>IF(V355="","",LOWER(SUBSTITUTE(SUBSTITUTE(SUBSTITUTE(SUBSTITUTE(TRIM(V355),"https://doi.org/",""),"http://doi.org/",""),"https://dx.doi.org/",""),"doi:","")))</x:f>
      </x:c>
      <x:c r="X355" s="174"/>
      <x:c r="Y355" s="174"/>
      <x:c r="Z355" s="174"/>
      <x:c r="AA355" s="174"/>
      <x:c r="AB355" s="174"/>
      <x:c r="AC355" s="174"/>
      <x:c r="AD355" s="177"/>
      <x:c r="AE355" s="177"/>
      <x:c r="AF355" s="174"/>
      <x:c r="AG355" s="174"/>
      <x:c r="AH355" s="174"/>
      <x:c r="AI355" s="174"/>
      <x:c r="AJ355" s="174"/>
      <x:c r="AK355" s="175" t="str">
        <x:f>IF(AJ355="","",IF(OR(LOWER(AJ355)="brazil",LOWER(AJ355)="brasil"),"Yes","No"))</x:f>
      </x:c>
      <x:c r="AL355" s="174"/>
      <x:c r="AM355" s="174"/>
      <x:c r="AN355" s="174"/>
      <x:c r="AO355" s="178"/>
      <x:c r="AP355" s="174"/>
      <x:c r="AQ355" s="174"/>
      <x:c r="AR355" s="174"/>
      <x:c r="AS355" s="174"/>
      <x:c r="AT355" s="174"/>
      <x:c r="AU355" s="174"/>
      <x:c r="AV355" s="174"/>
      <x:c r="AW355" s="174"/>
      <x:c r="AX355" s="174"/>
      <x:c r="AY355" s="174"/>
      <x:c r="AZ355" s="174"/>
      <x:c r="BA355" s="174"/>
      <x:c r="BB355" s="174"/>
      <x:c r="BC355" s="174"/>
      <x:c r="BD355" s="174"/>
      <x:c r="BE355" s="174"/>
      <x:c r="BF355" s="174"/>
      <x:c r="BG355" s="174"/>
      <x:c r="BH355" s="174"/>
      <x:c r="BI355" s="174"/>
      <x:c r="BJ355" s="174"/>
      <x:c r="BK355" s="174"/>
      <x:c r="BL355" s="174"/>
      <x:c r="BM355" s="174"/>
      <x:c r="BN355" s="174"/>
      <x:c r="BO355" s="174"/>
      <x:c r="BP355" s="174"/>
      <x:c r="BQ355" s="174"/>
      <x:c r="BR355" s="174"/>
      <x:c r="BS355" s="174"/>
      <x:c r="BT355" s="174"/>
      <x:c r="BU355" s="174"/>
      <x:c r="BV355" s="174"/>
      <x:c r="BW355" s="174"/>
      <x:c r="BX355" s="174"/>
      <x:c r="BY355" s="174"/>
      <x:c r="BZ355" s="174"/>
      <x:c r="CA355" s="174"/>
      <x:c r="CB355" s="174"/>
      <x:c r="CC355" s="174"/>
      <x:c r="CD355" s="174"/>
      <x:c r="CE355" s="174"/>
      <x:c r="CF355" s="174"/>
      <x:c r="CG355" s="174"/>
      <x:c r="CH355" s="174"/>
      <x:c r="CI355" s="179"/>
      <x:c r="CJ355" s="174"/>
      <x:c r="CK355" s="174"/>
      <x:c r="CL355" s="174"/>
      <x:c r="CM355" s="174"/>
      <x:c r="CN355" s="174"/>
      <x:c r="CO355" s="177"/>
      <x:c r="CP355" s="174"/>
      <x:c r="CQ355" s="174"/>
      <x:c r="CR355" s="174"/>
      <x:c r="CS355" s="174"/>
      <x:c r="CT355" s="174"/>
      <x:c r="CU355" s="176"/>
      <x:c r="CV355" s="176"/>
      <x:c r="CW355" s="176"/>
      <x:c r="CX355" s="176"/>
      <x:c r="CY355" s="176"/>
      <x:c r="CZ355" s="176"/>
      <x:c r="DA355" s="176"/>
      <x:c r="DB355" s="175" t="str">
        <x:f>IF(L355="","",IF(COUNT(CU355:DA355)&lt;7,"",SUM(CU355:DA355)))</x:f>
      </x:c>
      <x:c r="DC355" s="180" t="str">
        <x:f>IF(DB355="","",ROUND(DB355/14*10,1))</x:f>
      </x:c>
      <x:c r="DD355" s="174"/>
      <x:c r="DE355" s="175" t="str">
        <x:f>IF(L355="","",IF(DC355="","Pending",IF(DD355="Yes","CONDITIONAL — safety override",IF(DC355&gt;=8,"HIGH",IF(DC355&gt;=5,"CONDITIONAL","LOW")))))</x:f>
      </x:c>
      <x:c r="DF355" s="174"/>
      <x:c r="DG355" s="174"/>
      <x:c r="DH355" s="174"/>
      <x:c r="DI355" s="174"/>
      <x:c r="DJ355" s="174"/>
      <x:c r="DK355" s="174"/>
      <x:c r="DL355" s="174"/>
      <x:c r="DM355" s="174"/>
      <x:c r="DN355" s="174"/>
      <x:c r="DO355" s="174"/>
      <x:c r="DP355" s="174"/>
      <x:c r="DQ355" s="174"/>
      <x:c r="DR355" s="174"/>
      <x:c r="DS355" s="174"/>
      <x:c r="DT355" s="174"/>
      <x:c r="DU355" s="174"/>
      <x:c r="DV355" s="174"/>
      <x:c r="DW355" s="174"/>
      <x:c r="DX355" s="174"/>
      <x:c r="DY355" s="174"/>
      <x:c r="DZ355" s="174"/>
      <x:c r="EA355" s="174"/>
      <x:c r="EB355" s="175" t="str">
        <x:f>IF(L355="","",IF(AND(F355="Claim-ready",CJ355="Yes",CL355="Yes",DZ355&lt;&gt;""),"Yes","No / Pending"))</x:f>
      </x:c>
      <x:c r="EC355" s="174"/>
      <x:c r="ED355" s="174"/>
      <x:c r="EE355" s="174"/>
      <x:c r="EF355" s="174"/>
      <x:c r="EG355" s="174"/>
      <x:c r="EH355" s="177"/>
      <x:c r="EI355" s="174"/>
      <x:c r="EJ355" s="174"/>
      <x:c r="EK355" s="174"/>
      <x:c r="EL355" s="177"/>
      <x:c r="EM355" s="174"/>
      <x:c r="EN355" s="181" t="str">
        <x:f>IF(L355="","",(IF(N355&lt;&gt;"",1,0)+IF(O355&lt;&gt;"",1,0)+IF(AJ355&lt;&gt;"",1,0)+IF(AU355&lt;&gt;"",1,0)+IF(BE355&lt;&gt;"",1,0)+IF(CF355&lt;&gt;"",1,0)+IF(CJ355="Yes",1,0)+IF(CL355="Yes",1,0)+IF(DE355&lt;&gt;"Pending",1,0)+IF(F355&lt;&gt;"",1,0)+IF(DZ355&lt;&gt;"",1,0)+IF(EI355&lt;&gt;"",1,0))/12)</x:f>
      </x:c>
    </x:row>
    <x:row r="356">
      <x:c r="A356" s="175" t="str">
        <x:f>IF(L356="","","EV-"&amp;TEXT(ROW()-3,"0000"))</x:f>
      </x:c>
      <x:c r="B356" s="174"/>
      <x:c r="C356" s="175" t="str">
        <x:f>IF(L356="","",IF(OR(CM356="Retracted",CN356="Retracted",F356="Not used"),"🔴 Do not use for conclusion",IF(OR(R356="Official / Institutional",I356="Official / contextual"),"🔵 Official / contextual",IF(OR(I356="Definition",I356="Framework",I356="Paradigm shift"),"🟣 Conceptual key source",IF(AND(CJ356="Yes",CL356="Yes",OR(CG356="High",CG356="Moderate"),CH356&lt;&gt;"High",CH356&lt;&gt;"Critical",F356="Claim-ready"),"🟢 Claim-ready","🟡 Caution / context")))))</x:f>
      </x:c>
      <x:c r="D356" s="174"/>
      <x:c r="E356" s="174"/>
      <x:c r="F356" s="174"/>
      <x:c r="G356" s="174"/>
      <x:c r="H356" s="174"/>
      <x:c r="I356" s="174"/>
      <x:c r="J356" s="174"/>
      <x:c r="K356" s="174"/>
      <x:c r="L356" s="174"/>
      <x:c r="M356" s="174"/>
      <x:c r="N356" s="174"/>
      <x:c r="O356" s="176"/>
      <x:c r="P356" s="174"/>
      <x:c r="Q356" s="174"/>
      <x:c r="R356" s="174"/>
      <x:c r="S356" s="174"/>
      <x:c r="T356" s="174"/>
      <x:c r="U356" s="174"/>
      <x:c r="V356" s="174"/>
      <x:c r="W356" s="175" t="str">
        <x:f>IF(V356="","",LOWER(SUBSTITUTE(SUBSTITUTE(SUBSTITUTE(SUBSTITUTE(TRIM(V356),"https://doi.org/",""),"http://doi.org/",""),"https://dx.doi.org/",""),"doi:","")))</x:f>
      </x:c>
      <x:c r="X356" s="174"/>
      <x:c r="Y356" s="174"/>
      <x:c r="Z356" s="174"/>
      <x:c r="AA356" s="174"/>
      <x:c r="AB356" s="174"/>
      <x:c r="AC356" s="174"/>
      <x:c r="AD356" s="177"/>
      <x:c r="AE356" s="177"/>
      <x:c r="AF356" s="174"/>
      <x:c r="AG356" s="174"/>
      <x:c r="AH356" s="174"/>
      <x:c r="AI356" s="174"/>
      <x:c r="AJ356" s="174"/>
      <x:c r="AK356" s="175" t="str">
        <x:f>IF(AJ356="","",IF(OR(LOWER(AJ356)="brazil",LOWER(AJ356)="brasil"),"Yes","No"))</x:f>
      </x:c>
      <x:c r="AL356" s="174"/>
      <x:c r="AM356" s="174"/>
      <x:c r="AN356" s="174"/>
      <x:c r="AO356" s="178"/>
      <x:c r="AP356" s="174"/>
      <x:c r="AQ356" s="174"/>
      <x:c r="AR356" s="174"/>
      <x:c r="AS356" s="174"/>
      <x:c r="AT356" s="174"/>
      <x:c r="AU356" s="174"/>
      <x:c r="AV356" s="174"/>
      <x:c r="AW356" s="174"/>
      <x:c r="AX356" s="174"/>
      <x:c r="AY356" s="174"/>
      <x:c r="AZ356" s="174"/>
      <x:c r="BA356" s="174"/>
      <x:c r="BB356" s="174"/>
      <x:c r="BC356" s="174"/>
      <x:c r="BD356" s="174"/>
      <x:c r="BE356" s="174"/>
      <x:c r="BF356" s="174"/>
      <x:c r="BG356" s="174"/>
      <x:c r="BH356" s="174"/>
      <x:c r="BI356" s="174"/>
      <x:c r="BJ356" s="174"/>
      <x:c r="BK356" s="174"/>
      <x:c r="BL356" s="174"/>
      <x:c r="BM356" s="174"/>
      <x:c r="BN356" s="174"/>
      <x:c r="BO356" s="174"/>
      <x:c r="BP356" s="174"/>
      <x:c r="BQ356" s="174"/>
      <x:c r="BR356" s="174"/>
      <x:c r="BS356" s="174"/>
      <x:c r="BT356" s="174"/>
      <x:c r="BU356" s="174"/>
      <x:c r="BV356" s="174"/>
      <x:c r="BW356" s="174"/>
      <x:c r="BX356" s="174"/>
      <x:c r="BY356" s="174"/>
      <x:c r="BZ356" s="174"/>
      <x:c r="CA356" s="174"/>
      <x:c r="CB356" s="174"/>
      <x:c r="CC356" s="174"/>
      <x:c r="CD356" s="174"/>
      <x:c r="CE356" s="174"/>
      <x:c r="CF356" s="174"/>
      <x:c r="CG356" s="174"/>
      <x:c r="CH356" s="174"/>
      <x:c r="CI356" s="179"/>
      <x:c r="CJ356" s="174"/>
      <x:c r="CK356" s="174"/>
      <x:c r="CL356" s="174"/>
      <x:c r="CM356" s="174"/>
      <x:c r="CN356" s="174"/>
      <x:c r="CO356" s="177"/>
      <x:c r="CP356" s="174"/>
      <x:c r="CQ356" s="174"/>
      <x:c r="CR356" s="174"/>
      <x:c r="CS356" s="174"/>
      <x:c r="CT356" s="174"/>
      <x:c r="CU356" s="176"/>
      <x:c r="CV356" s="176"/>
      <x:c r="CW356" s="176"/>
      <x:c r="CX356" s="176"/>
      <x:c r="CY356" s="176"/>
      <x:c r="CZ356" s="176"/>
      <x:c r="DA356" s="176"/>
      <x:c r="DB356" s="175" t="str">
        <x:f>IF(L356="","",IF(COUNT(CU356:DA356)&lt;7,"",SUM(CU356:DA356)))</x:f>
      </x:c>
      <x:c r="DC356" s="180" t="str">
        <x:f>IF(DB356="","",ROUND(DB356/14*10,1))</x:f>
      </x:c>
      <x:c r="DD356" s="174"/>
      <x:c r="DE356" s="175" t="str">
        <x:f>IF(L356="","",IF(DC356="","Pending",IF(DD356="Yes","CONDITIONAL — safety override",IF(DC356&gt;=8,"HIGH",IF(DC356&gt;=5,"CONDITIONAL","LOW")))))</x:f>
      </x:c>
      <x:c r="DF356" s="174"/>
      <x:c r="DG356" s="174"/>
      <x:c r="DH356" s="174"/>
      <x:c r="DI356" s="174"/>
      <x:c r="DJ356" s="174"/>
      <x:c r="DK356" s="174"/>
      <x:c r="DL356" s="174"/>
      <x:c r="DM356" s="174"/>
      <x:c r="DN356" s="174"/>
      <x:c r="DO356" s="174"/>
      <x:c r="DP356" s="174"/>
      <x:c r="DQ356" s="174"/>
      <x:c r="DR356" s="174"/>
      <x:c r="DS356" s="174"/>
      <x:c r="DT356" s="174"/>
      <x:c r="DU356" s="174"/>
      <x:c r="DV356" s="174"/>
      <x:c r="DW356" s="174"/>
      <x:c r="DX356" s="174"/>
      <x:c r="DY356" s="174"/>
      <x:c r="DZ356" s="174"/>
      <x:c r="EA356" s="174"/>
      <x:c r="EB356" s="175" t="str">
        <x:f>IF(L356="","",IF(AND(F356="Claim-ready",CJ356="Yes",CL356="Yes",DZ356&lt;&gt;""),"Yes","No / Pending"))</x:f>
      </x:c>
      <x:c r="EC356" s="174"/>
      <x:c r="ED356" s="174"/>
      <x:c r="EE356" s="174"/>
      <x:c r="EF356" s="174"/>
      <x:c r="EG356" s="174"/>
      <x:c r="EH356" s="177"/>
      <x:c r="EI356" s="174"/>
      <x:c r="EJ356" s="174"/>
      <x:c r="EK356" s="174"/>
      <x:c r="EL356" s="177"/>
      <x:c r="EM356" s="174"/>
      <x:c r="EN356" s="181" t="str">
        <x:f>IF(L356="","",(IF(N356&lt;&gt;"",1,0)+IF(O356&lt;&gt;"",1,0)+IF(AJ356&lt;&gt;"",1,0)+IF(AU356&lt;&gt;"",1,0)+IF(BE356&lt;&gt;"",1,0)+IF(CF356&lt;&gt;"",1,0)+IF(CJ356="Yes",1,0)+IF(CL356="Yes",1,0)+IF(DE356&lt;&gt;"Pending",1,0)+IF(F356&lt;&gt;"",1,0)+IF(DZ356&lt;&gt;"",1,0)+IF(EI356&lt;&gt;"",1,0))/12)</x:f>
      </x:c>
    </x:row>
    <x:row r="357">
      <x:c r="A357" s="175" t="str">
        <x:f>IF(L357="","","EV-"&amp;TEXT(ROW()-3,"0000"))</x:f>
      </x:c>
      <x:c r="B357" s="174"/>
      <x:c r="C357" s="175" t="str">
        <x:f>IF(L357="","",IF(OR(CM357="Retracted",CN357="Retracted",F357="Not used"),"🔴 Do not use for conclusion",IF(OR(R357="Official / Institutional",I357="Official / contextual"),"🔵 Official / contextual",IF(OR(I357="Definition",I357="Framework",I357="Paradigm shift"),"🟣 Conceptual key source",IF(AND(CJ357="Yes",CL357="Yes",OR(CG357="High",CG357="Moderate"),CH357&lt;&gt;"High",CH357&lt;&gt;"Critical",F357="Claim-ready"),"🟢 Claim-ready","🟡 Caution / context")))))</x:f>
      </x:c>
      <x:c r="D357" s="174"/>
      <x:c r="E357" s="174"/>
      <x:c r="F357" s="174"/>
      <x:c r="G357" s="174"/>
      <x:c r="H357" s="174"/>
      <x:c r="I357" s="174"/>
      <x:c r="J357" s="174"/>
      <x:c r="K357" s="174"/>
      <x:c r="L357" s="174"/>
      <x:c r="M357" s="174"/>
      <x:c r="N357" s="174"/>
      <x:c r="O357" s="176"/>
      <x:c r="P357" s="174"/>
      <x:c r="Q357" s="174"/>
      <x:c r="R357" s="174"/>
      <x:c r="S357" s="174"/>
      <x:c r="T357" s="174"/>
      <x:c r="U357" s="174"/>
      <x:c r="V357" s="174"/>
      <x:c r="W357" s="175" t="str">
        <x:f>IF(V357="","",LOWER(SUBSTITUTE(SUBSTITUTE(SUBSTITUTE(SUBSTITUTE(TRIM(V357),"https://doi.org/",""),"http://doi.org/",""),"https://dx.doi.org/",""),"doi:","")))</x:f>
      </x:c>
      <x:c r="X357" s="174"/>
      <x:c r="Y357" s="174"/>
      <x:c r="Z357" s="174"/>
      <x:c r="AA357" s="174"/>
      <x:c r="AB357" s="174"/>
      <x:c r="AC357" s="174"/>
      <x:c r="AD357" s="177"/>
      <x:c r="AE357" s="177"/>
      <x:c r="AF357" s="174"/>
      <x:c r="AG357" s="174"/>
      <x:c r="AH357" s="174"/>
      <x:c r="AI357" s="174"/>
      <x:c r="AJ357" s="174"/>
      <x:c r="AK357" s="175" t="str">
        <x:f>IF(AJ357="","",IF(OR(LOWER(AJ357)="brazil",LOWER(AJ357)="brasil"),"Yes","No"))</x:f>
      </x:c>
      <x:c r="AL357" s="174"/>
      <x:c r="AM357" s="174"/>
      <x:c r="AN357" s="174"/>
      <x:c r="AO357" s="178"/>
      <x:c r="AP357" s="174"/>
      <x:c r="AQ357" s="174"/>
      <x:c r="AR357" s="174"/>
      <x:c r="AS357" s="174"/>
      <x:c r="AT357" s="174"/>
      <x:c r="AU357" s="174"/>
      <x:c r="AV357" s="174"/>
      <x:c r="AW357" s="174"/>
      <x:c r="AX357" s="174"/>
      <x:c r="AY357" s="174"/>
      <x:c r="AZ357" s="174"/>
      <x:c r="BA357" s="174"/>
      <x:c r="BB357" s="174"/>
      <x:c r="BC357" s="174"/>
      <x:c r="BD357" s="174"/>
      <x:c r="BE357" s="174"/>
      <x:c r="BF357" s="174"/>
      <x:c r="BG357" s="174"/>
      <x:c r="BH357" s="174"/>
      <x:c r="BI357" s="174"/>
      <x:c r="BJ357" s="174"/>
      <x:c r="BK357" s="174"/>
      <x:c r="BL357" s="174"/>
      <x:c r="BM357" s="174"/>
      <x:c r="BN357" s="174"/>
      <x:c r="BO357" s="174"/>
      <x:c r="BP357" s="174"/>
      <x:c r="BQ357" s="174"/>
      <x:c r="BR357" s="174"/>
      <x:c r="BS357" s="174"/>
      <x:c r="BT357" s="174"/>
      <x:c r="BU357" s="174"/>
      <x:c r="BV357" s="174"/>
      <x:c r="BW357" s="174"/>
      <x:c r="BX357" s="174"/>
      <x:c r="BY357" s="174"/>
      <x:c r="BZ357" s="174"/>
      <x:c r="CA357" s="174"/>
      <x:c r="CB357" s="174"/>
      <x:c r="CC357" s="174"/>
      <x:c r="CD357" s="174"/>
      <x:c r="CE357" s="174"/>
      <x:c r="CF357" s="174"/>
      <x:c r="CG357" s="174"/>
      <x:c r="CH357" s="174"/>
      <x:c r="CI357" s="179"/>
      <x:c r="CJ357" s="174"/>
      <x:c r="CK357" s="174"/>
      <x:c r="CL357" s="174"/>
      <x:c r="CM357" s="174"/>
      <x:c r="CN357" s="174"/>
      <x:c r="CO357" s="177"/>
      <x:c r="CP357" s="174"/>
      <x:c r="CQ357" s="174"/>
      <x:c r="CR357" s="174"/>
      <x:c r="CS357" s="174"/>
      <x:c r="CT357" s="174"/>
      <x:c r="CU357" s="176"/>
      <x:c r="CV357" s="176"/>
      <x:c r="CW357" s="176"/>
      <x:c r="CX357" s="176"/>
      <x:c r="CY357" s="176"/>
      <x:c r="CZ357" s="176"/>
      <x:c r="DA357" s="176"/>
      <x:c r="DB357" s="175" t="str">
        <x:f>IF(L357="","",IF(COUNT(CU357:DA357)&lt;7,"",SUM(CU357:DA357)))</x:f>
      </x:c>
      <x:c r="DC357" s="180" t="str">
        <x:f>IF(DB357="","",ROUND(DB357/14*10,1))</x:f>
      </x:c>
      <x:c r="DD357" s="174"/>
      <x:c r="DE357" s="175" t="str">
        <x:f>IF(L357="","",IF(DC357="","Pending",IF(DD357="Yes","CONDITIONAL — safety override",IF(DC357&gt;=8,"HIGH",IF(DC357&gt;=5,"CONDITIONAL","LOW")))))</x:f>
      </x:c>
      <x:c r="DF357" s="174"/>
      <x:c r="DG357" s="174"/>
      <x:c r="DH357" s="174"/>
      <x:c r="DI357" s="174"/>
      <x:c r="DJ357" s="174"/>
      <x:c r="DK357" s="174"/>
      <x:c r="DL357" s="174"/>
      <x:c r="DM357" s="174"/>
      <x:c r="DN357" s="174"/>
      <x:c r="DO357" s="174"/>
      <x:c r="DP357" s="174"/>
      <x:c r="DQ357" s="174"/>
      <x:c r="DR357" s="174"/>
      <x:c r="DS357" s="174"/>
      <x:c r="DT357" s="174"/>
      <x:c r="DU357" s="174"/>
      <x:c r="DV357" s="174"/>
      <x:c r="DW357" s="174"/>
      <x:c r="DX357" s="174"/>
      <x:c r="DY357" s="174"/>
      <x:c r="DZ357" s="174"/>
      <x:c r="EA357" s="174"/>
      <x:c r="EB357" s="175" t="str">
        <x:f>IF(L357="","",IF(AND(F357="Claim-ready",CJ357="Yes",CL357="Yes",DZ357&lt;&gt;""),"Yes","No / Pending"))</x:f>
      </x:c>
      <x:c r="EC357" s="174"/>
      <x:c r="ED357" s="174"/>
      <x:c r="EE357" s="174"/>
      <x:c r="EF357" s="174"/>
      <x:c r="EG357" s="174"/>
      <x:c r="EH357" s="177"/>
      <x:c r="EI357" s="174"/>
      <x:c r="EJ357" s="174"/>
      <x:c r="EK357" s="174"/>
      <x:c r="EL357" s="177"/>
      <x:c r="EM357" s="174"/>
      <x:c r="EN357" s="181" t="str">
        <x:f>IF(L357="","",(IF(N357&lt;&gt;"",1,0)+IF(O357&lt;&gt;"",1,0)+IF(AJ357&lt;&gt;"",1,0)+IF(AU357&lt;&gt;"",1,0)+IF(BE357&lt;&gt;"",1,0)+IF(CF357&lt;&gt;"",1,0)+IF(CJ357="Yes",1,0)+IF(CL357="Yes",1,0)+IF(DE357&lt;&gt;"Pending",1,0)+IF(F357&lt;&gt;"",1,0)+IF(DZ357&lt;&gt;"",1,0)+IF(EI357&lt;&gt;"",1,0))/12)</x:f>
      </x:c>
    </x:row>
    <x:row r="358">
      <x:c r="A358" s="175" t="str">
        <x:f>IF(L358="","","EV-"&amp;TEXT(ROW()-3,"0000"))</x:f>
      </x:c>
      <x:c r="B358" s="174"/>
      <x:c r="C358" s="175" t="str">
        <x:f>IF(L358="","",IF(OR(CM358="Retracted",CN358="Retracted",F358="Not used"),"🔴 Do not use for conclusion",IF(OR(R358="Official / Institutional",I358="Official / contextual"),"🔵 Official / contextual",IF(OR(I358="Definition",I358="Framework",I358="Paradigm shift"),"🟣 Conceptual key source",IF(AND(CJ358="Yes",CL358="Yes",OR(CG358="High",CG358="Moderate"),CH358&lt;&gt;"High",CH358&lt;&gt;"Critical",F358="Claim-ready"),"🟢 Claim-ready","🟡 Caution / context")))))</x:f>
      </x:c>
      <x:c r="D358" s="174"/>
      <x:c r="E358" s="174"/>
      <x:c r="F358" s="174"/>
      <x:c r="G358" s="174"/>
      <x:c r="H358" s="174"/>
      <x:c r="I358" s="174"/>
      <x:c r="J358" s="174"/>
      <x:c r="K358" s="174"/>
      <x:c r="L358" s="174"/>
      <x:c r="M358" s="174"/>
      <x:c r="N358" s="174"/>
      <x:c r="O358" s="176"/>
      <x:c r="P358" s="174"/>
      <x:c r="Q358" s="174"/>
      <x:c r="R358" s="174"/>
      <x:c r="S358" s="174"/>
      <x:c r="T358" s="174"/>
      <x:c r="U358" s="174"/>
      <x:c r="V358" s="174"/>
      <x:c r="W358" s="175" t="str">
        <x:f>IF(V358="","",LOWER(SUBSTITUTE(SUBSTITUTE(SUBSTITUTE(SUBSTITUTE(TRIM(V358),"https://doi.org/",""),"http://doi.org/",""),"https://dx.doi.org/",""),"doi:","")))</x:f>
      </x:c>
      <x:c r="X358" s="174"/>
      <x:c r="Y358" s="174"/>
      <x:c r="Z358" s="174"/>
      <x:c r="AA358" s="174"/>
      <x:c r="AB358" s="174"/>
      <x:c r="AC358" s="174"/>
      <x:c r="AD358" s="177"/>
      <x:c r="AE358" s="177"/>
      <x:c r="AF358" s="174"/>
      <x:c r="AG358" s="174"/>
      <x:c r="AH358" s="174"/>
      <x:c r="AI358" s="174"/>
      <x:c r="AJ358" s="174"/>
      <x:c r="AK358" s="175" t="str">
        <x:f>IF(AJ358="","",IF(OR(LOWER(AJ358)="brazil",LOWER(AJ358)="brasil"),"Yes","No"))</x:f>
      </x:c>
      <x:c r="AL358" s="174"/>
      <x:c r="AM358" s="174"/>
      <x:c r="AN358" s="174"/>
      <x:c r="AO358" s="178"/>
      <x:c r="AP358" s="174"/>
      <x:c r="AQ358" s="174"/>
      <x:c r="AR358" s="174"/>
      <x:c r="AS358" s="174"/>
      <x:c r="AT358" s="174"/>
      <x:c r="AU358" s="174"/>
      <x:c r="AV358" s="174"/>
      <x:c r="AW358" s="174"/>
      <x:c r="AX358" s="174"/>
      <x:c r="AY358" s="174"/>
      <x:c r="AZ358" s="174"/>
      <x:c r="BA358" s="174"/>
      <x:c r="BB358" s="174"/>
      <x:c r="BC358" s="174"/>
      <x:c r="BD358" s="174"/>
      <x:c r="BE358" s="174"/>
      <x:c r="BF358" s="174"/>
      <x:c r="BG358" s="174"/>
      <x:c r="BH358" s="174"/>
      <x:c r="BI358" s="174"/>
      <x:c r="BJ358" s="174"/>
      <x:c r="BK358" s="174"/>
      <x:c r="BL358" s="174"/>
      <x:c r="BM358" s="174"/>
      <x:c r="BN358" s="174"/>
      <x:c r="BO358" s="174"/>
      <x:c r="BP358" s="174"/>
      <x:c r="BQ358" s="174"/>
      <x:c r="BR358" s="174"/>
      <x:c r="BS358" s="174"/>
      <x:c r="BT358" s="174"/>
      <x:c r="BU358" s="174"/>
      <x:c r="BV358" s="174"/>
      <x:c r="BW358" s="174"/>
      <x:c r="BX358" s="174"/>
      <x:c r="BY358" s="174"/>
      <x:c r="BZ358" s="174"/>
      <x:c r="CA358" s="174"/>
      <x:c r="CB358" s="174"/>
      <x:c r="CC358" s="174"/>
      <x:c r="CD358" s="174"/>
      <x:c r="CE358" s="174"/>
      <x:c r="CF358" s="174"/>
      <x:c r="CG358" s="174"/>
      <x:c r="CH358" s="174"/>
      <x:c r="CI358" s="179"/>
      <x:c r="CJ358" s="174"/>
      <x:c r="CK358" s="174"/>
      <x:c r="CL358" s="174"/>
      <x:c r="CM358" s="174"/>
      <x:c r="CN358" s="174"/>
      <x:c r="CO358" s="177"/>
      <x:c r="CP358" s="174"/>
      <x:c r="CQ358" s="174"/>
      <x:c r="CR358" s="174"/>
      <x:c r="CS358" s="174"/>
      <x:c r="CT358" s="174"/>
      <x:c r="CU358" s="176"/>
      <x:c r="CV358" s="176"/>
      <x:c r="CW358" s="176"/>
      <x:c r="CX358" s="176"/>
      <x:c r="CY358" s="176"/>
      <x:c r="CZ358" s="176"/>
      <x:c r="DA358" s="176"/>
      <x:c r="DB358" s="175" t="str">
        <x:f>IF(L358="","",IF(COUNT(CU358:DA358)&lt;7,"",SUM(CU358:DA358)))</x:f>
      </x:c>
      <x:c r="DC358" s="180" t="str">
        <x:f>IF(DB358="","",ROUND(DB358/14*10,1))</x:f>
      </x:c>
      <x:c r="DD358" s="174"/>
      <x:c r="DE358" s="175" t="str">
        <x:f>IF(L358="","",IF(DC358="","Pending",IF(DD358="Yes","CONDITIONAL — safety override",IF(DC358&gt;=8,"HIGH",IF(DC358&gt;=5,"CONDITIONAL","LOW")))))</x:f>
      </x:c>
      <x:c r="DF358" s="174"/>
      <x:c r="DG358" s="174"/>
      <x:c r="DH358" s="174"/>
      <x:c r="DI358" s="174"/>
      <x:c r="DJ358" s="174"/>
      <x:c r="DK358" s="174"/>
      <x:c r="DL358" s="174"/>
      <x:c r="DM358" s="174"/>
      <x:c r="DN358" s="174"/>
      <x:c r="DO358" s="174"/>
      <x:c r="DP358" s="174"/>
      <x:c r="DQ358" s="174"/>
      <x:c r="DR358" s="174"/>
      <x:c r="DS358" s="174"/>
      <x:c r="DT358" s="174"/>
      <x:c r="DU358" s="174"/>
      <x:c r="DV358" s="174"/>
      <x:c r="DW358" s="174"/>
      <x:c r="DX358" s="174"/>
      <x:c r="DY358" s="174"/>
      <x:c r="DZ358" s="174"/>
      <x:c r="EA358" s="174"/>
      <x:c r="EB358" s="175" t="str">
        <x:f>IF(L358="","",IF(AND(F358="Claim-ready",CJ358="Yes",CL358="Yes",DZ358&lt;&gt;""),"Yes","No / Pending"))</x:f>
      </x:c>
      <x:c r="EC358" s="174"/>
      <x:c r="ED358" s="174"/>
      <x:c r="EE358" s="174"/>
      <x:c r="EF358" s="174"/>
      <x:c r="EG358" s="174"/>
      <x:c r="EH358" s="177"/>
      <x:c r="EI358" s="174"/>
      <x:c r="EJ358" s="174"/>
      <x:c r="EK358" s="174"/>
      <x:c r="EL358" s="177"/>
      <x:c r="EM358" s="174"/>
      <x:c r="EN358" s="181" t="str">
        <x:f>IF(L358="","",(IF(N358&lt;&gt;"",1,0)+IF(O358&lt;&gt;"",1,0)+IF(AJ358&lt;&gt;"",1,0)+IF(AU358&lt;&gt;"",1,0)+IF(BE358&lt;&gt;"",1,0)+IF(CF358&lt;&gt;"",1,0)+IF(CJ358="Yes",1,0)+IF(CL358="Yes",1,0)+IF(DE358&lt;&gt;"Pending",1,0)+IF(F358&lt;&gt;"",1,0)+IF(DZ358&lt;&gt;"",1,0)+IF(EI358&lt;&gt;"",1,0))/12)</x:f>
      </x:c>
    </x:row>
    <x:row r="359">
      <x:c r="A359" s="175" t="str">
        <x:f>IF(L359="","","EV-"&amp;TEXT(ROW()-3,"0000"))</x:f>
      </x:c>
      <x:c r="B359" s="174"/>
      <x:c r="C359" s="175" t="str">
        <x:f>IF(L359="","",IF(OR(CM359="Retracted",CN359="Retracted",F359="Not used"),"🔴 Do not use for conclusion",IF(OR(R359="Official / Institutional",I359="Official / contextual"),"🔵 Official / contextual",IF(OR(I359="Definition",I359="Framework",I359="Paradigm shift"),"🟣 Conceptual key source",IF(AND(CJ359="Yes",CL359="Yes",OR(CG359="High",CG359="Moderate"),CH359&lt;&gt;"High",CH359&lt;&gt;"Critical",F359="Claim-ready"),"🟢 Claim-ready","🟡 Caution / context")))))</x:f>
      </x:c>
      <x:c r="D359" s="174"/>
      <x:c r="E359" s="174"/>
      <x:c r="F359" s="174"/>
      <x:c r="G359" s="174"/>
      <x:c r="H359" s="174"/>
      <x:c r="I359" s="174"/>
      <x:c r="J359" s="174"/>
      <x:c r="K359" s="174"/>
      <x:c r="L359" s="174"/>
      <x:c r="M359" s="174"/>
      <x:c r="N359" s="174"/>
      <x:c r="O359" s="176"/>
      <x:c r="P359" s="174"/>
      <x:c r="Q359" s="174"/>
      <x:c r="R359" s="174"/>
      <x:c r="S359" s="174"/>
      <x:c r="T359" s="174"/>
      <x:c r="U359" s="174"/>
      <x:c r="V359" s="174"/>
      <x:c r="W359" s="175" t="str">
        <x:f>IF(V359="","",LOWER(SUBSTITUTE(SUBSTITUTE(SUBSTITUTE(SUBSTITUTE(TRIM(V359),"https://doi.org/",""),"http://doi.org/",""),"https://dx.doi.org/",""),"doi:","")))</x:f>
      </x:c>
      <x:c r="X359" s="174"/>
      <x:c r="Y359" s="174"/>
      <x:c r="Z359" s="174"/>
      <x:c r="AA359" s="174"/>
      <x:c r="AB359" s="174"/>
      <x:c r="AC359" s="174"/>
      <x:c r="AD359" s="177"/>
      <x:c r="AE359" s="177"/>
      <x:c r="AF359" s="174"/>
      <x:c r="AG359" s="174"/>
      <x:c r="AH359" s="174"/>
      <x:c r="AI359" s="174"/>
      <x:c r="AJ359" s="174"/>
      <x:c r="AK359" s="175" t="str">
        <x:f>IF(AJ359="","",IF(OR(LOWER(AJ359)="brazil",LOWER(AJ359)="brasil"),"Yes","No"))</x:f>
      </x:c>
      <x:c r="AL359" s="174"/>
      <x:c r="AM359" s="174"/>
      <x:c r="AN359" s="174"/>
      <x:c r="AO359" s="178"/>
      <x:c r="AP359" s="174"/>
      <x:c r="AQ359" s="174"/>
      <x:c r="AR359" s="174"/>
      <x:c r="AS359" s="174"/>
      <x:c r="AT359" s="174"/>
      <x:c r="AU359" s="174"/>
      <x:c r="AV359" s="174"/>
      <x:c r="AW359" s="174"/>
      <x:c r="AX359" s="174"/>
      <x:c r="AY359" s="174"/>
      <x:c r="AZ359" s="174"/>
      <x:c r="BA359" s="174"/>
      <x:c r="BB359" s="174"/>
      <x:c r="BC359" s="174"/>
      <x:c r="BD359" s="174"/>
      <x:c r="BE359" s="174"/>
      <x:c r="BF359" s="174"/>
      <x:c r="BG359" s="174"/>
      <x:c r="BH359" s="174"/>
      <x:c r="BI359" s="174"/>
      <x:c r="BJ359" s="174"/>
      <x:c r="BK359" s="174"/>
      <x:c r="BL359" s="174"/>
      <x:c r="BM359" s="174"/>
      <x:c r="BN359" s="174"/>
      <x:c r="BO359" s="174"/>
      <x:c r="BP359" s="174"/>
      <x:c r="BQ359" s="174"/>
      <x:c r="BR359" s="174"/>
      <x:c r="BS359" s="174"/>
      <x:c r="BT359" s="174"/>
      <x:c r="BU359" s="174"/>
      <x:c r="BV359" s="174"/>
      <x:c r="BW359" s="174"/>
      <x:c r="BX359" s="174"/>
      <x:c r="BY359" s="174"/>
      <x:c r="BZ359" s="174"/>
      <x:c r="CA359" s="174"/>
      <x:c r="CB359" s="174"/>
      <x:c r="CC359" s="174"/>
      <x:c r="CD359" s="174"/>
      <x:c r="CE359" s="174"/>
      <x:c r="CF359" s="174"/>
      <x:c r="CG359" s="174"/>
      <x:c r="CH359" s="174"/>
      <x:c r="CI359" s="179"/>
      <x:c r="CJ359" s="174"/>
      <x:c r="CK359" s="174"/>
      <x:c r="CL359" s="174"/>
      <x:c r="CM359" s="174"/>
      <x:c r="CN359" s="174"/>
      <x:c r="CO359" s="177"/>
      <x:c r="CP359" s="174"/>
      <x:c r="CQ359" s="174"/>
      <x:c r="CR359" s="174"/>
      <x:c r="CS359" s="174"/>
      <x:c r="CT359" s="174"/>
      <x:c r="CU359" s="176"/>
      <x:c r="CV359" s="176"/>
      <x:c r="CW359" s="176"/>
      <x:c r="CX359" s="176"/>
      <x:c r="CY359" s="176"/>
      <x:c r="CZ359" s="176"/>
      <x:c r="DA359" s="176"/>
      <x:c r="DB359" s="175" t="str">
        <x:f>IF(L359="","",IF(COUNT(CU359:DA359)&lt;7,"",SUM(CU359:DA359)))</x:f>
      </x:c>
      <x:c r="DC359" s="180" t="str">
        <x:f>IF(DB359="","",ROUND(DB359/14*10,1))</x:f>
      </x:c>
      <x:c r="DD359" s="174"/>
      <x:c r="DE359" s="175" t="str">
        <x:f>IF(L359="","",IF(DC359="","Pending",IF(DD359="Yes","CONDITIONAL — safety override",IF(DC359&gt;=8,"HIGH",IF(DC359&gt;=5,"CONDITIONAL","LOW")))))</x:f>
      </x:c>
      <x:c r="DF359" s="174"/>
      <x:c r="DG359" s="174"/>
      <x:c r="DH359" s="174"/>
      <x:c r="DI359" s="174"/>
      <x:c r="DJ359" s="174"/>
      <x:c r="DK359" s="174"/>
      <x:c r="DL359" s="174"/>
      <x:c r="DM359" s="174"/>
      <x:c r="DN359" s="174"/>
      <x:c r="DO359" s="174"/>
      <x:c r="DP359" s="174"/>
      <x:c r="DQ359" s="174"/>
      <x:c r="DR359" s="174"/>
      <x:c r="DS359" s="174"/>
      <x:c r="DT359" s="174"/>
      <x:c r="DU359" s="174"/>
      <x:c r="DV359" s="174"/>
      <x:c r="DW359" s="174"/>
      <x:c r="DX359" s="174"/>
      <x:c r="DY359" s="174"/>
      <x:c r="DZ359" s="174"/>
      <x:c r="EA359" s="174"/>
      <x:c r="EB359" s="175" t="str">
        <x:f>IF(L359="","",IF(AND(F359="Claim-ready",CJ359="Yes",CL359="Yes",DZ359&lt;&gt;""),"Yes","No / Pending"))</x:f>
      </x:c>
      <x:c r="EC359" s="174"/>
      <x:c r="ED359" s="174"/>
      <x:c r="EE359" s="174"/>
      <x:c r="EF359" s="174"/>
      <x:c r="EG359" s="174"/>
      <x:c r="EH359" s="177"/>
      <x:c r="EI359" s="174"/>
      <x:c r="EJ359" s="174"/>
      <x:c r="EK359" s="174"/>
      <x:c r="EL359" s="177"/>
      <x:c r="EM359" s="174"/>
      <x:c r="EN359" s="181" t="str">
        <x:f>IF(L359="","",(IF(N359&lt;&gt;"",1,0)+IF(O359&lt;&gt;"",1,0)+IF(AJ359&lt;&gt;"",1,0)+IF(AU359&lt;&gt;"",1,0)+IF(BE359&lt;&gt;"",1,0)+IF(CF359&lt;&gt;"",1,0)+IF(CJ359="Yes",1,0)+IF(CL359="Yes",1,0)+IF(DE359&lt;&gt;"Pending",1,0)+IF(F359&lt;&gt;"",1,0)+IF(DZ359&lt;&gt;"",1,0)+IF(EI359&lt;&gt;"",1,0))/12)</x:f>
      </x:c>
    </x:row>
    <x:row r="360">
      <x:c r="A360" s="175" t="str">
        <x:f>IF(L360="","","EV-"&amp;TEXT(ROW()-3,"0000"))</x:f>
      </x:c>
      <x:c r="B360" s="174"/>
      <x:c r="C360" s="175" t="str">
        <x:f>IF(L360="","",IF(OR(CM360="Retracted",CN360="Retracted",F360="Not used"),"🔴 Do not use for conclusion",IF(OR(R360="Official / Institutional",I360="Official / contextual"),"🔵 Official / contextual",IF(OR(I360="Definition",I360="Framework",I360="Paradigm shift"),"🟣 Conceptual key source",IF(AND(CJ360="Yes",CL360="Yes",OR(CG360="High",CG360="Moderate"),CH360&lt;&gt;"High",CH360&lt;&gt;"Critical",F360="Claim-ready"),"🟢 Claim-ready","🟡 Caution / context")))))</x:f>
      </x:c>
      <x:c r="D360" s="174"/>
      <x:c r="E360" s="174"/>
      <x:c r="F360" s="174"/>
      <x:c r="G360" s="174"/>
      <x:c r="H360" s="174"/>
      <x:c r="I360" s="174"/>
      <x:c r="J360" s="174"/>
      <x:c r="K360" s="174"/>
      <x:c r="L360" s="174"/>
      <x:c r="M360" s="174"/>
      <x:c r="N360" s="174"/>
      <x:c r="O360" s="176"/>
      <x:c r="P360" s="174"/>
      <x:c r="Q360" s="174"/>
      <x:c r="R360" s="174"/>
      <x:c r="S360" s="174"/>
      <x:c r="T360" s="174"/>
      <x:c r="U360" s="174"/>
      <x:c r="V360" s="174"/>
      <x:c r="W360" s="175" t="str">
        <x:f>IF(V360="","",LOWER(SUBSTITUTE(SUBSTITUTE(SUBSTITUTE(SUBSTITUTE(TRIM(V360),"https://doi.org/",""),"http://doi.org/",""),"https://dx.doi.org/",""),"doi:","")))</x:f>
      </x:c>
      <x:c r="X360" s="174"/>
      <x:c r="Y360" s="174"/>
      <x:c r="Z360" s="174"/>
      <x:c r="AA360" s="174"/>
      <x:c r="AB360" s="174"/>
      <x:c r="AC360" s="174"/>
      <x:c r="AD360" s="177"/>
      <x:c r="AE360" s="177"/>
      <x:c r="AF360" s="174"/>
      <x:c r="AG360" s="174"/>
      <x:c r="AH360" s="174"/>
      <x:c r="AI360" s="174"/>
      <x:c r="AJ360" s="174"/>
      <x:c r="AK360" s="175" t="str">
        <x:f>IF(AJ360="","",IF(OR(LOWER(AJ360)="brazil",LOWER(AJ360)="brasil"),"Yes","No"))</x:f>
      </x:c>
      <x:c r="AL360" s="174"/>
      <x:c r="AM360" s="174"/>
      <x:c r="AN360" s="174"/>
      <x:c r="AO360" s="178"/>
      <x:c r="AP360" s="174"/>
      <x:c r="AQ360" s="174"/>
      <x:c r="AR360" s="174"/>
      <x:c r="AS360" s="174"/>
      <x:c r="AT360" s="174"/>
      <x:c r="AU360" s="174"/>
      <x:c r="AV360" s="174"/>
      <x:c r="AW360" s="174"/>
      <x:c r="AX360" s="174"/>
      <x:c r="AY360" s="174"/>
      <x:c r="AZ360" s="174"/>
      <x:c r="BA360" s="174"/>
      <x:c r="BB360" s="174"/>
      <x:c r="BC360" s="174"/>
      <x:c r="BD360" s="174"/>
      <x:c r="BE360" s="174"/>
      <x:c r="BF360" s="174"/>
      <x:c r="BG360" s="174"/>
      <x:c r="BH360" s="174"/>
      <x:c r="BI360" s="174"/>
      <x:c r="BJ360" s="174"/>
      <x:c r="BK360" s="174"/>
      <x:c r="BL360" s="174"/>
      <x:c r="BM360" s="174"/>
      <x:c r="BN360" s="174"/>
      <x:c r="BO360" s="174"/>
      <x:c r="BP360" s="174"/>
      <x:c r="BQ360" s="174"/>
      <x:c r="BR360" s="174"/>
      <x:c r="BS360" s="174"/>
      <x:c r="BT360" s="174"/>
      <x:c r="BU360" s="174"/>
      <x:c r="BV360" s="174"/>
      <x:c r="BW360" s="174"/>
      <x:c r="BX360" s="174"/>
      <x:c r="BY360" s="174"/>
      <x:c r="BZ360" s="174"/>
      <x:c r="CA360" s="174"/>
      <x:c r="CB360" s="174"/>
      <x:c r="CC360" s="174"/>
      <x:c r="CD360" s="174"/>
      <x:c r="CE360" s="174"/>
      <x:c r="CF360" s="174"/>
      <x:c r="CG360" s="174"/>
      <x:c r="CH360" s="174"/>
      <x:c r="CI360" s="179"/>
      <x:c r="CJ360" s="174"/>
      <x:c r="CK360" s="174"/>
      <x:c r="CL360" s="174"/>
      <x:c r="CM360" s="174"/>
      <x:c r="CN360" s="174"/>
      <x:c r="CO360" s="177"/>
      <x:c r="CP360" s="174"/>
      <x:c r="CQ360" s="174"/>
      <x:c r="CR360" s="174"/>
      <x:c r="CS360" s="174"/>
      <x:c r="CT360" s="174"/>
      <x:c r="CU360" s="176"/>
      <x:c r="CV360" s="176"/>
      <x:c r="CW360" s="176"/>
      <x:c r="CX360" s="176"/>
      <x:c r="CY360" s="176"/>
      <x:c r="CZ360" s="176"/>
      <x:c r="DA360" s="176"/>
      <x:c r="DB360" s="175" t="str">
        <x:f>IF(L360="","",IF(COUNT(CU360:DA360)&lt;7,"",SUM(CU360:DA360)))</x:f>
      </x:c>
      <x:c r="DC360" s="180" t="str">
        <x:f>IF(DB360="","",ROUND(DB360/14*10,1))</x:f>
      </x:c>
      <x:c r="DD360" s="174"/>
      <x:c r="DE360" s="175" t="str">
        <x:f>IF(L360="","",IF(DC360="","Pending",IF(DD360="Yes","CONDITIONAL — safety override",IF(DC360&gt;=8,"HIGH",IF(DC360&gt;=5,"CONDITIONAL","LOW")))))</x:f>
      </x:c>
      <x:c r="DF360" s="174"/>
      <x:c r="DG360" s="174"/>
      <x:c r="DH360" s="174"/>
      <x:c r="DI360" s="174"/>
      <x:c r="DJ360" s="174"/>
      <x:c r="DK360" s="174"/>
      <x:c r="DL360" s="174"/>
      <x:c r="DM360" s="174"/>
      <x:c r="DN360" s="174"/>
      <x:c r="DO360" s="174"/>
      <x:c r="DP360" s="174"/>
      <x:c r="DQ360" s="174"/>
      <x:c r="DR360" s="174"/>
      <x:c r="DS360" s="174"/>
      <x:c r="DT360" s="174"/>
      <x:c r="DU360" s="174"/>
      <x:c r="DV360" s="174"/>
      <x:c r="DW360" s="174"/>
      <x:c r="DX360" s="174"/>
      <x:c r="DY360" s="174"/>
      <x:c r="DZ360" s="174"/>
      <x:c r="EA360" s="174"/>
      <x:c r="EB360" s="175" t="str">
        <x:f>IF(L360="","",IF(AND(F360="Claim-ready",CJ360="Yes",CL360="Yes",DZ360&lt;&gt;""),"Yes","No / Pending"))</x:f>
      </x:c>
      <x:c r="EC360" s="174"/>
      <x:c r="ED360" s="174"/>
      <x:c r="EE360" s="174"/>
      <x:c r="EF360" s="174"/>
      <x:c r="EG360" s="174"/>
      <x:c r="EH360" s="177"/>
      <x:c r="EI360" s="174"/>
      <x:c r="EJ360" s="174"/>
      <x:c r="EK360" s="174"/>
      <x:c r="EL360" s="177"/>
      <x:c r="EM360" s="174"/>
      <x:c r="EN360" s="181" t="str">
        <x:f>IF(L360="","",(IF(N360&lt;&gt;"",1,0)+IF(O360&lt;&gt;"",1,0)+IF(AJ360&lt;&gt;"",1,0)+IF(AU360&lt;&gt;"",1,0)+IF(BE360&lt;&gt;"",1,0)+IF(CF360&lt;&gt;"",1,0)+IF(CJ360="Yes",1,0)+IF(CL360="Yes",1,0)+IF(DE360&lt;&gt;"Pending",1,0)+IF(F360&lt;&gt;"",1,0)+IF(DZ360&lt;&gt;"",1,0)+IF(EI360&lt;&gt;"",1,0))/12)</x:f>
      </x:c>
    </x:row>
    <x:row r="361">
      <x:c r="A361" s="175" t="str">
        <x:f>IF(L361="","","EV-"&amp;TEXT(ROW()-3,"0000"))</x:f>
      </x:c>
      <x:c r="B361" s="174"/>
      <x:c r="C361" s="175" t="str">
        <x:f>IF(L361="","",IF(OR(CM361="Retracted",CN361="Retracted",F361="Not used"),"🔴 Do not use for conclusion",IF(OR(R361="Official / Institutional",I361="Official / contextual"),"🔵 Official / contextual",IF(OR(I361="Definition",I361="Framework",I361="Paradigm shift"),"🟣 Conceptual key source",IF(AND(CJ361="Yes",CL361="Yes",OR(CG361="High",CG361="Moderate"),CH361&lt;&gt;"High",CH361&lt;&gt;"Critical",F361="Claim-ready"),"🟢 Claim-ready","🟡 Caution / context")))))</x:f>
      </x:c>
      <x:c r="D361" s="174"/>
      <x:c r="E361" s="174"/>
      <x:c r="F361" s="174"/>
      <x:c r="G361" s="174"/>
      <x:c r="H361" s="174"/>
      <x:c r="I361" s="174"/>
      <x:c r="J361" s="174"/>
      <x:c r="K361" s="174"/>
      <x:c r="L361" s="174"/>
      <x:c r="M361" s="174"/>
      <x:c r="N361" s="174"/>
      <x:c r="O361" s="176"/>
      <x:c r="P361" s="174"/>
      <x:c r="Q361" s="174"/>
      <x:c r="R361" s="174"/>
      <x:c r="S361" s="174"/>
      <x:c r="T361" s="174"/>
      <x:c r="U361" s="174"/>
      <x:c r="V361" s="174"/>
      <x:c r="W361" s="175" t="str">
        <x:f>IF(V361="","",LOWER(SUBSTITUTE(SUBSTITUTE(SUBSTITUTE(SUBSTITUTE(TRIM(V361),"https://doi.org/",""),"http://doi.org/",""),"https://dx.doi.org/",""),"doi:","")))</x:f>
      </x:c>
      <x:c r="X361" s="174"/>
      <x:c r="Y361" s="174"/>
      <x:c r="Z361" s="174"/>
      <x:c r="AA361" s="174"/>
      <x:c r="AB361" s="174"/>
      <x:c r="AC361" s="174"/>
      <x:c r="AD361" s="177"/>
      <x:c r="AE361" s="177"/>
      <x:c r="AF361" s="174"/>
      <x:c r="AG361" s="174"/>
      <x:c r="AH361" s="174"/>
      <x:c r="AI361" s="174"/>
      <x:c r="AJ361" s="174"/>
      <x:c r="AK361" s="175" t="str">
        <x:f>IF(AJ361="","",IF(OR(LOWER(AJ361)="brazil",LOWER(AJ361)="brasil"),"Yes","No"))</x:f>
      </x:c>
      <x:c r="AL361" s="174"/>
      <x:c r="AM361" s="174"/>
      <x:c r="AN361" s="174"/>
      <x:c r="AO361" s="178"/>
      <x:c r="AP361" s="174"/>
      <x:c r="AQ361" s="174"/>
      <x:c r="AR361" s="174"/>
      <x:c r="AS361" s="174"/>
      <x:c r="AT361" s="174"/>
      <x:c r="AU361" s="174"/>
      <x:c r="AV361" s="174"/>
      <x:c r="AW361" s="174"/>
      <x:c r="AX361" s="174"/>
      <x:c r="AY361" s="174"/>
      <x:c r="AZ361" s="174"/>
      <x:c r="BA361" s="174"/>
      <x:c r="BB361" s="174"/>
      <x:c r="BC361" s="174"/>
      <x:c r="BD361" s="174"/>
      <x:c r="BE361" s="174"/>
      <x:c r="BF361" s="174"/>
      <x:c r="BG361" s="174"/>
      <x:c r="BH361" s="174"/>
      <x:c r="BI361" s="174"/>
      <x:c r="BJ361" s="174"/>
      <x:c r="BK361" s="174"/>
      <x:c r="BL361" s="174"/>
      <x:c r="BM361" s="174"/>
      <x:c r="BN361" s="174"/>
      <x:c r="BO361" s="174"/>
      <x:c r="BP361" s="174"/>
      <x:c r="BQ361" s="174"/>
      <x:c r="BR361" s="174"/>
      <x:c r="BS361" s="174"/>
      <x:c r="BT361" s="174"/>
      <x:c r="BU361" s="174"/>
      <x:c r="BV361" s="174"/>
      <x:c r="BW361" s="174"/>
      <x:c r="BX361" s="174"/>
      <x:c r="BY361" s="174"/>
      <x:c r="BZ361" s="174"/>
      <x:c r="CA361" s="174"/>
      <x:c r="CB361" s="174"/>
      <x:c r="CC361" s="174"/>
      <x:c r="CD361" s="174"/>
      <x:c r="CE361" s="174"/>
      <x:c r="CF361" s="174"/>
      <x:c r="CG361" s="174"/>
      <x:c r="CH361" s="174"/>
      <x:c r="CI361" s="179"/>
      <x:c r="CJ361" s="174"/>
      <x:c r="CK361" s="174"/>
      <x:c r="CL361" s="174"/>
      <x:c r="CM361" s="174"/>
      <x:c r="CN361" s="174"/>
      <x:c r="CO361" s="177"/>
      <x:c r="CP361" s="174"/>
      <x:c r="CQ361" s="174"/>
      <x:c r="CR361" s="174"/>
      <x:c r="CS361" s="174"/>
      <x:c r="CT361" s="174"/>
      <x:c r="CU361" s="176"/>
      <x:c r="CV361" s="176"/>
      <x:c r="CW361" s="176"/>
      <x:c r="CX361" s="176"/>
      <x:c r="CY361" s="176"/>
      <x:c r="CZ361" s="176"/>
      <x:c r="DA361" s="176"/>
      <x:c r="DB361" s="175" t="str">
        <x:f>IF(L361="","",IF(COUNT(CU361:DA361)&lt;7,"",SUM(CU361:DA361)))</x:f>
      </x:c>
      <x:c r="DC361" s="180" t="str">
        <x:f>IF(DB361="","",ROUND(DB361/14*10,1))</x:f>
      </x:c>
      <x:c r="DD361" s="174"/>
      <x:c r="DE361" s="175" t="str">
        <x:f>IF(L361="","",IF(DC361="","Pending",IF(DD361="Yes","CONDITIONAL — safety override",IF(DC361&gt;=8,"HIGH",IF(DC361&gt;=5,"CONDITIONAL","LOW")))))</x:f>
      </x:c>
      <x:c r="DF361" s="174"/>
      <x:c r="DG361" s="174"/>
      <x:c r="DH361" s="174"/>
      <x:c r="DI361" s="174"/>
      <x:c r="DJ361" s="174"/>
      <x:c r="DK361" s="174"/>
      <x:c r="DL361" s="174"/>
      <x:c r="DM361" s="174"/>
      <x:c r="DN361" s="174"/>
      <x:c r="DO361" s="174"/>
      <x:c r="DP361" s="174"/>
      <x:c r="DQ361" s="174"/>
      <x:c r="DR361" s="174"/>
      <x:c r="DS361" s="174"/>
      <x:c r="DT361" s="174"/>
      <x:c r="DU361" s="174"/>
      <x:c r="DV361" s="174"/>
      <x:c r="DW361" s="174"/>
      <x:c r="DX361" s="174"/>
      <x:c r="DY361" s="174"/>
      <x:c r="DZ361" s="174"/>
      <x:c r="EA361" s="174"/>
      <x:c r="EB361" s="175" t="str">
        <x:f>IF(L361="","",IF(AND(F361="Claim-ready",CJ361="Yes",CL361="Yes",DZ361&lt;&gt;""),"Yes","No / Pending"))</x:f>
      </x:c>
      <x:c r="EC361" s="174"/>
      <x:c r="ED361" s="174"/>
      <x:c r="EE361" s="174"/>
      <x:c r="EF361" s="174"/>
      <x:c r="EG361" s="174"/>
      <x:c r="EH361" s="177"/>
      <x:c r="EI361" s="174"/>
      <x:c r="EJ361" s="174"/>
      <x:c r="EK361" s="174"/>
      <x:c r="EL361" s="177"/>
      <x:c r="EM361" s="174"/>
      <x:c r="EN361" s="181" t="str">
        <x:f>IF(L361="","",(IF(N361&lt;&gt;"",1,0)+IF(O361&lt;&gt;"",1,0)+IF(AJ361&lt;&gt;"",1,0)+IF(AU361&lt;&gt;"",1,0)+IF(BE361&lt;&gt;"",1,0)+IF(CF361&lt;&gt;"",1,0)+IF(CJ361="Yes",1,0)+IF(CL361="Yes",1,0)+IF(DE361&lt;&gt;"Pending",1,0)+IF(F361&lt;&gt;"",1,0)+IF(DZ361&lt;&gt;"",1,0)+IF(EI361&lt;&gt;"",1,0))/12)</x:f>
      </x:c>
    </x:row>
    <x:row r="362">
      <x:c r="A362" s="175" t="str">
        <x:f>IF(L362="","","EV-"&amp;TEXT(ROW()-3,"0000"))</x:f>
      </x:c>
      <x:c r="B362" s="174"/>
      <x:c r="C362" s="175" t="str">
        <x:f>IF(L362="","",IF(OR(CM362="Retracted",CN362="Retracted",F362="Not used"),"🔴 Do not use for conclusion",IF(OR(R362="Official / Institutional",I362="Official / contextual"),"🔵 Official / contextual",IF(OR(I362="Definition",I362="Framework",I362="Paradigm shift"),"🟣 Conceptual key source",IF(AND(CJ362="Yes",CL362="Yes",OR(CG362="High",CG362="Moderate"),CH362&lt;&gt;"High",CH362&lt;&gt;"Critical",F362="Claim-ready"),"🟢 Claim-ready","🟡 Caution / context")))))</x:f>
      </x:c>
      <x:c r="D362" s="174"/>
      <x:c r="E362" s="174"/>
      <x:c r="F362" s="174"/>
      <x:c r="G362" s="174"/>
      <x:c r="H362" s="174"/>
      <x:c r="I362" s="174"/>
      <x:c r="J362" s="174"/>
      <x:c r="K362" s="174"/>
      <x:c r="L362" s="174"/>
      <x:c r="M362" s="174"/>
      <x:c r="N362" s="174"/>
      <x:c r="O362" s="176"/>
      <x:c r="P362" s="174"/>
      <x:c r="Q362" s="174"/>
      <x:c r="R362" s="174"/>
      <x:c r="S362" s="174"/>
      <x:c r="T362" s="174"/>
      <x:c r="U362" s="174"/>
      <x:c r="V362" s="174"/>
      <x:c r="W362" s="175" t="str">
        <x:f>IF(V362="","",LOWER(SUBSTITUTE(SUBSTITUTE(SUBSTITUTE(SUBSTITUTE(TRIM(V362),"https://doi.org/",""),"http://doi.org/",""),"https://dx.doi.org/",""),"doi:","")))</x:f>
      </x:c>
      <x:c r="X362" s="174"/>
      <x:c r="Y362" s="174"/>
      <x:c r="Z362" s="174"/>
      <x:c r="AA362" s="174"/>
      <x:c r="AB362" s="174"/>
      <x:c r="AC362" s="174"/>
      <x:c r="AD362" s="177"/>
      <x:c r="AE362" s="177"/>
      <x:c r="AF362" s="174"/>
      <x:c r="AG362" s="174"/>
      <x:c r="AH362" s="174"/>
      <x:c r="AI362" s="174"/>
      <x:c r="AJ362" s="174"/>
      <x:c r="AK362" s="175" t="str">
        <x:f>IF(AJ362="","",IF(OR(LOWER(AJ362)="brazil",LOWER(AJ362)="brasil"),"Yes","No"))</x:f>
      </x:c>
      <x:c r="AL362" s="174"/>
      <x:c r="AM362" s="174"/>
      <x:c r="AN362" s="174"/>
      <x:c r="AO362" s="178"/>
      <x:c r="AP362" s="174"/>
      <x:c r="AQ362" s="174"/>
      <x:c r="AR362" s="174"/>
      <x:c r="AS362" s="174"/>
      <x:c r="AT362" s="174"/>
      <x:c r="AU362" s="174"/>
      <x:c r="AV362" s="174"/>
      <x:c r="AW362" s="174"/>
      <x:c r="AX362" s="174"/>
      <x:c r="AY362" s="174"/>
      <x:c r="AZ362" s="174"/>
      <x:c r="BA362" s="174"/>
      <x:c r="BB362" s="174"/>
      <x:c r="BC362" s="174"/>
      <x:c r="BD362" s="174"/>
      <x:c r="BE362" s="174"/>
      <x:c r="BF362" s="174"/>
      <x:c r="BG362" s="174"/>
      <x:c r="BH362" s="174"/>
      <x:c r="BI362" s="174"/>
      <x:c r="BJ362" s="174"/>
      <x:c r="BK362" s="174"/>
      <x:c r="BL362" s="174"/>
      <x:c r="BM362" s="174"/>
      <x:c r="BN362" s="174"/>
      <x:c r="BO362" s="174"/>
      <x:c r="BP362" s="174"/>
      <x:c r="BQ362" s="174"/>
      <x:c r="BR362" s="174"/>
      <x:c r="BS362" s="174"/>
      <x:c r="BT362" s="174"/>
      <x:c r="BU362" s="174"/>
      <x:c r="BV362" s="174"/>
      <x:c r="BW362" s="174"/>
      <x:c r="BX362" s="174"/>
      <x:c r="BY362" s="174"/>
      <x:c r="BZ362" s="174"/>
      <x:c r="CA362" s="174"/>
      <x:c r="CB362" s="174"/>
      <x:c r="CC362" s="174"/>
      <x:c r="CD362" s="174"/>
      <x:c r="CE362" s="174"/>
      <x:c r="CF362" s="174"/>
      <x:c r="CG362" s="174"/>
      <x:c r="CH362" s="174"/>
      <x:c r="CI362" s="179"/>
      <x:c r="CJ362" s="174"/>
      <x:c r="CK362" s="174"/>
      <x:c r="CL362" s="174"/>
      <x:c r="CM362" s="174"/>
      <x:c r="CN362" s="174"/>
      <x:c r="CO362" s="177"/>
      <x:c r="CP362" s="174"/>
      <x:c r="CQ362" s="174"/>
      <x:c r="CR362" s="174"/>
      <x:c r="CS362" s="174"/>
      <x:c r="CT362" s="174"/>
      <x:c r="CU362" s="176"/>
      <x:c r="CV362" s="176"/>
      <x:c r="CW362" s="176"/>
      <x:c r="CX362" s="176"/>
      <x:c r="CY362" s="176"/>
      <x:c r="CZ362" s="176"/>
      <x:c r="DA362" s="176"/>
      <x:c r="DB362" s="175" t="str">
        <x:f>IF(L362="","",IF(COUNT(CU362:DA362)&lt;7,"",SUM(CU362:DA362)))</x:f>
      </x:c>
      <x:c r="DC362" s="180" t="str">
        <x:f>IF(DB362="","",ROUND(DB362/14*10,1))</x:f>
      </x:c>
      <x:c r="DD362" s="174"/>
      <x:c r="DE362" s="175" t="str">
        <x:f>IF(L362="","",IF(DC362="","Pending",IF(DD362="Yes","CONDITIONAL — safety override",IF(DC362&gt;=8,"HIGH",IF(DC362&gt;=5,"CONDITIONAL","LOW")))))</x:f>
      </x:c>
      <x:c r="DF362" s="174"/>
      <x:c r="DG362" s="174"/>
      <x:c r="DH362" s="174"/>
      <x:c r="DI362" s="174"/>
      <x:c r="DJ362" s="174"/>
      <x:c r="DK362" s="174"/>
      <x:c r="DL362" s="174"/>
      <x:c r="DM362" s="174"/>
      <x:c r="DN362" s="174"/>
      <x:c r="DO362" s="174"/>
      <x:c r="DP362" s="174"/>
      <x:c r="DQ362" s="174"/>
      <x:c r="DR362" s="174"/>
      <x:c r="DS362" s="174"/>
      <x:c r="DT362" s="174"/>
      <x:c r="DU362" s="174"/>
      <x:c r="DV362" s="174"/>
      <x:c r="DW362" s="174"/>
      <x:c r="DX362" s="174"/>
      <x:c r="DY362" s="174"/>
      <x:c r="DZ362" s="174"/>
      <x:c r="EA362" s="174"/>
      <x:c r="EB362" s="175" t="str">
        <x:f>IF(L362="","",IF(AND(F362="Claim-ready",CJ362="Yes",CL362="Yes",DZ362&lt;&gt;""),"Yes","No / Pending"))</x:f>
      </x:c>
      <x:c r="EC362" s="174"/>
      <x:c r="ED362" s="174"/>
      <x:c r="EE362" s="174"/>
      <x:c r="EF362" s="174"/>
      <x:c r="EG362" s="174"/>
      <x:c r="EH362" s="177"/>
      <x:c r="EI362" s="174"/>
      <x:c r="EJ362" s="174"/>
      <x:c r="EK362" s="174"/>
      <x:c r="EL362" s="177"/>
      <x:c r="EM362" s="174"/>
      <x:c r="EN362" s="181" t="str">
        <x:f>IF(L362="","",(IF(N362&lt;&gt;"",1,0)+IF(O362&lt;&gt;"",1,0)+IF(AJ362&lt;&gt;"",1,0)+IF(AU362&lt;&gt;"",1,0)+IF(BE362&lt;&gt;"",1,0)+IF(CF362&lt;&gt;"",1,0)+IF(CJ362="Yes",1,0)+IF(CL362="Yes",1,0)+IF(DE362&lt;&gt;"Pending",1,0)+IF(F362&lt;&gt;"",1,0)+IF(DZ362&lt;&gt;"",1,0)+IF(EI362&lt;&gt;"",1,0))/12)</x:f>
      </x:c>
    </x:row>
    <x:row r="363">
      <x:c r="A363" s="175" t="str">
        <x:f>IF(L363="","","EV-"&amp;TEXT(ROW()-3,"0000"))</x:f>
      </x:c>
      <x:c r="B363" s="174"/>
      <x:c r="C363" s="175" t="str">
        <x:f>IF(L363="","",IF(OR(CM363="Retracted",CN363="Retracted",F363="Not used"),"🔴 Do not use for conclusion",IF(OR(R363="Official / Institutional",I363="Official / contextual"),"🔵 Official / contextual",IF(OR(I363="Definition",I363="Framework",I363="Paradigm shift"),"🟣 Conceptual key source",IF(AND(CJ363="Yes",CL363="Yes",OR(CG363="High",CG363="Moderate"),CH363&lt;&gt;"High",CH363&lt;&gt;"Critical",F363="Claim-ready"),"🟢 Claim-ready","🟡 Caution / context")))))</x:f>
      </x:c>
      <x:c r="D363" s="174"/>
      <x:c r="E363" s="174"/>
      <x:c r="F363" s="174"/>
      <x:c r="G363" s="174"/>
      <x:c r="H363" s="174"/>
      <x:c r="I363" s="174"/>
      <x:c r="J363" s="174"/>
      <x:c r="K363" s="174"/>
      <x:c r="L363" s="174"/>
      <x:c r="M363" s="174"/>
      <x:c r="N363" s="174"/>
      <x:c r="O363" s="176"/>
      <x:c r="P363" s="174"/>
      <x:c r="Q363" s="174"/>
      <x:c r="R363" s="174"/>
      <x:c r="S363" s="174"/>
      <x:c r="T363" s="174"/>
      <x:c r="U363" s="174"/>
      <x:c r="V363" s="174"/>
      <x:c r="W363" s="175" t="str">
        <x:f>IF(V363="","",LOWER(SUBSTITUTE(SUBSTITUTE(SUBSTITUTE(SUBSTITUTE(TRIM(V363),"https://doi.org/",""),"http://doi.org/",""),"https://dx.doi.org/",""),"doi:","")))</x:f>
      </x:c>
      <x:c r="X363" s="174"/>
      <x:c r="Y363" s="174"/>
      <x:c r="Z363" s="174"/>
      <x:c r="AA363" s="174"/>
      <x:c r="AB363" s="174"/>
      <x:c r="AC363" s="174"/>
      <x:c r="AD363" s="177"/>
      <x:c r="AE363" s="177"/>
      <x:c r="AF363" s="174"/>
      <x:c r="AG363" s="174"/>
      <x:c r="AH363" s="174"/>
      <x:c r="AI363" s="174"/>
      <x:c r="AJ363" s="174"/>
      <x:c r="AK363" s="175" t="str">
        <x:f>IF(AJ363="","",IF(OR(LOWER(AJ363)="brazil",LOWER(AJ363)="brasil"),"Yes","No"))</x:f>
      </x:c>
      <x:c r="AL363" s="174"/>
      <x:c r="AM363" s="174"/>
      <x:c r="AN363" s="174"/>
      <x:c r="AO363" s="178"/>
      <x:c r="AP363" s="174"/>
      <x:c r="AQ363" s="174"/>
      <x:c r="AR363" s="174"/>
      <x:c r="AS363" s="174"/>
      <x:c r="AT363" s="174"/>
      <x:c r="AU363" s="174"/>
      <x:c r="AV363" s="174"/>
      <x:c r="AW363" s="174"/>
      <x:c r="AX363" s="174"/>
      <x:c r="AY363" s="174"/>
      <x:c r="AZ363" s="174"/>
      <x:c r="BA363" s="174"/>
      <x:c r="BB363" s="174"/>
      <x:c r="BC363" s="174"/>
      <x:c r="BD363" s="174"/>
      <x:c r="BE363" s="174"/>
      <x:c r="BF363" s="174"/>
      <x:c r="BG363" s="174"/>
      <x:c r="BH363" s="174"/>
      <x:c r="BI363" s="174"/>
      <x:c r="BJ363" s="174"/>
      <x:c r="BK363" s="174"/>
      <x:c r="BL363" s="174"/>
      <x:c r="BM363" s="174"/>
      <x:c r="BN363" s="174"/>
      <x:c r="BO363" s="174"/>
      <x:c r="BP363" s="174"/>
      <x:c r="BQ363" s="174"/>
      <x:c r="BR363" s="174"/>
      <x:c r="BS363" s="174"/>
      <x:c r="BT363" s="174"/>
      <x:c r="BU363" s="174"/>
      <x:c r="BV363" s="174"/>
      <x:c r="BW363" s="174"/>
      <x:c r="BX363" s="174"/>
      <x:c r="BY363" s="174"/>
      <x:c r="BZ363" s="174"/>
      <x:c r="CA363" s="174"/>
      <x:c r="CB363" s="174"/>
      <x:c r="CC363" s="174"/>
      <x:c r="CD363" s="174"/>
      <x:c r="CE363" s="174"/>
      <x:c r="CF363" s="174"/>
      <x:c r="CG363" s="174"/>
      <x:c r="CH363" s="174"/>
      <x:c r="CI363" s="179"/>
      <x:c r="CJ363" s="174"/>
      <x:c r="CK363" s="174"/>
      <x:c r="CL363" s="174"/>
      <x:c r="CM363" s="174"/>
      <x:c r="CN363" s="174"/>
      <x:c r="CO363" s="177"/>
      <x:c r="CP363" s="174"/>
      <x:c r="CQ363" s="174"/>
      <x:c r="CR363" s="174"/>
      <x:c r="CS363" s="174"/>
      <x:c r="CT363" s="174"/>
      <x:c r="CU363" s="176"/>
      <x:c r="CV363" s="176"/>
      <x:c r="CW363" s="176"/>
      <x:c r="CX363" s="176"/>
      <x:c r="CY363" s="176"/>
      <x:c r="CZ363" s="176"/>
      <x:c r="DA363" s="176"/>
      <x:c r="DB363" s="175" t="str">
        <x:f>IF(L363="","",IF(COUNT(CU363:DA363)&lt;7,"",SUM(CU363:DA363)))</x:f>
      </x:c>
      <x:c r="DC363" s="180" t="str">
        <x:f>IF(DB363="","",ROUND(DB363/14*10,1))</x:f>
      </x:c>
      <x:c r="DD363" s="174"/>
      <x:c r="DE363" s="175" t="str">
        <x:f>IF(L363="","",IF(DC363="","Pending",IF(DD363="Yes","CONDITIONAL — safety override",IF(DC363&gt;=8,"HIGH",IF(DC363&gt;=5,"CONDITIONAL","LOW")))))</x:f>
      </x:c>
      <x:c r="DF363" s="174"/>
      <x:c r="DG363" s="174"/>
      <x:c r="DH363" s="174"/>
      <x:c r="DI363" s="174"/>
      <x:c r="DJ363" s="174"/>
      <x:c r="DK363" s="174"/>
      <x:c r="DL363" s="174"/>
      <x:c r="DM363" s="174"/>
      <x:c r="DN363" s="174"/>
      <x:c r="DO363" s="174"/>
      <x:c r="DP363" s="174"/>
      <x:c r="DQ363" s="174"/>
      <x:c r="DR363" s="174"/>
      <x:c r="DS363" s="174"/>
      <x:c r="DT363" s="174"/>
      <x:c r="DU363" s="174"/>
      <x:c r="DV363" s="174"/>
      <x:c r="DW363" s="174"/>
      <x:c r="DX363" s="174"/>
      <x:c r="DY363" s="174"/>
      <x:c r="DZ363" s="174"/>
      <x:c r="EA363" s="174"/>
      <x:c r="EB363" s="175" t="str">
        <x:f>IF(L363="","",IF(AND(F363="Claim-ready",CJ363="Yes",CL363="Yes",DZ363&lt;&gt;""),"Yes","No / Pending"))</x:f>
      </x:c>
      <x:c r="EC363" s="174"/>
      <x:c r="ED363" s="174"/>
      <x:c r="EE363" s="174"/>
      <x:c r="EF363" s="174"/>
      <x:c r="EG363" s="174"/>
      <x:c r="EH363" s="177"/>
      <x:c r="EI363" s="174"/>
      <x:c r="EJ363" s="174"/>
      <x:c r="EK363" s="174"/>
      <x:c r="EL363" s="177"/>
      <x:c r="EM363" s="174"/>
      <x:c r="EN363" s="181" t="str">
        <x:f>IF(L363="","",(IF(N363&lt;&gt;"",1,0)+IF(O363&lt;&gt;"",1,0)+IF(AJ363&lt;&gt;"",1,0)+IF(AU363&lt;&gt;"",1,0)+IF(BE363&lt;&gt;"",1,0)+IF(CF363&lt;&gt;"",1,0)+IF(CJ363="Yes",1,0)+IF(CL363="Yes",1,0)+IF(DE363&lt;&gt;"Pending",1,0)+IF(F363&lt;&gt;"",1,0)+IF(DZ363&lt;&gt;"",1,0)+IF(EI363&lt;&gt;"",1,0))/12)</x:f>
      </x:c>
    </x:row>
    <x:row r="364">
      <x:c r="A364" s="175" t="str">
        <x:f>IF(L364="","","EV-"&amp;TEXT(ROW()-3,"0000"))</x:f>
      </x:c>
      <x:c r="B364" s="174"/>
      <x:c r="C364" s="175" t="str">
        <x:f>IF(L364="","",IF(OR(CM364="Retracted",CN364="Retracted",F364="Not used"),"🔴 Do not use for conclusion",IF(OR(R364="Official / Institutional",I364="Official / contextual"),"🔵 Official / contextual",IF(OR(I364="Definition",I364="Framework",I364="Paradigm shift"),"🟣 Conceptual key source",IF(AND(CJ364="Yes",CL364="Yes",OR(CG364="High",CG364="Moderate"),CH364&lt;&gt;"High",CH364&lt;&gt;"Critical",F364="Claim-ready"),"🟢 Claim-ready","🟡 Caution / context")))))</x:f>
      </x:c>
      <x:c r="D364" s="174"/>
      <x:c r="E364" s="174"/>
      <x:c r="F364" s="174"/>
      <x:c r="G364" s="174"/>
      <x:c r="H364" s="174"/>
      <x:c r="I364" s="174"/>
      <x:c r="J364" s="174"/>
      <x:c r="K364" s="174"/>
      <x:c r="L364" s="174"/>
      <x:c r="M364" s="174"/>
      <x:c r="N364" s="174"/>
      <x:c r="O364" s="176"/>
      <x:c r="P364" s="174"/>
      <x:c r="Q364" s="174"/>
      <x:c r="R364" s="174"/>
      <x:c r="S364" s="174"/>
      <x:c r="T364" s="174"/>
      <x:c r="U364" s="174"/>
      <x:c r="V364" s="174"/>
      <x:c r="W364" s="175" t="str">
        <x:f>IF(V364="","",LOWER(SUBSTITUTE(SUBSTITUTE(SUBSTITUTE(SUBSTITUTE(TRIM(V364),"https://doi.org/",""),"http://doi.org/",""),"https://dx.doi.org/",""),"doi:","")))</x:f>
      </x:c>
      <x:c r="X364" s="174"/>
      <x:c r="Y364" s="174"/>
      <x:c r="Z364" s="174"/>
      <x:c r="AA364" s="174"/>
      <x:c r="AB364" s="174"/>
      <x:c r="AC364" s="174"/>
      <x:c r="AD364" s="177"/>
      <x:c r="AE364" s="177"/>
      <x:c r="AF364" s="174"/>
      <x:c r="AG364" s="174"/>
      <x:c r="AH364" s="174"/>
      <x:c r="AI364" s="174"/>
      <x:c r="AJ364" s="174"/>
      <x:c r="AK364" s="175" t="str">
        <x:f>IF(AJ364="","",IF(OR(LOWER(AJ364)="brazil",LOWER(AJ364)="brasil"),"Yes","No"))</x:f>
      </x:c>
      <x:c r="AL364" s="174"/>
      <x:c r="AM364" s="174"/>
      <x:c r="AN364" s="174"/>
      <x:c r="AO364" s="178"/>
      <x:c r="AP364" s="174"/>
      <x:c r="AQ364" s="174"/>
      <x:c r="AR364" s="174"/>
      <x:c r="AS364" s="174"/>
      <x:c r="AT364" s="174"/>
      <x:c r="AU364" s="174"/>
      <x:c r="AV364" s="174"/>
      <x:c r="AW364" s="174"/>
      <x:c r="AX364" s="174"/>
      <x:c r="AY364" s="174"/>
      <x:c r="AZ364" s="174"/>
      <x:c r="BA364" s="174"/>
      <x:c r="BB364" s="174"/>
      <x:c r="BC364" s="174"/>
      <x:c r="BD364" s="174"/>
      <x:c r="BE364" s="174"/>
      <x:c r="BF364" s="174"/>
      <x:c r="BG364" s="174"/>
      <x:c r="BH364" s="174"/>
      <x:c r="BI364" s="174"/>
      <x:c r="BJ364" s="174"/>
      <x:c r="BK364" s="174"/>
      <x:c r="BL364" s="174"/>
      <x:c r="BM364" s="174"/>
      <x:c r="BN364" s="174"/>
      <x:c r="BO364" s="174"/>
      <x:c r="BP364" s="174"/>
      <x:c r="BQ364" s="174"/>
      <x:c r="BR364" s="174"/>
      <x:c r="BS364" s="174"/>
      <x:c r="BT364" s="174"/>
      <x:c r="BU364" s="174"/>
      <x:c r="BV364" s="174"/>
      <x:c r="BW364" s="174"/>
      <x:c r="BX364" s="174"/>
      <x:c r="BY364" s="174"/>
      <x:c r="BZ364" s="174"/>
      <x:c r="CA364" s="174"/>
      <x:c r="CB364" s="174"/>
      <x:c r="CC364" s="174"/>
      <x:c r="CD364" s="174"/>
      <x:c r="CE364" s="174"/>
      <x:c r="CF364" s="174"/>
      <x:c r="CG364" s="174"/>
      <x:c r="CH364" s="174"/>
      <x:c r="CI364" s="179"/>
      <x:c r="CJ364" s="174"/>
      <x:c r="CK364" s="174"/>
      <x:c r="CL364" s="174"/>
      <x:c r="CM364" s="174"/>
      <x:c r="CN364" s="174"/>
      <x:c r="CO364" s="177"/>
      <x:c r="CP364" s="174"/>
      <x:c r="CQ364" s="174"/>
      <x:c r="CR364" s="174"/>
      <x:c r="CS364" s="174"/>
      <x:c r="CT364" s="174"/>
      <x:c r="CU364" s="176"/>
      <x:c r="CV364" s="176"/>
      <x:c r="CW364" s="176"/>
      <x:c r="CX364" s="176"/>
      <x:c r="CY364" s="176"/>
      <x:c r="CZ364" s="176"/>
      <x:c r="DA364" s="176"/>
      <x:c r="DB364" s="175" t="str">
        <x:f>IF(L364="","",IF(COUNT(CU364:DA364)&lt;7,"",SUM(CU364:DA364)))</x:f>
      </x:c>
      <x:c r="DC364" s="180" t="str">
        <x:f>IF(DB364="","",ROUND(DB364/14*10,1))</x:f>
      </x:c>
      <x:c r="DD364" s="174"/>
      <x:c r="DE364" s="175" t="str">
        <x:f>IF(L364="","",IF(DC364="","Pending",IF(DD364="Yes","CONDITIONAL — safety override",IF(DC364&gt;=8,"HIGH",IF(DC364&gt;=5,"CONDITIONAL","LOW")))))</x:f>
      </x:c>
      <x:c r="DF364" s="174"/>
      <x:c r="DG364" s="174"/>
      <x:c r="DH364" s="174"/>
      <x:c r="DI364" s="174"/>
      <x:c r="DJ364" s="174"/>
      <x:c r="DK364" s="174"/>
      <x:c r="DL364" s="174"/>
      <x:c r="DM364" s="174"/>
      <x:c r="DN364" s="174"/>
      <x:c r="DO364" s="174"/>
      <x:c r="DP364" s="174"/>
      <x:c r="DQ364" s="174"/>
      <x:c r="DR364" s="174"/>
      <x:c r="DS364" s="174"/>
      <x:c r="DT364" s="174"/>
      <x:c r="DU364" s="174"/>
      <x:c r="DV364" s="174"/>
      <x:c r="DW364" s="174"/>
      <x:c r="DX364" s="174"/>
      <x:c r="DY364" s="174"/>
      <x:c r="DZ364" s="174"/>
      <x:c r="EA364" s="174"/>
      <x:c r="EB364" s="175" t="str">
        <x:f>IF(L364="","",IF(AND(F364="Claim-ready",CJ364="Yes",CL364="Yes",DZ364&lt;&gt;""),"Yes","No / Pending"))</x:f>
      </x:c>
      <x:c r="EC364" s="174"/>
      <x:c r="ED364" s="174"/>
      <x:c r="EE364" s="174"/>
      <x:c r="EF364" s="174"/>
      <x:c r="EG364" s="174"/>
      <x:c r="EH364" s="177"/>
      <x:c r="EI364" s="174"/>
      <x:c r="EJ364" s="174"/>
      <x:c r="EK364" s="174"/>
      <x:c r="EL364" s="177"/>
      <x:c r="EM364" s="174"/>
      <x:c r="EN364" s="181" t="str">
        <x:f>IF(L364="","",(IF(N364&lt;&gt;"",1,0)+IF(O364&lt;&gt;"",1,0)+IF(AJ364&lt;&gt;"",1,0)+IF(AU364&lt;&gt;"",1,0)+IF(BE364&lt;&gt;"",1,0)+IF(CF364&lt;&gt;"",1,0)+IF(CJ364="Yes",1,0)+IF(CL364="Yes",1,0)+IF(DE364&lt;&gt;"Pending",1,0)+IF(F364&lt;&gt;"",1,0)+IF(DZ364&lt;&gt;"",1,0)+IF(EI364&lt;&gt;"",1,0))/12)</x:f>
      </x:c>
    </x:row>
    <x:row r="365">
      <x:c r="A365" s="175" t="str">
        <x:f>IF(L365="","","EV-"&amp;TEXT(ROW()-3,"0000"))</x:f>
      </x:c>
      <x:c r="B365" s="174"/>
      <x:c r="C365" s="175" t="str">
        <x:f>IF(L365="","",IF(OR(CM365="Retracted",CN365="Retracted",F365="Not used"),"🔴 Do not use for conclusion",IF(OR(R365="Official / Institutional",I365="Official / contextual"),"🔵 Official / contextual",IF(OR(I365="Definition",I365="Framework",I365="Paradigm shift"),"🟣 Conceptual key source",IF(AND(CJ365="Yes",CL365="Yes",OR(CG365="High",CG365="Moderate"),CH365&lt;&gt;"High",CH365&lt;&gt;"Critical",F365="Claim-ready"),"🟢 Claim-ready","🟡 Caution / context")))))</x:f>
      </x:c>
      <x:c r="D365" s="174"/>
      <x:c r="E365" s="174"/>
      <x:c r="F365" s="174"/>
      <x:c r="G365" s="174"/>
      <x:c r="H365" s="174"/>
      <x:c r="I365" s="174"/>
      <x:c r="J365" s="174"/>
      <x:c r="K365" s="174"/>
      <x:c r="L365" s="174"/>
      <x:c r="M365" s="174"/>
      <x:c r="N365" s="174"/>
      <x:c r="O365" s="176"/>
      <x:c r="P365" s="174"/>
      <x:c r="Q365" s="174"/>
      <x:c r="R365" s="174"/>
      <x:c r="S365" s="174"/>
      <x:c r="T365" s="174"/>
      <x:c r="U365" s="174"/>
      <x:c r="V365" s="174"/>
      <x:c r="W365" s="175" t="str">
        <x:f>IF(V365="","",LOWER(SUBSTITUTE(SUBSTITUTE(SUBSTITUTE(SUBSTITUTE(TRIM(V365),"https://doi.org/",""),"http://doi.org/",""),"https://dx.doi.org/",""),"doi:","")))</x:f>
      </x:c>
      <x:c r="X365" s="174"/>
      <x:c r="Y365" s="174"/>
      <x:c r="Z365" s="174"/>
      <x:c r="AA365" s="174"/>
      <x:c r="AB365" s="174"/>
      <x:c r="AC365" s="174"/>
      <x:c r="AD365" s="177"/>
      <x:c r="AE365" s="177"/>
      <x:c r="AF365" s="174"/>
      <x:c r="AG365" s="174"/>
      <x:c r="AH365" s="174"/>
      <x:c r="AI365" s="174"/>
      <x:c r="AJ365" s="174"/>
      <x:c r="AK365" s="175" t="str">
        <x:f>IF(AJ365="","",IF(OR(LOWER(AJ365)="brazil",LOWER(AJ365)="brasil"),"Yes","No"))</x:f>
      </x:c>
      <x:c r="AL365" s="174"/>
      <x:c r="AM365" s="174"/>
      <x:c r="AN365" s="174"/>
      <x:c r="AO365" s="178"/>
      <x:c r="AP365" s="174"/>
      <x:c r="AQ365" s="174"/>
      <x:c r="AR365" s="174"/>
      <x:c r="AS365" s="174"/>
      <x:c r="AT365" s="174"/>
      <x:c r="AU365" s="174"/>
      <x:c r="AV365" s="174"/>
      <x:c r="AW365" s="174"/>
      <x:c r="AX365" s="174"/>
      <x:c r="AY365" s="174"/>
      <x:c r="AZ365" s="174"/>
      <x:c r="BA365" s="174"/>
      <x:c r="BB365" s="174"/>
      <x:c r="BC365" s="174"/>
      <x:c r="BD365" s="174"/>
      <x:c r="BE365" s="174"/>
      <x:c r="BF365" s="174"/>
      <x:c r="BG365" s="174"/>
      <x:c r="BH365" s="174"/>
      <x:c r="BI365" s="174"/>
      <x:c r="BJ365" s="174"/>
      <x:c r="BK365" s="174"/>
      <x:c r="BL365" s="174"/>
      <x:c r="BM365" s="174"/>
      <x:c r="BN365" s="174"/>
      <x:c r="BO365" s="174"/>
      <x:c r="BP365" s="174"/>
      <x:c r="BQ365" s="174"/>
      <x:c r="BR365" s="174"/>
      <x:c r="BS365" s="174"/>
      <x:c r="BT365" s="174"/>
      <x:c r="BU365" s="174"/>
      <x:c r="BV365" s="174"/>
      <x:c r="BW365" s="174"/>
      <x:c r="BX365" s="174"/>
      <x:c r="BY365" s="174"/>
      <x:c r="BZ365" s="174"/>
      <x:c r="CA365" s="174"/>
      <x:c r="CB365" s="174"/>
      <x:c r="CC365" s="174"/>
      <x:c r="CD365" s="174"/>
      <x:c r="CE365" s="174"/>
      <x:c r="CF365" s="174"/>
      <x:c r="CG365" s="174"/>
      <x:c r="CH365" s="174"/>
      <x:c r="CI365" s="179"/>
      <x:c r="CJ365" s="174"/>
      <x:c r="CK365" s="174"/>
      <x:c r="CL365" s="174"/>
      <x:c r="CM365" s="174"/>
      <x:c r="CN365" s="174"/>
      <x:c r="CO365" s="177"/>
      <x:c r="CP365" s="174"/>
      <x:c r="CQ365" s="174"/>
      <x:c r="CR365" s="174"/>
      <x:c r="CS365" s="174"/>
      <x:c r="CT365" s="174"/>
      <x:c r="CU365" s="176"/>
      <x:c r="CV365" s="176"/>
      <x:c r="CW365" s="176"/>
      <x:c r="CX365" s="176"/>
      <x:c r="CY365" s="176"/>
      <x:c r="CZ365" s="176"/>
      <x:c r="DA365" s="176"/>
      <x:c r="DB365" s="175" t="str">
        <x:f>IF(L365="","",IF(COUNT(CU365:DA365)&lt;7,"",SUM(CU365:DA365)))</x:f>
      </x:c>
      <x:c r="DC365" s="180" t="str">
        <x:f>IF(DB365="","",ROUND(DB365/14*10,1))</x:f>
      </x:c>
      <x:c r="DD365" s="174"/>
      <x:c r="DE365" s="175" t="str">
        <x:f>IF(L365="","",IF(DC365="","Pending",IF(DD365="Yes","CONDITIONAL — safety override",IF(DC365&gt;=8,"HIGH",IF(DC365&gt;=5,"CONDITIONAL","LOW")))))</x:f>
      </x:c>
      <x:c r="DF365" s="174"/>
      <x:c r="DG365" s="174"/>
      <x:c r="DH365" s="174"/>
      <x:c r="DI365" s="174"/>
      <x:c r="DJ365" s="174"/>
      <x:c r="DK365" s="174"/>
      <x:c r="DL365" s="174"/>
      <x:c r="DM365" s="174"/>
      <x:c r="DN365" s="174"/>
      <x:c r="DO365" s="174"/>
      <x:c r="DP365" s="174"/>
      <x:c r="DQ365" s="174"/>
      <x:c r="DR365" s="174"/>
      <x:c r="DS365" s="174"/>
      <x:c r="DT365" s="174"/>
      <x:c r="DU365" s="174"/>
      <x:c r="DV365" s="174"/>
      <x:c r="DW365" s="174"/>
      <x:c r="DX365" s="174"/>
      <x:c r="DY365" s="174"/>
      <x:c r="DZ365" s="174"/>
      <x:c r="EA365" s="174"/>
      <x:c r="EB365" s="175" t="str">
        <x:f>IF(L365="","",IF(AND(F365="Claim-ready",CJ365="Yes",CL365="Yes",DZ365&lt;&gt;""),"Yes","No / Pending"))</x:f>
      </x:c>
      <x:c r="EC365" s="174"/>
      <x:c r="ED365" s="174"/>
      <x:c r="EE365" s="174"/>
      <x:c r="EF365" s="174"/>
      <x:c r="EG365" s="174"/>
      <x:c r="EH365" s="177"/>
      <x:c r="EI365" s="174"/>
      <x:c r="EJ365" s="174"/>
      <x:c r="EK365" s="174"/>
      <x:c r="EL365" s="177"/>
      <x:c r="EM365" s="174"/>
      <x:c r="EN365" s="181" t="str">
        <x:f>IF(L365="","",(IF(N365&lt;&gt;"",1,0)+IF(O365&lt;&gt;"",1,0)+IF(AJ365&lt;&gt;"",1,0)+IF(AU365&lt;&gt;"",1,0)+IF(BE365&lt;&gt;"",1,0)+IF(CF365&lt;&gt;"",1,0)+IF(CJ365="Yes",1,0)+IF(CL365="Yes",1,0)+IF(DE365&lt;&gt;"Pending",1,0)+IF(F365&lt;&gt;"",1,0)+IF(DZ365&lt;&gt;"",1,0)+IF(EI365&lt;&gt;"",1,0))/12)</x:f>
      </x:c>
    </x:row>
    <x:row r="366">
      <x:c r="A366" s="175" t="str">
        <x:f>IF(L366="","","EV-"&amp;TEXT(ROW()-3,"0000"))</x:f>
      </x:c>
      <x:c r="B366" s="174"/>
      <x:c r="C366" s="175" t="str">
        <x:f>IF(L366="","",IF(OR(CM366="Retracted",CN366="Retracted",F366="Not used"),"🔴 Do not use for conclusion",IF(OR(R366="Official / Institutional",I366="Official / contextual"),"🔵 Official / contextual",IF(OR(I366="Definition",I366="Framework",I366="Paradigm shift"),"🟣 Conceptual key source",IF(AND(CJ366="Yes",CL366="Yes",OR(CG366="High",CG366="Moderate"),CH366&lt;&gt;"High",CH366&lt;&gt;"Critical",F366="Claim-ready"),"🟢 Claim-ready","🟡 Caution / context")))))</x:f>
      </x:c>
      <x:c r="D366" s="174"/>
      <x:c r="E366" s="174"/>
      <x:c r="F366" s="174"/>
      <x:c r="G366" s="174"/>
      <x:c r="H366" s="174"/>
      <x:c r="I366" s="174"/>
      <x:c r="J366" s="174"/>
      <x:c r="K366" s="174"/>
      <x:c r="L366" s="174"/>
      <x:c r="M366" s="174"/>
      <x:c r="N366" s="174"/>
      <x:c r="O366" s="176"/>
      <x:c r="P366" s="174"/>
      <x:c r="Q366" s="174"/>
      <x:c r="R366" s="174"/>
      <x:c r="S366" s="174"/>
      <x:c r="T366" s="174"/>
      <x:c r="U366" s="174"/>
      <x:c r="V366" s="174"/>
      <x:c r="W366" s="175" t="str">
        <x:f>IF(V366="","",LOWER(SUBSTITUTE(SUBSTITUTE(SUBSTITUTE(SUBSTITUTE(TRIM(V366),"https://doi.org/",""),"http://doi.org/",""),"https://dx.doi.org/",""),"doi:","")))</x:f>
      </x:c>
      <x:c r="X366" s="174"/>
      <x:c r="Y366" s="174"/>
      <x:c r="Z366" s="174"/>
      <x:c r="AA366" s="174"/>
      <x:c r="AB366" s="174"/>
      <x:c r="AC366" s="174"/>
      <x:c r="AD366" s="177"/>
      <x:c r="AE366" s="177"/>
      <x:c r="AF366" s="174"/>
      <x:c r="AG366" s="174"/>
      <x:c r="AH366" s="174"/>
      <x:c r="AI366" s="174"/>
      <x:c r="AJ366" s="174"/>
      <x:c r="AK366" s="175" t="str">
        <x:f>IF(AJ366="","",IF(OR(LOWER(AJ366)="brazil",LOWER(AJ366)="brasil"),"Yes","No"))</x:f>
      </x:c>
      <x:c r="AL366" s="174"/>
      <x:c r="AM366" s="174"/>
      <x:c r="AN366" s="174"/>
      <x:c r="AO366" s="178"/>
      <x:c r="AP366" s="174"/>
      <x:c r="AQ366" s="174"/>
      <x:c r="AR366" s="174"/>
      <x:c r="AS366" s="174"/>
      <x:c r="AT366" s="174"/>
      <x:c r="AU366" s="174"/>
      <x:c r="AV366" s="174"/>
      <x:c r="AW366" s="174"/>
      <x:c r="AX366" s="174"/>
      <x:c r="AY366" s="174"/>
      <x:c r="AZ366" s="174"/>
      <x:c r="BA366" s="174"/>
      <x:c r="BB366" s="174"/>
      <x:c r="BC366" s="174"/>
      <x:c r="BD366" s="174"/>
      <x:c r="BE366" s="174"/>
      <x:c r="BF366" s="174"/>
      <x:c r="BG366" s="174"/>
      <x:c r="BH366" s="174"/>
      <x:c r="BI366" s="174"/>
      <x:c r="BJ366" s="174"/>
      <x:c r="BK366" s="174"/>
      <x:c r="BL366" s="174"/>
      <x:c r="BM366" s="174"/>
      <x:c r="BN366" s="174"/>
      <x:c r="BO366" s="174"/>
      <x:c r="BP366" s="174"/>
      <x:c r="BQ366" s="174"/>
      <x:c r="BR366" s="174"/>
      <x:c r="BS366" s="174"/>
      <x:c r="BT366" s="174"/>
      <x:c r="BU366" s="174"/>
      <x:c r="BV366" s="174"/>
      <x:c r="BW366" s="174"/>
      <x:c r="BX366" s="174"/>
      <x:c r="BY366" s="174"/>
      <x:c r="BZ366" s="174"/>
      <x:c r="CA366" s="174"/>
      <x:c r="CB366" s="174"/>
      <x:c r="CC366" s="174"/>
      <x:c r="CD366" s="174"/>
      <x:c r="CE366" s="174"/>
      <x:c r="CF366" s="174"/>
      <x:c r="CG366" s="174"/>
      <x:c r="CH366" s="174"/>
      <x:c r="CI366" s="179"/>
      <x:c r="CJ366" s="174"/>
      <x:c r="CK366" s="174"/>
      <x:c r="CL366" s="174"/>
      <x:c r="CM366" s="174"/>
      <x:c r="CN366" s="174"/>
      <x:c r="CO366" s="177"/>
      <x:c r="CP366" s="174"/>
      <x:c r="CQ366" s="174"/>
      <x:c r="CR366" s="174"/>
      <x:c r="CS366" s="174"/>
      <x:c r="CT366" s="174"/>
      <x:c r="CU366" s="176"/>
      <x:c r="CV366" s="176"/>
      <x:c r="CW366" s="176"/>
      <x:c r="CX366" s="176"/>
      <x:c r="CY366" s="176"/>
      <x:c r="CZ366" s="176"/>
      <x:c r="DA366" s="176"/>
      <x:c r="DB366" s="175" t="str">
        <x:f>IF(L366="","",IF(COUNT(CU366:DA366)&lt;7,"",SUM(CU366:DA366)))</x:f>
      </x:c>
      <x:c r="DC366" s="180" t="str">
        <x:f>IF(DB366="","",ROUND(DB366/14*10,1))</x:f>
      </x:c>
      <x:c r="DD366" s="174"/>
      <x:c r="DE366" s="175" t="str">
        <x:f>IF(L366="","",IF(DC366="","Pending",IF(DD366="Yes","CONDITIONAL — safety override",IF(DC366&gt;=8,"HIGH",IF(DC366&gt;=5,"CONDITIONAL","LOW")))))</x:f>
      </x:c>
      <x:c r="DF366" s="174"/>
      <x:c r="DG366" s="174"/>
      <x:c r="DH366" s="174"/>
      <x:c r="DI366" s="174"/>
      <x:c r="DJ366" s="174"/>
      <x:c r="DK366" s="174"/>
      <x:c r="DL366" s="174"/>
      <x:c r="DM366" s="174"/>
      <x:c r="DN366" s="174"/>
      <x:c r="DO366" s="174"/>
      <x:c r="DP366" s="174"/>
      <x:c r="DQ366" s="174"/>
      <x:c r="DR366" s="174"/>
      <x:c r="DS366" s="174"/>
      <x:c r="DT366" s="174"/>
      <x:c r="DU366" s="174"/>
      <x:c r="DV366" s="174"/>
      <x:c r="DW366" s="174"/>
      <x:c r="DX366" s="174"/>
      <x:c r="DY366" s="174"/>
      <x:c r="DZ366" s="174"/>
      <x:c r="EA366" s="174"/>
      <x:c r="EB366" s="175" t="str">
        <x:f>IF(L366="","",IF(AND(F366="Claim-ready",CJ366="Yes",CL366="Yes",DZ366&lt;&gt;""),"Yes","No / Pending"))</x:f>
      </x:c>
      <x:c r="EC366" s="174"/>
      <x:c r="ED366" s="174"/>
      <x:c r="EE366" s="174"/>
      <x:c r="EF366" s="174"/>
      <x:c r="EG366" s="174"/>
      <x:c r="EH366" s="177"/>
      <x:c r="EI366" s="174"/>
      <x:c r="EJ366" s="174"/>
      <x:c r="EK366" s="174"/>
      <x:c r="EL366" s="177"/>
      <x:c r="EM366" s="174"/>
      <x:c r="EN366" s="181" t="str">
        <x:f>IF(L366="","",(IF(N366&lt;&gt;"",1,0)+IF(O366&lt;&gt;"",1,0)+IF(AJ366&lt;&gt;"",1,0)+IF(AU366&lt;&gt;"",1,0)+IF(BE366&lt;&gt;"",1,0)+IF(CF366&lt;&gt;"",1,0)+IF(CJ366="Yes",1,0)+IF(CL366="Yes",1,0)+IF(DE366&lt;&gt;"Pending",1,0)+IF(F366&lt;&gt;"",1,0)+IF(DZ366&lt;&gt;"",1,0)+IF(EI366&lt;&gt;"",1,0))/12)</x:f>
      </x:c>
    </x:row>
    <x:row r="367">
      <x:c r="A367" s="175" t="str">
        <x:f>IF(L367="","","EV-"&amp;TEXT(ROW()-3,"0000"))</x:f>
      </x:c>
      <x:c r="B367" s="174"/>
      <x:c r="C367" s="175" t="str">
        <x:f>IF(L367="","",IF(OR(CM367="Retracted",CN367="Retracted",F367="Not used"),"🔴 Do not use for conclusion",IF(OR(R367="Official / Institutional",I367="Official / contextual"),"🔵 Official / contextual",IF(OR(I367="Definition",I367="Framework",I367="Paradigm shift"),"🟣 Conceptual key source",IF(AND(CJ367="Yes",CL367="Yes",OR(CG367="High",CG367="Moderate"),CH367&lt;&gt;"High",CH367&lt;&gt;"Critical",F367="Claim-ready"),"🟢 Claim-ready","🟡 Caution / context")))))</x:f>
      </x:c>
      <x:c r="D367" s="174"/>
      <x:c r="E367" s="174"/>
      <x:c r="F367" s="174"/>
      <x:c r="G367" s="174"/>
      <x:c r="H367" s="174"/>
      <x:c r="I367" s="174"/>
      <x:c r="J367" s="174"/>
      <x:c r="K367" s="174"/>
      <x:c r="L367" s="174"/>
      <x:c r="M367" s="174"/>
      <x:c r="N367" s="174"/>
      <x:c r="O367" s="176"/>
      <x:c r="P367" s="174"/>
      <x:c r="Q367" s="174"/>
      <x:c r="R367" s="174"/>
      <x:c r="S367" s="174"/>
      <x:c r="T367" s="174"/>
      <x:c r="U367" s="174"/>
      <x:c r="V367" s="174"/>
      <x:c r="W367" s="175" t="str">
        <x:f>IF(V367="","",LOWER(SUBSTITUTE(SUBSTITUTE(SUBSTITUTE(SUBSTITUTE(TRIM(V367),"https://doi.org/",""),"http://doi.org/",""),"https://dx.doi.org/",""),"doi:","")))</x:f>
      </x:c>
      <x:c r="X367" s="174"/>
      <x:c r="Y367" s="174"/>
      <x:c r="Z367" s="174"/>
      <x:c r="AA367" s="174"/>
      <x:c r="AB367" s="174"/>
      <x:c r="AC367" s="174"/>
      <x:c r="AD367" s="177"/>
      <x:c r="AE367" s="177"/>
      <x:c r="AF367" s="174"/>
      <x:c r="AG367" s="174"/>
      <x:c r="AH367" s="174"/>
      <x:c r="AI367" s="174"/>
      <x:c r="AJ367" s="174"/>
      <x:c r="AK367" s="175" t="str">
        <x:f>IF(AJ367="","",IF(OR(LOWER(AJ367)="brazil",LOWER(AJ367)="brasil"),"Yes","No"))</x:f>
      </x:c>
      <x:c r="AL367" s="174"/>
      <x:c r="AM367" s="174"/>
      <x:c r="AN367" s="174"/>
      <x:c r="AO367" s="178"/>
      <x:c r="AP367" s="174"/>
      <x:c r="AQ367" s="174"/>
      <x:c r="AR367" s="174"/>
      <x:c r="AS367" s="174"/>
      <x:c r="AT367" s="174"/>
      <x:c r="AU367" s="174"/>
      <x:c r="AV367" s="174"/>
      <x:c r="AW367" s="174"/>
      <x:c r="AX367" s="174"/>
      <x:c r="AY367" s="174"/>
      <x:c r="AZ367" s="174"/>
      <x:c r="BA367" s="174"/>
      <x:c r="BB367" s="174"/>
      <x:c r="BC367" s="174"/>
      <x:c r="BD367" s="174"/>
      <x:c r="BE367" s="174"/>
      <x:c r="BF367" s="174"/>
      <x:c r="BG367" s="174"/>
      <x:c r="BH367" s="174"/>
      <x:c r="BI367" s="174"/>
      <x:c r="BJ367" s="174"/>
      <x:c r="BK367" s="174"/>
      <x:c r="BL367" s="174"/>
      <x:c r="BM367" s="174"/>
      <x:c r="BN367" s="174"/>
      <x:c r="BO367" s="174"/>
      <x:c r="BP367" s="174"/>
      <x:c r="BQ367" s="174"/>
      <x:c r="BR367" s="174"/>
      <x:c r="BS367" s="174"/>
      <x:c r="BT367" s="174"/>
      <x:c r="BU367" s="174"/>
      <x:c r="BV367" s="174"/>
      <x:c r="BW367" s="174"/>
      <x:c r="BX367" s="174"/>
      <x:c r="BY367" s="174"/>
      <x:c r="BZ367" s="174"/>
      <x:c r="CA367" s="174"/>
      <x:c r="CB367" s="174"/>
      <x:c r="CC367" s="174"/>
      <x:c r="CD367" s="174"/>
      <x:c r="CE367" s="174"/>
      <x:c r="CF367" s="174"/>
      <x:c r="CG367" s="174"/>
      <x:c r="CH367" s="174"/>
      <x:c r="CI367" s="179"/>
      <x:c r="CJ367" s="174"/>
      <x:c r="CK367" s="174"/>
      <x:c r="CL367" s="174"/>
      <x:c r="CM367" s="174"/>
      <x:c r="CN367" s="174"/>
      <x:c r="CO367" s="177"/>
      <x:c r="CP367" s="174"/>
      <x:c r="CQ367" s="174"/>
      <x:c r="CR367" s="174"/>
      <x:c r="CS367" s="174"/>
      <x:c r="CT367" s="174"/>
      <x:c r="CU367" s="176"/>
      <x:c r="CV367" s="176"/>
      <x:c r="CW367" s="176"/>
      <x:c r="CX367" s="176"/>
      <x:c r="CY367" s="176"/>
      <x:c r="CZ367" s="176"/>
      <x:c r="DA367" s="176"/>
      <x:c r="DB367" s="175" t="str">
        <x:f>IF(L367="","",IF(COUNT(CU367:DA367)&lt;7,"",SUM(CU367:DA367)))</x:f>
      </x:c>
      <x:c r="DC367" s="180" t="str">
        <x:f>IF(DB367="","",ROUND(DB367/14*10,1))</x:f>
      </x:c>
      <x:c r="DD367" s="174"/>
      <x:c r="DE367" s="175" t="str">
        <x:f>IF(L367="","",IF(DC367="","Pending",IF(DD367="Yes","CONDITIONAL — safety override",IF(DC367&gt;=8,"HIGH",IF(DC367&gt;=5,"CONDITIONAL","LOW")))))</x:f>
      </x:c>
      <x:c r="DF367" s="174"/>
      <x:c r="DG367" s="174"/>
      <x:c r="DH367" s="174"/>
      <x:c r="DI367" s="174"/>
      <x:c r="DJ367" s="174"/>
      <x:c r="DK367" s="174"/>
      <x:c r="DL367" s="174"/>
      <x:c r="DM367" s="174"/>
      <x:c r="DN367" s="174"/>
      <x:c r="DO367" s="174"/>
      <x:c r="DP367" s="174"/>
      <x:c r="DQ367" s="174"/>
      <x:c r="DR367" s="174"/>
      <x:c r="DS367" s="174"/>
      <x:c r="DT367" s="174"/>
      <x:c r="DU367" s="174"/>
      <x:c r="DV367" s="174"/>
      <x:c r="DW367" s="174"/>
      <x:c r="DX367" s="174"/>
      <x:c r="DY367" s="174"/>
      <x:c r="DZ367" s="174"/>
      <x:c r="EA367" s="174"/>
      <x:c r="EB367" s="175" t="str">
        <x:f>IF(L367="","",IF(AND(F367="Claim-ready",CJ367="Yes",CL367="Yes",DZ367&lt;&gt;""),"Yes","No / Pending"))</x:f>
      </x:c>
      <x:c r="EC367" s="174"/>
      <x:c r="ED367" s="174"/>
      <x:c r="EE367" s="174"/>
      <x:c r="EF367" s="174"/>
      <x:c r="EG367" s="174"/>
      <x:c r="EH367" s="177"/>
      <x:c r="EI367" s="174"/>
      <x:c r="EJ367" s="174"/>
      <x:c r="EK367" s="174"/>
      <x:c r="EL367" s="177"/>
      <x:c r="EM367" s="174"/>
      <x:c r="EN367" s="181" t="str">
        <x:f>IF(L367="","",(IF(N367&lt;&gt;"",1,0)+IF(O367&lt;&gt;"",1,0)+IF(AJ367&lt;&gt;"",1,0)+IF(AU367&lt;&gt;"",1,0)+IF(BE367&lt;&gt;"",1,0)+IF(CF367&lt;&gt;"",1,0)+IF(CJ367="Yes",1,0)+IF(CL367="Yes",1,0)+IF(DE367&lt;&gt;"Pending",1,0)+IF(F367&lt;&gt;"",1,0)+IF(DZ367&lt;&gt;"",1,0)+IF(EI367&lt;&gt;"",1,0))/12)</x:f>
      </x:c>
    </x:row>
    <x:row r="368">
      <x:c r="A368" s="175" t="str">
        <x:f>IF(L368="","","EV-"&amp;TEXT(ROW()-3,"0000"))</x:f>
      </x:c>
      <x:c r="B368" s="174"/>
      <x:c r="C368" s="175" t="str">
        <x:f>IF(L368="","",IF(OR(CM368="Retracted",CN368="Retracted",F368="Not used"),"🔴 Do not use for conclusion",IF(OR(R368="Official / Institutional",I368="Official / contextual"),"🔵 Official / contextual",IF(OR(I368="Definition",I368="Framework",I368="Paradigm shift"),"🟣 Conceptual key source",IF(AND(CJ368="Yes",CL368="Yes",OR(CG368="High",CG368="Moderate"),CH368&lt;&gt;"High",CH368&lt;&gt;"Critical",F368="Claim-ready"),"🟢 Claim-ready","🟡 Caution / context")))))</x:f>
      </x:c>
      <x:c r="D368" s="174"/>
      <x:c r="E368" s="174"/>
      <x:c r="F368" s="174"/>
      <x:c r="G368" s="174"/>
      <x:c r="H368" s="174"/>
      <x:c r="I368" s="174"/>
      <x:c r="J368" s="174"/>
      <x:c r="K368" s="174"/>
      <x:c r="L368" s="174"/>
      <x:c r="M368" s="174"/>
      <x:c r="N368" s="174"/>
      <x:c r="O368" s="176"/>
      <x:c r="P368" s="174"/>
      <x:c r="Q368" s="174"/>
      <x:c r="R368" s="174"/>
      <x:c r="S368" s="174"/>
      <x:c r="T368" s="174"/>
      <x:c r="U368" s="174"/>
      <x:c r="V368" s="174"/>
      <x:c r="W368" s="175" t="str">
        <x:f>IF(V368="","",LOWER(SUBSTITUTE(SUBSTITUTE(SUBSTITUTE(SUBSTITUTE(TRIM(V368),"https://doi.org/",""),"http://doi.org/",""),"https://dx.doi.org/",""),"doi:","")))</x:f>
      </x:c>
      <x:c r="X368" s="174"/>
      <x:c r="Y368" s="174"/>
      <x:c r="Z368" s="174"/>
      <x:c r="AA368" s="174"/>
      <x:c r="AB368" s="174"/>
      <x:c r="AC368" s="174"/>
      <x:c r="AD368" s="177"/>
      <x:c r="AE368" s="177"/>
      <x:c r="AF368" s="174"/>
      <x:c r="AG368" s="174"/>
      <x:c r="AH368" s="174"/>
      <x:c r="AI368" s="174"/>
      <x:c r="AJ368" s="174"/>
      <x:c r="AK368" s="175" t="str">
        <x:f>IF(AJ368="","",IF(OR(LOWER(AJ368)="brazil",LOWER(AJ368)="brasil"),"Yes","No"))</x:f>
      </x:c>
      <x:c r="AL368" s="174"/>
      <x:c r="AM368" s="174"/>
      <x:c r="AN368" s="174"/>
      <x:c r="AO368" s="178"/>
      <x:c r="AP368" s="174"/>
      <x:c r="AQ368" s="174"/>
      <x:c r="AR368" s="174"/>
      <x:c r="AS368" s="174"/>
      <x:c r="AT368" s="174"/>
      <x:c r="AU368" s="174"/>
      <x:c r="AV368" s="174"/>
      <x:c r="AW368" s="174"/>
      <x:c r="AX368" s="174"/>
      <x:c r="AY368" s="174"/>
      <x:c r="AZ368" s="174"/>
      <x:c r="BA368" s="174"/>
      <x:c r="BB368" s="174"/>
      <x:c r="BC368" s="174"/>
      <x:c r="BD368" s="174"/>
      <x:c r="BE368" s="174"/>
      <x:c r="BF368" s="174"/>
      <x:c r="BG368" s="174"/>
      <x:c r="BH368" s="174"/>
      <x:c r="BI368" s="174"/>
      <x:c r="BJ368" s="174"/>
      <x:c r="BK368" s="174"/>
      <x:c r="BL368" s="174"/>
      <x:c r="BM368" s="174"/>
      <x:c r="BN368" s="174"/>
      <x:c r="BO368" s="174"/>
      <x:c r="BP368" s="174"/>
      <x:c r="BQ368" s="174"/>
      <x:c r="BR368" s="174"/>
      <x:c r="BS368" s="174"/>
      <x:c r="BT368" s="174"/>
      <x:c r="BU368" s="174"/>
      <x:c r="BV368" s="174"/>
      <x:c r="BW368" s="174"/>
      <x:c r="BX368" s="174"/>
      <x:c r="BY368" s="174"/>
      <x:c r="BZ368" s="174"/>
      <x:c r="CA368" s="174"/>
      <x:c r="CB368" s="174"/>
      <x:c r="CC368" s="174"/>
      <x:c r="CD368" s="174"/>
      <x:c r="CE368" s="174"/>
      <x:c r="CF368" s="174"/>
      <x:c r="CG368" s="174"/>
      <x:c r="CH368" s="174"/>
      <x:c r="CI368" s="179"/>
      <x:c r="CJ368" s="174"/>
      <x:c r="CK368" s="174"/>
      <x:c r="CL368" s="174"/>
      <x:c r="CM368" s="174"/>
      <x:c r="CN368" s="174"/>
      <x:c r="CO368" s="177"/>
      <x:c r="CP368" s="174"/>
      <x:c r="CQ368" s="174"/>
      <x:c r="CR368" s="174"/>
      <x:c r="CS368" s="174"/>
      <x:c r="CT368" s="174"/>
      <x:c r="CU368" s="176"/>
      <x:c r="CV368" s="176"/>
      <x:c r="CW368" s="176"/>
      <x:c r="CX368" s="176"/>
      <x:c r="CY368" s="176"/>
      <x:c r="CZ368" s="176"/>
      <x:c r="DA368" s="176"/>
      <x:c r="DB368" s="175" t="str">
        <x:f>IF(L368="","",IF(COUNT(CU368:DA368)&lt;7,"",SUM(CU368:DA368)))</x:f>
      </x:c>
      <x:c r="DC368" s="180" t="str">
        <x:f>IF(DB368="","",ROUND(DB368/14*10,1))</x:f>
      </x:c>
      <x:c r="DD368" s="174"/>
      <x:c r="DE368" s="175" t="str">
        <x:f>IF(L368="","",IF(DC368="","Pending",IF(DD368="Yes","CONDITIONAL — safety override",IF(DC368&gt;=8,"HIGH",IF(DC368&gt;=5,"CONDITIONAL","LOW")))))</x:f>
      </x:c>
      <x:c r="DF368" s="174"/>
      <x:c r="DG368" s="174"/>
      <x:c r="DH368" s="174"/>
      <x:c r="DI368" s="174"/>
      <x:c r="DJ368" s="174"/>
      <x:c r="DK368" s="174"/>
      <x:c r="DL368" s="174"/>
      <x:c r="DM368" s="174"/>
      <x:c r="DN368" s="174"/>
      <x:c r="DO368" s="174"/>
      <x:c r="DP368" s="174"/>
      <x:c r="DQ368" s="174"/>
      <x:c r="DR368" s="174"/>
      <x:c r="DS368" s="174"/>
      <x:c r="DT368" s="174"/>
      <x:c r="DU368" s="174"/>
      <x:c r="DV368" s="174"/>
      <x:c r="DW368" s="174"/>
      <x:c r="DX368" s="174"/>
      <x:c r="DY368" s="174"/>
      <x:c r="DZ368" s="174"/>
      <x:c r="EA368" s="174"/>
      <x:c r="EB368" s="175" t="str">
        <x:f>IF(L368="","",IF(AND(F368="Claim-ready",CJ368="Yes",CL368="Yes",DZ368&lt;&gt;""),"Yes","No / Pending"))</x:f>
      </x:c>
      <x:c r="EC368" s="174"/>
      <x:c r="ED368" s="174"/>
      <x:c r="EE368" s="174"/>
      <x:c r="EF368" s="174"/>
      <x:c r="EG368" s="174"/>
      <x:c r="EH368" s="177"/>
      <x:c r="EI368" s="174"/>
      <x:c r="EJ368" s="174"/>
      <x:c r="EK368" s="174"/>
      <x:c r="EL368" s="177"/>
      <x:c r="EM368" s="174"/>
      <x:c r="EN368" s="181" t="str">
        <x:f>IF(L368="","",(IF(N368&lt;&gt;"",1,0)+IF(O368&lt;&gt;"",1,0)+IF(AJ368&lt;&gt;"",1,0)+IF(AU368&lt;&gt;"",1,0)+IF(BE368&lt;&gt;"",1,0)+IF(CF368&lt;&gt;"",1,0)+IF(CJ368="Yes",1,0)+IF(CL368="Yes",1,0)+IF(DE368&lt;&gt;"Pending",1,0)+IF(F368&lt;&gt;"",1,0)+IF(DZ368&lt;&gt;"",1,0)+IF(EI368&lt;&gt;"",1,0))/12)</x:f>
      </x:c>
    </x:row>
    <x:row r="369">
      <x:c r="A369" s="175" t="str">
        <x:f>IF(L369="","","EV-"&amp;TEXT(ROW()-3,"0000"))</x:f>
      </x:c>
      <x:c r="B369" s="174"/>
      <x:c r="C369" s="175" t="str">
        <x:f>IF(L369="","",IF(OR(CM369="Retracted",CN369="Retracted",F369="Not used"),"🔴 Do not use for conclusion",IF(OR(R369="Official / Institutional",I369="Official / contextual"),"🔵 Official / contextual",IF(OR(I369="Definition",I369="Framework",I369="Paradigm shift"),"🟣 Conceptual key source",IF(AND(CJ369="Yes",CL369="Yes",OR(CG369="High",CG369="Moderate"),CH369&lt;&gt;"High",CH369&lt;&gt;"Critical",F369="Claim-ready"),"🟢 Claim-ready","🟡 Caution / context")))))</x:f>
      </x:c>
      <x:c r="D369" s="174"/>
      <x:c r="E369" s="174"/>
      <x:c r="F369" s="174"/>
      <x:c r="G369" s="174"/>
      <x:c r="H369" s="174"/>
      <x:c r="I369" s="174"/>
      <x:c r="J369" s="174"/>
      <x:c r="K369" s="174"/>
      <x:c r="L369" s="174"/>
      <x:c r="M369" s="174"/>
      <x:c r="N369" s="174"/>
      <x:c r="O369" s="176"/>
      <x:c r="P369" s="174"/>
      <x:c r="Q369" s="174"/>
      <x:c r="R369" s="174"/>
      <x:c r="S369" s="174"/>
      <x:c r="T369" s="174"/>
      <x:c r="U369" s="174"/>
      <x:c r="V369" s="174"/>
      <x:c r="W369" s="175" t="str">
        <x:f>IF(V369="","",LOWER(SUBSTITUTE(SUBSTITUTE(SUBSTITUTE(SUBSTITUTE(TRIM(V369),"https://doi.org/",""),"http://doi.org/",""),"https://dx.doi.org/",""),"doi:","")))</x:f>
      </x:c>
      <x:c r="X369" s="174"/>
      <x:c r="Y369" s="174"/>
      <x:c r="Z369" s="174"/>
      <x:c r="AA369" s="174"/>
      <x:c r="AB369" s="174"/>
      <x:c r="AC369" s="174"/>
      <x:c r="AD369" s="177"/>
      <x:c r="AE369" s="177"/>
      <x:c r="AF369" s="174"/>
      <x:c r="AG369" s="174"/>
      <x:c r="AH369" s="174"/>
      <x:c r="AI369" s="174"/>
      <x:c r="AJ369" s="174"/>
      <x:c r="AK369" s="175" t="str">
        <x:f>IF(AJ369="","",IF(OR(LOWER(AJ369)="brazil",LOWER(AJ369)="brasil"),"Yes","No"))</x:f>
      </x:c>
      <x:c r="AL369" s="174"/>
      <x:c r="AM369" s="174"/>
      <x:c r="AN369" s="174"/>
      <x:c r="AO369" s="178"/>
      <x:c r="AP369" s="174"/>
      <x:c r="AQ369" s="174"/>
      <x:c r="AR369" s="174"/>
      <x:c r="AS369" s="174"/>
      <x:c r="AT369" s="174"/>
      <x:c r="AU369" s="174"/>
      <x:c r="AV369" s="174"/>
      <x:c r="AW369" s="174"/>
      <x:c r="AX369" s="174"/>
      <x:c r="AY369" s="174"/>
      <x:c r="AZ369" s="174"/>
      <x:c r="BA369" s="174"/>
      <x:c r="BB369" s="174"/>
      <x:c r="BC369" s="174"/>
      <x:c r="BD369" s="174"/>
      <x:c r="BE369" s="174"/>
      <x:c r="BF369" s="174"/>
      <x:c r="BG369" s="174"/>
      <x:c r="BH369" s="174"/>
      <x:c r="BI369" s="174"/>
      <x:c r="BJ369" s="174"/>
      <x:c r="BK369" s="174"/>
      <x:c r="BL369" s="174"/>
      <x:c r="BM369" s="174"/>
      <x:c r="BN369" s="174"/>
      <x:c r="BO369" s="174"/>
      <x:c r="BP369" s="174"/>
      <x:c r="BQ369" s="174"/>
      <x:c r="BR369" s="174"/>
      <x:c r="BS369" s="174"/>
      <x:c r="BT369" s="174"/>
      <x:c r="BU369" s="174"/>
      <x:c r="BV369" s="174"/>
      <x:c r="BW369" s="174"/>
      <x:c r="BX369" s="174"/>
      <x:c r="BY369" s="174"/>
      <x:c r="BZ369" s="174"/>
      <x:c r="CA369" s="174"/>
      <x:c r="CB369" s="174"/>
      <x:c r="CC369" s="174"/>
      <x:c r="CD369" s="174"/>
      <x:c r="CE369" s="174"/>
      <x:c r="CF369" s="174"/>
      <x:c r="CG369" s="174"/>
      <x:c r="CH369" s="174"/>
      <x:c r="CI369" s="179"/>
      <x:c r="CJ369" s="174"/>
      <x:c r="CK369" s="174"/>
      <x:c r="CL369" s="174"/>
      <x:c r="CM369" s="174"/>
      <x:c r="CN369" s="174"/>
      <x:c r="CO369" s="177"/>
      <x:c r="CP369" s="174"/>
      <x:c r="CQ369" s="174"/>
      <x:c r="CR369" s="174"/>
      <x:c r="CS369" s="174"/>
      <x:c r="CT369" s="174"/>
      <x:c r="CU369" s="176"/>
      <x:c r="CV369" s="176"/>
      <x:c r="CW369" s="176"/>
      <x:c r="CX369" s="176"/>
      <x:c r="CY369" s="176"/>
      <x:c r="CZ369" s="176"/>
      <x:c r="DA369" s="176"/>
      <x:c r="DB369" s="175" t="str">
        <x:f>IF(L369="","",IF(COUNT(CU369:DA369)&lt;7,"",SUM(CU369:DA369)))</x:f>
      </x:c>
      <x:c r="DC369" s="180" t="str">
        <x:f>IF(DB369="","",ROUND(DB369/14*10,1))</x:f>
      </x:c>
      <x:c r="DD369" s="174"/>
      <x:c r="DE369" s="175" t="str">
        <x:f>IF(L369="","",IF(DC369="","Pending",IF(DD369="Yes","CONDITIONAL — safety override",IF(DC369&gt;=8,"HIGH",IF(DC369&gt;=5,"CONDITIONAL","LOW")))))</x:f>
      </x:c>
      <x:c r="DF369" s="174"/>
      <x:c r="DG369" s="174"/>
      <x:c r="DH369" s="174"/>
      <x:c r="DI369" s="174"/>
      <x:c r="DJ369" s="174"/>
      <x:c r="DK369" s="174"/>
      <x:c r="DL369" s="174"/>
      <x:c r="DM369" s="174"/>
      <x:c r="DN369" s="174"/>
      <x:c r="DO369" s="174"/>
      <x:c r="DP369" s="174"/>
      <x:c r="DQ369" s="174"/>
      <x:c r="DR369" s="174"/>
      <x:c r="DS369" s="174"/>
      <x:c r="DT369" s="174"/>
      <x:c r="DU369" s="174"/>
      <x:c r="DV369" s="174"/>
      <x:c r="DW369" s="174"/>
      <x:c r="DX369" s="174"/>
      <x:c r="DY369" s="174"/>
      <x:c r="DZ369" s="174"/>
      <x:c r="EA369" s="174"/>
      <x:c r="EB369" s="175" t="str">
        <x:f>IF(L369="","",IF(AND(F369="Claim-ready",CJ369="Yes",CL369="Yes",DZ369&lt;&gt;""),"Yes","No / Pending"))</x:f>
      </x:c>
      <x:c r="EC369" s="174"/>
      <x:c r="ED369" s="174"/>
      <x:c r="EE369" s="174"/>
      <x:c r="EF369" s="174"/>
      <x:c r="EG369" s="174"/>
      <x:c r="EH369" s="177"/>
      <x:c r="EI369" s="174"/>
      <x:c r="EJ369" s="174"/>
      <x:c r="EK369" s="174"/>
      <x:c r="EL369" s="177"/>
      <x:c r="EM369" s="174"/>
      <x:c r="EN369" s="181" t="str">
        <x:f>IF(L369="","",(IF(N369&lt;&gt;"",1,0)+IF(O369&lt;&gt;"",1,0)+IF(AJ369&lt;&gt;"",1,0)+IF(AU369&lt;&gt;"",1,0)+IF(BE369&lt;&gt;"",1,0)+IF(CF369&lt;&gt;"",1,0)+IF(CJ369="Yes",1,0)+IF(CL369="Yes",1,0)+IF(DE369&lt;&gt;"Pending",1,0)+IF(F369&lt;&gt;"",1,0)+IF(DZ369&lt;&gt;"",1,0)+IF(EI369&lt;&gt;"",1,0))/12)</x:f>
      </x:c>
    </x:row>
    <x:row r="370">
      <x:c r="A370" s="175" t="str">
        <x:f>IF(L370="","","EV-"&amp;TEXT(ROW()-3,"0000"))</x:f>
      </x:c>
      <x:c r="B370" s="174"/>
      <x:c r="C370" s="175" t="str">
        <x:f>IF(L370="","",IF(OR(CM370="Retracted",CN370="Retracted",F370="Not used"),"🔴 Do not use for conclusion",IF(OR(R370="Official / Institutional",I370="Official / contextual"),"🔵 Official / contextual",IF(OR(I370="Definition",I370="Framework",I370="Paradigm shift"),"🟣 Conceptual key source",IF(AND(CJ370="Yes",CL370="Yes",OR(CG370="High",CG370="Moderate"),CH370&lt;&gt;"High",CH370&lt;&gt;"Critical",F370="Claim-ready"),"🟢 Claim-ready","🟡 Caution / context")))))</x:f>
      </x:c>
      <x:c r="D370" s="174"/>
      <x:c r="E370" s="174"/>
      <x:c r="F370" s="174"/>
      <x:c r="G370" s="174"/>
      <x:c r="H370" s="174"/>
      <x:c r="I370" s="174"/>
      <x:c r="J370" s="174"/>
      <x:c r="K370" s="174"/>
      <x:c r="L370" s="174"/>
      <x:c r="M370" s="174"/>
      <x:c r="N370" s="174"/>
      <x:c r="O370" s="176"/>
      <x:c r="P370" s="174"/>
      <x:c r="Q370" s="174"/>
      <x:c r="R370" s="174"/>
      <x:c r="S370" s="174"/>
      <x:c r="T370" s="174"/>
      <x:c r="U370" s="174"/>
      <x:c r="V370" s="174"/>
      <x:c r="W370" s="175" t="str">
        <x:f>IF(V370="","",LOWER(SUBSTITUTE(SUBSTITUTE(SUBSTITUTE(SUBSTITUTE(TRIM(V370),"https://doi.org/",""),"http://doi.org/",""),"https://dx.doi.org/",""),"doi:","")))</x:f>
      </x:c>
      <x:c r="X370" s="174"/>
      <x:c r="Y370" s="174"/>
      <x:c r="Z370" s="174"/>
      <x:c r="AA370" s="174"/>
      <x:c r="AB370" s="174"/>
      <x:c r="AC370" s="174"/>
      <x:c r="AD370" s="177"/>
      <x:c r="AE370" s="177"/>
      <x:c r="AF370" s="174"/>
      <x:c r="AG370" s="174"/>
      <x:c r="AH370" s="174"/>
      <x:c r="AI370" s="174"/>
      <x:c r="AJ370" s="174"/>
      <x:c r="AK370" s="175" t="str">
        <x:f>IF(AJ370="","",IF(OR(LOWER(AJ370)="brazil",LOWER(AJ370)="brasil"),"Yes","No"))</x:f>
      </x:c>
      <x:c r="AL370" s="174"/>
      <x:c r="AM370" s="174"/>
      <x:c r="AN370" s="174"/>
      <x:c r="AO370" s="178"/>
      <x:c r="AP370" s="174"/>
      <x:c r="AQ370" s="174"/>
      <x:c r="AR370" s="174"/>
      <x:c r="AS370" s="174"/>
      <x:c r="AT370" s="174"/>
      <x:c r="AU370" s="174"/>
      <x:c r="AV370" s="174"/>
      <x:c r="AW370" s="174"/>
      <x:c r="AX370" s="174"/>
      <x:c r="AY370" s="174"/>
      <x:c r="AZ370" s="174"/>
      <x:c r="BA370" s="174"/>
      <x:c r="BB370" s="174"/>
      <x:c r="BC370" s="174"/>
      <x:c r="BD370" s="174"/>
      <x:c r="BE370" s="174"/>
      <x:c r="BF370" s="174"/>
      <x:c r="BG370" s="174"/>
      <x:c r="BH370" s="174"/>
      <x:c r="BI370" s="174"/>
      <x:c r="BJ370" s="174"/>
      <x:c r="BK370" s="174"/>
      <x:c r="BL370" s="174"/>
      <x:c r="BM370" s="174"/>
      <x:c r="BN370" s="174"/>
      <x:c r="BO370" s="174"/>
      <x:c r="BP370" s="174"/>
      <x:c r="BQ370" s="174"/>
      <x:c r="BR370" s="174"/>
      <x:c r="BS370" s="174"/>
      <x:c r="BT370" s="174"/>
      <x:c r="BU370" s="174"/>
      <x:c r="BV370" s="174"/>
      <x:c r="BW370" s="174"/>
      <x:c r="BX370" s="174"/>
      <x:c r="BY370" s="174"/>
      <x:c r="BZ370" s="174"/>
      <x:c r="CA370" s="174"/>
      <x:c r="CB370" s="174"/>
      <x:c r="CC370" s="174"/>
      <x:c r="CD370" s="174"/>
      <x:c r="CE370" s="174"/>
      <x:c r="CF370" s="174"/>
      <x:c r="CG370" s="174"/>
      <x:c r="CH370" s="174"/>
      <x:c r="CI370" s="179"/>
      <x:c r="CJ370" s="174"/>
      <x:c r="CK370" s="174"/>
      <x:c r="CL370" s="174"/>
      <x:c r="CM370" s="174"/>
      <x:c r="CN370" s="174"/>
      <x:c r="CO370" s="177"/>
      <x:c r="CP370" s="174"/>
      <x:c r="CQ370" s="174"/>
      <x:c r="CR370" s="174"/>
      <x:c r="CS370" s="174"/>
      <x:c r="CT370" s="174"/>
      <x:c r="CU370" s="176"/>
      <x:c r="CV370" s="176"/>
      <x:c r="CW370" s="176"/>
      <x:c r="CX370" s="176"/>
      <x:c r="CY370" s="176"/>
      <x:c r="CZ370" s="176"/>
      <x:c r="DA370" s="176"/>
      <x:c r="DB370" s="175" t="str">
        <x:f>IF(L370="","",IF(COUNT(CU370:DA370)&lt;7,"",SUM(CU370:DA370)))</x:f>
      </x:c>
      <x:c r="DC370" s="180" t="str">
        <x:f>IF(DB370="","",ROUND(DB370/14*10,1))</x:f>
      </x:c>
      <x:c r="DD370" s="174"/>
      <x:c r="DE370" s="175" t="str">
        <x:f>IF(L370="","",IF(DC370="","Pending",IF(DD370="Yes","CONDITIONAL — safety override",IF(DC370&gt;=8,"HIGH",IF(DC370&gt;=5,"CONDITIONAL","LOW")))))</x:f>
      </x:c>
      <x:c r="DF370" s="174"/>
      <x:c r="DG370" s="174"/>
      <x:c r="DH370" s="174"/>
      <x:c r="DI370" s="174"/>
      <x:c r="DJ370" s="174"/>
      <x:c r="DK370" s="174"/>
      <x:c r="DL370" s="174"/>
      <x:c r="DM370" s="174"/>
      <x:c r="DN370" s="174"/>
      <x:c r="DO370" s="174"/>
      <x:c r="DP370" s="174"/>
      <x:c r="DQ370" s="174"/>
      <x:c r="DR370" s="174"/>
      <x:c r="DS370" s="174"/>
      <x:c r="DT370" s="174"/>
      <x:c r="DU370" s="174"/>
      <x:c r="DV370" s="174"/>
      <x:c r="DW370" s="174"/>
      <x:c r="DX370" s="174"/>
      <x:c r="DY370" s="174"/>
      <x:c r="DZ370" s="174"/>
      <x:c r="EA370" s="174"/>
      <x:c r="EB370" s="175" t="str">
        <x:f>IF(L370="","",IF(AND(F370="Claim-ready",CJ370="Yes",CL370="Yes",DZ370&lt;&gt;""),"Yes","No / Pending"))</x:f>
      </x:c>
      <x:c r="EC370" s="174"/>
      <x:c r="ED370" s="174"/>
      <x:c r="EE370" s="174"/>
      <x:c r="EF370" s="174"/>
      <x:c r="EG370" s="174"/>
      <x:c r="EH370" s="177"/>
      <x:c r="EI370" s="174"/>
      <x:c r="EJ370" s="174"/>
      <x:c r="EK370" s="174"/>
      <x:c r="EL370" s="177"/>
      <x:c r="EM370" s="174"/>
      <x:c r="EN370" s="181" t="str">
        <x:f>IF(L370="","",(IF(N370&lt;&gt;"",1,0)+IF(O370&lt;&gt;"",1,0)+IF(AJ370&lt;&gt;"",1,0)+IF(AU370&lt;&gt;"",1,0)+IF(BE370&lt;&gt;"",1,0)+IF(CF370&lt;&gt;"",1,0)+IF(CJ370="Yes",1,0)+IF(CL370="Yes",1,0)+IF(DE370&lt;&gt;"Pending",1,0)+IF(F370&lt;&gt;"",1,0)+IF(DZ370&lt;&gt;"",1,0)+IF(EI370&lt;&gt;"",1,0))/12)</x:f>
      </x:c>
    </x:row>
    <x:row r="371">
      <x:c r="A371" s="175" t="str">
        <x:f>IF(L371="","","EV-"&amp;TEXT(ROW()-3,"0000"))</x:f>
      </x:c>
      <x:c r="B371" s="174"/>
      <x:c r="C371" s="175" t="str">
        <x:f>IF(L371="","",IF(OR(CM371="Retracted",CN371="Retracted",F371="Not used"),"🔴 Do not use for conclusion",IF(OR(R371="Official / Institutional",I371="Official / contextual"),"🔵 Official / contextual",IF(OR(I371="Definition",I371="Framework",I371="Paradigm shift"),"🟣 Conceptual key source",IF(AND(CJ371="Yes",CL371="Yes",OR(CG371="High",CG371="Moderate"),CH371&lt;&gt;"High",CH371&lt;&gt;"Critical",F371="Claim-ready"),"🟢 Claim-ready","🟡 Caution / context")))))</x:f>
      </x:c>
      <x:c r="D371" s="174"/>
      <x:c r="E371" s="174"/>
      <x:c r="F371" s="174"/>
      <x:c r="G371" s="174"/>
      <x:c r="H371" s="174"/>
      <x:c r="I371" s="174"/>
      <x:c r="J371" s="174"/>
      <x:c r="K371" s="174"/>
      <x:c r="L371" s="174"/>
      <x:c r="M371" s="174"/>
      <x:c r="N371" s="174"/>
      <x:c r="O371" s="176"/>
      <x:c r="P371" s="174"/>
      <x:c r="Q371" s="174"/>
      <x:c r="R371" s="174"/>
      <x:c r="S371" s="174"/>
      <x:c r="T371" s="174"/>
      <x:c r="U371" s="174"/>
      <x:c r="V371" s="174"/>
      <x:c r="W371" s="175" t="str">
        <x:f>IF(V371="","",LOWER(SUBSTITUTE(SUBSTITUTE(SUBSTITUTE(SUBSTITUTE(TRIM(V371),"https://doi.org/",""),"http://doi.org/",""),"https://dx.doi.org/",""),"doi:","")))</x:f>
      </x:c>
      <x:c r="X371" s="174"/>
      <x:c r="Y371" s="174"/>
      <x:c r="Z371" s="174"/>
      <x:c r="AA371" s="174"/>
      <x:c r="AB371" s="174"/>
      <x:c r="AC371" s="174"/>
      <x:c r="AD371" s="177"/>
      <x:c r="AE371" s="177"/>
      <x:c r="AF371" s="174"/>
      <x:c r="AG371" s="174"/>
      <x:c r="AH371" s="174"/>
      <x:c r="AI371" s="174"/>
      <x:c r="AJ371" s="174"/>
      <x:c r="AK371" s="175" t="str">
        <x:f>IF(AJ371="","",IF(OR(LOWER(AJ371)="brazil",LOWER(AJ371)="brasil"),"Yes","No"))</x:f>
      </x:c>
      <x:c r="AL371" s="174"/>
      <x:c r="AM371" s="174"/>
      <x:c r="AN371" s="174"/>
      <x:c r="AO371" s="178"/>
      <x:c r="AP371" s="174"/>
      <x:c r="AQ371" s="174"/>
      <x:c r="AR371" s="174"/>
      <x:c r="AS371" s="174"/>
      <x:c r="AT371" s="174"/>
      <x:c r="AU371" s="174"/>
      <x:c r="AV371" s="174"/>
      <x:c r="AW371" s="174"/>
      <x:c r="AX371" s="174"/>
      <x:c r="AY371" s="174"/>
      <x:c r="AZ371" s="174"/>
      <x:c r="BA371" s="174"/>
      <x:c r="BB371" s="174"/>
      <x:c r="BC371" s="174"/>
      <x:c r="BD371" s="174"/>
      <x:c r="BE371" s="174"/>
      <x:c r="BF371" s="174"/>
      <x:c r="BG371" s="174"/>
      <x:c r="BH371" s="174"/>
      <x:c r="BI371" s="174"/>
      <x:c r="BJ371" s="174"/>
      <x:c r="BK371" s="174"/>
      <x:c r="BL371" s="174"/>
      <x:c r="BM371" s="174"/>
      <x:c r="BN371" s="174"/>
      <x:c r="BO371" s="174"/>
      <x:c r="BP371" s="174"/>
      <x:c r="BQ371" s="174"/>
      <x:c r="BR371" s="174"/>
      <x:c r="BS371" s="174"/>
      <x:c r="BT371" s="174"/>
      <x:c r="BU371" s="174"/>
      <x:c r="BV371" s="174"/>
      <x:c r="BW371" s="174"/>
      <x:c r="BX371" s="174"/>
      <x:c r="BY371" s="174"/>
      <x:c r="BZ371" s="174"/>
      <x:c r="CA371" s="174"/>
      <x:c r="CB371" s="174"/>
      <x:c r="CC371" s="174"/>
      <x:c r="CD371" s="174"/>
      <x:c r="CE371" s="174"/>
      <x:c r="CF371" s="174"/>
      <x:c r="CG371" s="174"/>
      <x:c r="CH371" s="174"/>
      <x:c r="CI371" s="179"/>
      <x:c r="CJ371" s="174"/>
      <x:c r="CK371" s="174"/>
      <x:c r="CL371" s="174"/>
      <x:c r="CM371" s="174"/>
      <x:c r="CN371" s="174"/>
      <x:c r="CO371" s="177"/>
      <x:c r="CP371" s="174"/>
      <x:c r="CQ371" s="174"/>
      <x:c r="CR371" s="174"/>
      <x:c r="CS371" s="174"/>
      <x:c r="CT371" s="174"/>
      <x:c r="CU371" s="176"/>
      <x:c r="CV371" s="176"/>
      <x:c r="CW371" s="176"/>
      <x:c r="CX371" s="176"/>
      <x:c r="CY371" s="176"/>
      <x:c r="CZ371" s="176"/>
      <x:c r="DA371" s="176"/>
      <x:c r="DB371" s="175" t="str">
        <x:f>IF(L371="","",IF(COUNT(CU371:DA371)&lt;7,"",SUM(CU371:DA371)))</x:f>
      </x:c>
      <x:c r="DC371" s="180" t="str">
        <x:f>IF(DB371="","",ROUND(DB371/14*10,1))</x:f>
      </x:c>
      <x:c r="DD371" s="174"/>
      <x:c r="DE371" s="175" t="str">
        <x:f>IF(L371="","",IF(DC371="","Pending",IF(DD371="Yes","CONDITIONAL — safety override",IF(DC371&gt;=8,"HIGH",IF(DC371&gt;=5,"CONDITIONAL","LOW")))))</x:f>
      </x:c>
      <x:c r="DF371" s="174"/>
      <x:c r="DG371" s="174"/>
      <x:c r="DH371" s="174"/>
      <x:c r="DI371" s="174"/>
      <x:c r="DJ371" s="174"/>
      <x:c r="DK371" s="174"/>
      <x:c r="DL371" s="174"/>
      <x:c r="DM371" s="174"/>
      <x:c r="DN371" s="174"/>
      <x:c r="DO371" s="174"/>
      <x:c r="DP371" s="174"/>
      <x:c r="DQ371" s="174"/>
      <x:c r="DR371" s="174"/>
      <x:c r="DS371" s="174"/>
      <x:c r="DT371" s="174"/>
      <x:c r="DU371" s="174"/>
      <x:c r="DV371" s="174"/>
      <x:c r="DW371" s="174"/>
      <x:c r="DX371" s="174"/>
      <x:c r="DY371" s="174"/>
      <x:c r="DZ371" s="174"/>
      <x:c r="EA371" s="174"/>
      <x:c r="EB371" s="175" t="str">
        <x:f>IF(L371="","",IF(AND(F371="Claim-ready",CJ371="Yes",CL371="Yes",DZ371&lt;&gt;""),"Yes","No / Pending"))</x:f>
      </x:c>
      <x:c r="EC371" s="174"/>
      <x:c r="ED371" s="174"/>
      <x:c r="EE371" s="174"/>
      <x:c r="EF371" s="174"/>
      <x:c r="EG371" s="174"/>
      <x:c r="EH371" s="177"/>
      <x:c r="EI371" s="174"/>
      <x:c r="EJ371" s="174"/>
      <x:c r="EK371" s="174"/>
      <x:c r="EL371" s="177"/>
      <x:c r="EM371" s="174"/>
      <x:c r="EN371" s="181" t="str">
        <x:f>IF(L371="","",(IF(N371&lt;&gt;"",1,0)+IF(O371&lt;&gt;"",1,0)+IF(AJ371&lt;&gt;"",1,0)+IF(AU371&lt;&gt;"",1,0)+IF(BE371&lt;&gt;"",1,0)+IF(CF371&lt;&gt;"",1,0)+IF(CJ371="Yes",1,0)+IF(CL371="Yes",1,0)+IF(DE371&lt;&gt;"Pending",1,0)+IF(F371&lt;&gt;"",1,0)+IF(DZ371&lt;&gt;"",1,0)+IF(EI371&lt;&gt;"",1,0))/12)</x:f>
      </x:c>
    </x:row>
    <x:row r="372">
      <x:c r="A372" s="175" t="str">
        <x:f>IF(L372="","","EV-"&amp;TEXT(ROW()-3,"0000"))</x:f>
      </x:c>
      <x:c r="B372" s="174"/>
      <x:c r="C372" s="175" t="str">
        <x:f>IF(L372="","",IF(OR(CM372="Retracted",CN372="Retracted",F372="Not used"),"🔴 Do not use for conclusion",IF(OR(R372="Official / Institutional",I372="Official / contextual"),"🔵 Official / contextual",IF(OR(I372="Definition",I372="Framework",I372="Paradigm shift"),"🟣 Conceptual key source",IF(AND(CJ372="Yes",CL372="Yes",OR(CG372="High",CG372="Moderate"),CH372&lt;&gt;"High",CH372&lt;&gt;"Critical",F372="Claim-ready"),"🟢 Claim-ready","🟡 Caution / context")))))</x:f>
      </x:c>
      <x:c r="D372" s="174"/>
      <x:c r="E372" s="174"/>
      <x:c r="F372" s="174"/>
      <x:c r="G372" s="174"/>
      <x:c r="H372" s="174"/>
      <x:c r="I372" s="174"/>
      <x:c r="J372" s="174"/>
      <x:c r="K372" s="174"/>
      <x:c r="L372" s="174"/>
      <x:c r="M372" s="174"/>
      <x:c r="N372" s="174"/>
      <x:c r="O372" s="176"/>
      <x:c r="P372" s="174"/>
      <x:c r="Q372" s="174"/>
      <x:c r="R372" s="174"/>
      <x:c r="S372" s="174"/>
      <x:c r="T372" s="174"/>
      <x:c r="U372" s="174"/>
      <x:c r="V372" s="174"/>
      <x:c r="W372" s="175" t="str">
        <x:f>IF(V372="","",LOWER(SUBSTITUTE(SUBSTITUTE(SUBSTITUTE(SUBSTITUTE(TRIM(V372),"https://doi.org/",""),"http://doi.org/",""),"https://dx.doi.org/",""),"doi:","")))</x:f>
      </x:c>
      <x:c r="X372" s="174"/>
      <x:c r="Y372" s="174"/>
      <x:c r="Z372" s="174"/>
      <x:c r="AA372" s="174"/>
      <x:c r="AB372" s="174"/>
      <x:c r="AC372" s="174"/>
      <x:c r="AD372" s="177"/>
      <x:c r="AE372" s="177"/>
      <x:c r="AF372" s="174"/>
      <x:c r="AG372" s="174"/>
      <x:c r="AH372" s="174"/>
      <x:c r="AI372" s="174"/>
      <x:c r="AJ372" s="174"/>
      <x:c r="AK372" s="175" t="str">
        <x:f>IF(AJ372="","",IF(OR(LOWER(AJ372)="brazil",LOWER(AJ372)="brasil"),"Yes","No"))</x:f>
      </x:c>
      <x:c r="AL372" s="174"/>
      <x:c r="AM372" s="174"/>
      <x:c r="AN372" s="174"/>
      <x:c r="AO372" s="178"/>
      <x:c r="AP372" s="174"/>
      <x:c r="AQ372" s="174"/>
      <x:c r="AR372" s="174"/>
      <x:c r="AS372" s="174"/>
      <x:c r="AT372" s="174"/>
      <x:c r="AU372" s="174"/>
      <x:c r="AV372" s="174"/>
      <x:c r="AW372" s="174"/>
      <x:c r="AX372" s="174"/>
      <x:c r="AY372" s="174"/>
      <x:c r="AZ372" s="174"/>
      <x:c r="BA372" s="174"/>
      <x:c r="BB372" s="174"/>
      <x:c r="BC372" s="174"/>
      <x:c r="BD372" s="174"/>
      <x:c r="BE372" s="174"/>
      <x:c r="BF372" s="174"/>
      <x:c r="BG372" s="174"/>
      <x:c r="BH372" s="174"/>
      <x:c r="BI372" s="174"/>
      <x:c r="BJ372" s="174"/>
      <x:c r="BK372" s="174"/>
      <x:c r="BL372" s="174"/>
      <x:c r="BM372" s="174"/>
      <x:c r="BN372" s="174"/>
      <x:c r="BO372" s="174"/>
      <x:c r="BP372" s="174"/>
      <x:c r="BQ372" s="174"/>
      <x:c r="BR372" s="174"/>
      <x:c r="BS372" s="174"/>
      <x:c r="BT372" s="174"/>
      <x:c r="BU372" s="174"/>
      <x:c r="BV372" s="174"/>
      <x:c r="BW372" s="174"/>
      <x:c r="BX372" s="174"/>
      <x:c r="BY372" s="174"/>
      <x:c r="BZ372" s="174"/>
      <x:c r="CA372" s="174"/>
      <x:c r="CB372" s="174"/>
      <x:c r="CC372" s="174"/>
      <x:c r="CD372" s="174"/>
      <x:c r="CE372" s="174"/>
      <x:c r="CF372" s="174"/>
      <x:c r="CG372" s="174"/>
      <x:c r="CH372" s="174"/>
      <x:c r="CI372" s="179"/>
      <x:c r="CJ372" s="174"/>
      <x:c r="CK372" s="174"/>
      <x:c r="CL372" s="174"/>
      <x:c r="CM372" s="174"/>
      <x:c r="CN372" s="174"/>
      <x:c r="CO372" s="177"/>
      <x:c r="CP372" s="174"/>
      <x:c r="CQ372" s="174"/>
      <x:c r="CR372" s="174"/>
      <x:c r="CS372" s="174"/>
      <x:c r="CT372" s="174"/>
      <x:c r="CU372" s="176"/>
      <x:c r="CV372" s="176"/>
      <x:c r="CW372" s="176"/>
      <x:c r="CX372" s="176"/>
      <x:c r="CY372" s="176"/>
      <x:c r="CZ372" s="176"/>
      <x:c r="DA372" s="176"/>
      <x:c r="DB372" s="175" t="str">
        <x:f>IF(L372="","",IF(COUNT(CU372:DA372)&lt;7,"",SUM(CU372:DA372)))</x:f>
      </x:c>
      <x:c r="DC372" s="180" t="str">
        <x:f>IF(DB372="","",ROUND(DB372/14*10,1))</x:f>
      </x:c>
      <x:c r="DD372" s="174"/>
      <x:c r="DE372" s="175" t="str">
        <x:f>IF(L372="","",IF(DC372="","Pending",IF(DD372="Yes","CONDITIONAL — safety override",IF(DC372&gt;=8,"HIGH",IF(DC372&gt;=5,"CONDITIONAL","LOW")))))</x:f>
      </x:c>
      <x:c r="DF372" s="174"/>
      <x:c r="DG372" s="174"/>
      <x:c r="DH372" s="174"/>
      <x:c r="DI372" s="174"/>
      <x:c r="DJ372" s="174"/>
      <x:c r="DK372" s="174"/>
      <x:c r="DL372" s="174"/>
      <x:c r="DM372" s="174"/>
      <x:c r="DN372" s="174"/>
      <x:c r="DO372" s="174"/>
      <x:c r="DP372" s="174"/>
      <x:c r="DQ372" s="174"/>
      <x:c r="DR372" s="174"/>
      <x:c r="DS372" s="174"/>
      <x:c r="DT372" s="174"/>
      <x:c r="DU372" s="174"/>
      <x:c r="DV372" s="174"/>
      <x:c r="DW372" s="174"/>
      <x:c r="DX372" s="174"/>
      <x:c r="DY372" s="174"/>
      <x:c r="DZ372" s="174"/>
      <x:c r="EA372" s="174"/>
      <x:c r="EB372" s="175" t="str">
        <x:f>IF(L372="","",IF(AND(F372="Claim-ready",CJ372="Yes",CL372="Yes",DZ372&lt;&gt;""),"Yes","No / Pending"))</x:f>
      </x:c>
      <x:c r="EC372" s="174"/>
      <x:c r="ED372" s="174"/>
      <x:c r="EE372" s="174"/>
      <x:c r="EF372" s="174"/>
      <x:c r="EG372" s="174"/>
      <x:c r="EH372" s="177"/>
      <x:c r="EI372" s="174"/>
      <x:c r="EJ372" s="174"/>
      <x:c r="EK372" s="174"/>
      <x:c r="EL372" s="177"/>
      <x:c r="EM372" s="174"/>
      <x:c r="EN372" s="181" t="str">
        <x:f>IF(L372="","",(IF(N372&lt;&gt;"",1,0)+IF(O372&lt;&gt;"",1,0)+IF(AJ372&lt;&gt;"",1,0)+IF(AU372&lt;&gt;"",1,0)+IF(BE372&lt;&gt;"",1,0)+IF(CF372&lt;&gt;"",1,0)+IF(CJ372="Yes",1,0)+IF(CL372="Yes",1,0)+IF(DE372&lt;&gt;"Pending",1,0)+IF(F372&lt;&gt;"",1,0)+IF(DZ372&lt;&gt;"",1,0)+IF(EI372&lt;&gt;"",1,0))/12)</x:f>
      </x:c>
    </x:row>
    <x:row r="373">
      <x:c r="A373" s="175" t="str">
        <x:f>IF(L373="","","EV-"&amp;TEXT(ROW()-3,"0000"))</x:f>
      </x:c>
      <x:c r="B373" s="174"/>
      <x:c r="C373" s="175" t="str">
        <x:f>IF(L373="","",IF(OR(CM373="Retracted",CN373="Retracted",F373="Not used"),"🔴 Do not use for conclusion",IF(OR(R373="Official / Institutional",I373="Official / contextual"),"🔵 Official / contextual",IF(OR(I373="Definition",I373="Framework",I373="Paradigm shift"),"🟣 Conceptual key source",IF(AND(CJ373="Yes",CL373="Yes",OR(CG373="High",CG373="Moderate"),CH373&lt;&gt;"High",CH373&lt;&gt;"Critical",F373="Claim-ready"),"🟢 Claim-ready","🟡 Caution / context")))))</x:f>
      </x:c>
      <x:c r="D373" s="174"/>
      <x:c r="E373" s="174"/>
      <x:c r="F373" s="174"/>
      <x:c r="G373" s="174"/>
      <x:c r="H373" s="174"/>
      <x:c r="I373" s="174"/>
      <x:c r="J373" s="174"/>
      <x:c r="K373" s="174"/>
      <x:c r="L373" s="174"/>
      <x:c r="M373" s="174"/>
      <x:c r="N373" s="174"/>
      <x:c r="O373" s="176"/>
      <x:c r="P373" s="174"/>
      <x:c r="Q373" s="174"/>
      <x:c r="R373" s="174"/>
      <x:c r="S373" s="174"/>
      <x:c r="T373" s="174"/>
      <x:c r="U373" s="174"/>
      <x:c r="V373" s="174"/>
      <x:c r="W373" s="175" t="str">
        <x:f>IF(V373="","",LOWER(SUBSTITUTE(SUBSTITUTE(SUBSTITUTE(SUBSTITUTE(TRIM(V373),"https://doi.org/",""),"http://doi.org/",""),"https://dx.doi.org/",""),"doi:","")))</x:f>
      </x:c>
      <x:c r="X373" s="174"/>
      <x:c r="Y373" s="174"/>
      <x:c r="Z373" s="174"/>
      <x:c r="AA373" s="174"/>
      <x:c r="AB373" s="174"/>
      <x:c r="AC373" s="174"/>
      <x:c r="AD373" s="177"/>
      <x:c r="AE373" s="177"/>
      <x:c r="AF373" s="174"/>
      <x:c r="AG373" s="174"/>
      <x:c r="AH373" s="174"/>
      <x:c r="AI373" s="174"/>
      <x:c r="AJ373" s="174"/>
      <x:c r="AK373" s="175" t="str">
        <x:f>IF(AJ373="","",IF(OR(LOWER(AJ373)="brazil",LOWER(AJ373)="brasil"),"Yes","No"))</x:f>
      </x:c>
      <x:c r="AL373" s="174"/>
      <x:c r="AM373" s="174"/>
      <x:c r="AN373" s="174"/>
      <x:c r="AO373" s="178"/>
      <x:c r="AP373" s="174"/>
      <x:c r="AQ373" s="174"/>
      <x:c r="AR373" s="174"/>
      <x:c r="AS373" s="174"/>
      <x:c r="AT373" s="174"/>
      <x:c r="AU373" s="174"/>
      <x:c r="AV373" s="174"/>
      <x:c r="AW373" s="174"/>
      <x:c r="AX373" s="174"/>
      <x:c r="AY373" s="174"/>
      <x:c r="AZ373" s="174"/>
      <x:c r="BA373" s="174"/>
      <x:c r="BB373" s="174"/>
      <x:c r="BC373" s="174"/>
      <x:c r="BD373" s="174"/>
      <x:c r="BE373" s="174"/>
      <x:c r="BF373" s="174"/>
      <x:c r="BG373" s="174"/>
      <x:c r="BH373" s="174"/>
      <x:c r="BI373" s="174"/>
      <x:c r="BJ373" s="174"/>
      <x:c r="BK373" s="174"/>
      <x:c r="BL373" s="174"/>
      <x:c r="BM373" s="174"/>
      <x:c r="BN373" s="174"/>
      <x:c r="BO373" s="174"/>
      <x:c r="BP373" s="174"/>
      <x:c r="BQ373" s="174"/>
      <x:c r="BR373" s="174"/>
      <x:c r="BS373" s="174"/>
      <x:c r="BT373" s="174"/>
      <x:c r="BU373" s="174"/>
      <x:c r="BV373" s="174"/>
      <x:c r="BW373" s="174"/>
      <x:c r="BX373" s="174"/>
      <x:c r="BY373" s="174"/>
      <x:c r="BZ373" s="174"/>
      <x:c r="CA373" s="174"/>
      <x:c r="CB373" s="174"/>
      <x:c r="CC373" s="174"/>
      <x:c r="CD373" s="174"/>
      <x:c r="CE373" s="174"/>
      <x:c r="CF373" s="174"/>
      <x:c r="CG373" s="174"/>
      <x:c r="CH373" s="174"/>
      <x:c r="CI373" s="179"/>
      <x:c r="CJ373" s="174"/>
      <x:c r="CK373" s="174"/>
      <x:c r="CL373" s="174"/>
      <x:c r="CM373" s="174"/>
      <x:c r="CN373" s="174"/>
      <x:c r="CO373" s="177"/>
      <x:c r="CP373" s="174"/>
      <x:c r="CQ373" s="174"/>
      <x:c r="CR373" s="174"/>
      <x:c r="CS373" s="174"/>
      <x:c r="CT373" s="174"/>
      <x:c r="CU373" s="176"/>
      <x:c r="CV373" s="176"/>
      <x:c r="CW373" s="176"/>
      <x:c r="CX373" s="176"/>
      <x:c r="CY373" s="176"/>
      <x:c r="CZ373" s="176"/>
      <x:c r="DA373" s="176"/>
      <x:c r="DB373" s="175" t="str">
        <x:f>IF(L373="","",IF(COUNT(CU373:DA373)&lt;7,"",SUM(CU373:DA373)))</x:f>
      </x:c>
      <x:c r="DC373" s="180" t="str">
        <x:f>IF(DB373="","",ROUND(DB373/14*10,1))</x:f>
      </x:c>
      <x:c r="DD373" s="174"/>
      <x:c r="DE373" s="175" t="str">
        <x:f>IF(L373="","",IF(DC373="","Pending",IF(DD373="Yes","CONDITIONAL — safety override",IF(DC373&gt;=8,"HIGH",IF(DC373&gt;=5,"CONDITIONAL","LOW")))))</x:f>
      </x:c>
      <x:c r="DF373" s="174"/>
      <x:c r="DG373" s="174"/>
      <x:c r="DH373" s="174"/>
      <x:c r="DI373" s="174"/>
      <x:c r="DJ373" s="174"/>
      <x:c r="DK373" s="174"/>
      <x:c r="DL373" s="174"/>
      <x:c r="DM373" s="174"/>
      <x:c r="DN373" s="174"/>
      <x:c r="DO373" s="174"/>
      <x:c r="DP373" s="174"/>
      <x:c r="DQ373" s="174"/>
      <x:c r="DR373" s="174"/>
      <x:c r="DS373" s="174"/>
      <x:c r="DT373" s="174"/>
      <x:c r="DU373" s="174"/>
      <x:c r="DV373" s="174"/>
      <x:c r="DW373" s="174"/>
      <x:c r="DX373" s="174"/>
      <x:c r="DY373" s="174"/>
      <x:c r="DZ373" s="174"/>
      <x:c r="EA373" s="174"/>
      <x:c r="EB373" s="175" t="str">
        <x:f>IF(L373="","",IF(AND(F373="Claim-ready",CJ373="Yes",CL373="Yes",DZ373&lt;&gt;""),"Yes","No / Pending"))</x:f>
      </x:c>
      <x:c r="EC373" s="174"/>
      <x:c r="ED373" s="174"/>
      <x:c r="EE373" s="174"/>
      <x:c r="EF373" s="174"/>
      <x:c r="EG373" s="174"/>
      <x:c r="EH373" s="177"/>
      <x:c r="EI373" s="174"/>
      <x:c r="EJ373" s="174"/>
      <x:c r="EK373" s="174"/>
      <x:c r="EL373" s="177"/>
      <x:c r="EM373" s="174"/>
      <x:c r="EN373" s="181" t="str">
        <x:f>IF(L373="","",(IF(N373&lt;&gt;"",1,0)+IF(O373&lt;&gt;"",1,0)+IF(AJ373&lt;&gt;"",1,0)+IF(AU373&lt;&gt;"",1,0)+IF(BE373&lt;&gt;"",1,0)+IF(CF373&lt;&gt;"",1,0)+IF(CJ373="Yes",1,0)+IF(CL373="Yes",1,0)+IF(DE373&lt;&gt;"Pending",1,0)+IF(F373&lt;&gt;"",1,0)+IF(DZ373&lt;&gt;"",1,0)+IF(EI373&lt;&gt;"",1,0))/12)</x:f>
      </x:c>
    </x:row>
    <x:row r="374">
      <x:c r="A374" s="175" t="str">
        <x:f>IF(L374="","","EV-"&amp;TEXT(ROW()-3,"0000"))</x:f>
      </x:c>
      <x:c r="B374" s="174"/>
      <x:c r="C374" s="175" t="str">
        <x:f>IF(L374="","",IF(OR(CM374="Retracted",CN374="Retracted",F374="Not used"),"🔴 Do not use for conclusion",IF(OR(R374="Official / Institutional",I374="Official / contextual"),"🔵 Official / contextual",IF(OR(I374="Definition",I374="Framework",I374="Paradigm shift"),"🟣 Conceptual key source",IF(AND(CJ374="Yes",CL374="Yes",OR(CG374="High",CG374="Moderate"),CH374&lt;&gt;"High",CH374&lt;&gt;"Critical",F374="Claim-ready"),"🟢 Claim-ready","🟡 Caution / context")))))</x:f>
      </x:c>
      <x:c r="D374" s="174"/>
      <x:c r="E374" s="174"/>
      <x:c r="F374" s="174"/>
      <x:c r="G374" s="174"/>
      <x:c r="H374" s="174"/>
      <x:c r="I374" s="174"/>
      <x:c r="J374" s="174"/>
      <x:c r="K374" s="174"/>
      <x:c r="L374" s="174"/>
      <x:c r="M374" s="174"/>
      <x:c r="N374" s="174"/>
      <x:c r="O374" s="176"/>
      <x:c r="P374" s="174"/>
      <x:c r="Q374" s="174"/>
      <x:c r="R374" s="174"/>
      <x:c r="S374" s="174"/>
      <x:c r="T374" s="174"/>
      <x:c r="U374" s="174"/>
      <x:c r="V374" s="174"/>
      <x:c r="W374" s="175" t="str">
        <x:f>IF(V374="","",LOWER(SUBSTITUTE(SUBSTITUTE(SUBSTITUTE(SUBSTITUTE(TRIM(V374),"https://doi.org/",""),"http://doi.org/",""),"https://dx.doi.org/",""),"doi:","")))</x:f>
      </x:c>
      <x:c r="X374" s="174"/>
      <x:c r="Y374" s="174"/>
      <x:c r="Z374" s="174"/>
      <x:c r="AA374" s="174"/>
      <x:c r="AB374" s="174"/>
      <x:c r="AC374" s="174"/>
      <x:c r="AD374" s="177"/>
      <x:c r="AE374" s="177"/>
      <x:c r="AF374" s="174"/>
      <x:c r="AG374" s="174"/>
      <x:c r="AH374" s="174"/>
      <x:c r="AI374" s="174"/>
      <x:c r="AJ374" s="174"/>
      <x:c r="AK374" s="175" t="str">
        <x:f>IF(AJ374="","",IF(OR(LOWER(AJ374)="brazil",LOWER(AJ374)="brasil"),"Yes","No"))</x:f>
      </x:c>
      <x:c r="AL374" s="174"/>
      <x:c r="AM374" s="174"/>
      <x:c r="AN374" s="174"/>
      <x:c r="AO374" s="178"/>
      <x:c r="AP374" s="174"/>
      <x:c r="AQ374" s="174"/>
      <x:c r="AR374" s="174"/>
      <x:c r="AS374" s="174"/>
      <x:c r="AT374" s="174"/>
      <x:c r="AU374" s="174"/>
      <x:c r="AV374" s="174"/>
      <x:c r="AW374" s="174"/>
      <x:c r="AX374" s="174"/>
      <x:c r="AY374" s="174"/>
      <x:c r="AZ374" s="174"/>
      <x:c r="BA374" s="174"/>
      <x:c r="BB374" s="174"/>
      <x:c r="BC374" s="174"/>
      <x:c r="BD374" s="174"/>
      <x:c r="BE374" s="174"/>
      <x:c r="BF374" s="174"/>
      <x:c r="BG374" s="174"/>
      <x:c r="BH374" s="174"/>
      <x:c r="BI374" s="174"/>
      <x:c r="BJ374" s="174"/>
      <x:c r="BK374" s="174"/>
      <x:c r="BL374" s="174"/>
      <x:c r="BM374" s="174"/>
      <x:c r="BN374" s="174"/>
      <x:c r="BO374" s="174"/>
      <x:c r="BP374" s="174"/>
      <x:c r="BQ374" s="174"/>
      <x:c r="BR374" s="174"/>
      <x:c r="BS374" s="174"/>
      <x:c r="BT374" s="174"/>
      <x:c r="BU374" s="174"/>
      <x:c r="BV374" s="174"/>
      <x:c r="BW374" s="174"/>
      <x:c r="BX374" s="174"/>
      <x:c r="BY374" s="174"/>
      <x:c r="BZ374" s="174"/>
      <x:c r="CA374" s="174"/>
      <x:c r="CB374" s="174"/>
      <x:c r="CC374" s="174"/>
      <x:c r="CD374" s="174"/>
      <x:c r="CE374" s="174"/>
      <x:c r="CF374" s="174"/>
      <x:c r="CG374" s="174"/>
      <x:c r="CH374" s="174"/>
      <x:c r="CI374" s="179"/>
      <x:c r="CJ374" s="174"/>
      <x:c r="CK374" s="174"/>
      <x:c r="CL374" s="174"/>
      <x:c r="CM374" s="174"/>
      <x:c r="CN374" s="174"/>
      <x:c r="CO374" s="177"/>
      <x:c r="CP374" s="174"/>
      <x:c r="CQ374" s="174"/>
      <x:c r="CR374" s="174"/>
      <x:c r="CS374" s="174"/>
      <x:c r="CT374" s="174"/>
      <x:c r="CU374" s="176"/>
      <x:c r="CV374" s="176"/>
      <x:c r="CW374" s="176"/>
      <x:c r="CX374" s="176"/>
      <x:c r="CY374" s="176"/>
      <x:c r="CZ374" s="176"/>
      <x:c r="DA374" s="176"/>
      <x:c r="DB374" s="175" t="str">
        <x:f>IF(L374="","",IF(COUNT(CU374:DA374)&lt;7,"",SUM(CU374:DA374)))</x:f>
      </x:c>
      <x:c r="DC374" s="180" t="str">
        <x:f>IF(DB374="","",ROUND(DB374/14*10,1))</x:f>
      </x:c>
      <x:c r="DD374" s="174"/>
      <x:c r="DE374" s="175" t="str">
        <x:f>IF(L374="","",IF(DC374="","Pending",IF(DD374="Yes","CONDITIONAL — safety override",IF(DC374&gt;=8,"HIGH",IF(DC374&gt;=5,"CONDITIONAL","LOW")))))</x:f>
      </x:c>
      <x:c r="DF374" s="174"/>
      <x:c r="DG374" s="174"/>
      <x:c r="DH374" s="174"/>
      <x:c r="DI374" s="174"/>
      <x:c r="DJ374" s="174"/>
      <x:c r="DK374" s="174"/>
      <x:c r="DL374" s="174"/>
      <x:c r="DM374" s="174"/>
      <x:c r="DN374" s="174"/>
      <x:c r="DO374" s="174"/>
      <x:c r="DP374" s="174"/>
      <x:c r="DQ374" s="174"/>
      <x:c r="DR374" s="174"/>
      <x:c r="DS374" s="174"/>
      <x:c r="DT374" s="174"/>
      <x:c r="DU374" s="174"/>
      <x:c r="DV374" s="174"/>
      <x:c r="DW374" s="174"/>
      <x:c r="DX374" s="174"/>
      <x:c r="DY374" s="174"/>
      <x:c r="DZ374" s="174"/>
      <x:c r="EA374" s="174"/>
      <x:c r="EB374" s="175" t="str">
        <x:f>IF(L374="","",IF(AND(F374="Claim-ready",CJ374="Yes",CL374="Yes",DZ374&lt;&gt;""),"Yes","No / Pending"))</x:f>
      </x:c>
      <x:c r="EC374" s="174"/>
      <x:c r="ED374" s="174"/>
      <x:c r="EE374" s="174"/>
      <x:c r="EF374" s="174"/>
      <x:c r="EG374" s="174"/>
      <x:c r="EH374" s="177"/>
      <x:c r="EI374" s="174"/>
      <x:c r="EJ374" s="174"/>
      <x:c r="EK374" s="174"/>
      <x:c r="EL374" s="177"/>
      <x:c r="EM374" s="174"/>
      <x:c r="EN374" s="181" t="str">
        <x:f>IF(L374="","",(IF(N374&lt;&gt;"",1,0)+IF(O374&lt;&gt;"",1,0)+IF(AJ374&lt;&gt;"",1,0)+IF(AU374&lt;&gt;"",1,0)+IF(BE374&lt;&gt;"",1,0)+IF(CF374&lt;&gt;"",1,0)+IF(CJ374="Yes",1,0)+IF(CL374="Yes",1,0)+IF(DE374&lt;&gt;"Pending",1,0)+IF(F374&lt;&gt;"",1,0)+IF(DZ374&lt;&gt;"",1,0)+IF(EI374&lt;&gt;"",1,0))/12)</x:f>
      </x:c>
    </x:row>
    <x:row r="375">
      <x:c r="A375" s="175" t="str">
        <x:f>IF(L375="","","EV-"&amp;TEXT(ROW()-3,"0000"))</x:f>
      </x:c>
      <x:c r="B375" s="174"/>
      <x:c r="C375" s="175" t="str">
        <x:f>IF(L375="","",IF(OR(CM375="Retracted",CN375="Retracted",F375="Not used"),"🔴 Do not use for conclusion",IF(OR(R375="Official / Institutional",I375="Official / contextual"),"🔵 Official / contextual",IF(OR(I375="Definition",I375="Framework",I375="Paradigm shift"),"🟣 Conceptual key source",IF(AND(CJ375="Yes",CL375="Yes",OR(CG375="High",CG375="Moderate"),CH375&lt;&gt;"High",CH375&lt;&gt;"Critical",F375="Claim-ready"),"🟢 Claim-ready","🟡 Caution / context")))))</x:f>
      </x:c>
      <x:c r="D375" s="174"/>
      <x:c r="E375" s="174"/>
      <x:c r="F375" s="174"/>
      <x:c r="G375" s="174"/>
      <x:c r="H375" s="174"/>
      <x:c r="I375" s="174"/>
      <x:c r="J375" s="174"/>
      <x:c r="K375" s="174"/>
      <x:c r="L375" s="174"/>
      <x:c r="M375" s="174"/>
      <x:c r="N375" s="174"/>
      <x:c r="O375" s="176"/>
      <x:c r="P375" s="174"/>
      <x:c r="Q375" s="174"/>
      <x:c r="R375" s="174"/>
      <x:c r="S375" s="174"/>
      <x:c r="T375" s="174"/>
      <x:c r="U375" s="174"/>
      <x:c r="V375" s="174"/>
      <x:c r="W375" s="175" t="str">
        <x:f>IF(V375="","",LOWER(SUBSTITUTE(SUBSTITUTE(SUBSTITUTE(SUBSTITUTE(TRIM(V375),"https://doi.org/",""),"http://doi.org/",""),"https://dx.doi.org/",""),"doi:","")))</x:f>
      </x:c>
      <x:c r="X375" s="174"/>
      <x:c r="Y375" s="174"/>
      <x:c r="Z375" s="174"/>
      <x:c r="AA375" s="174"/>
      <x:c r="AB375" s="174"/>
      <x:c r="AC375" s="174"/>
      <x:c r="AD375" s="177"/>
      <x:c r="AE375" s="177"/>
      <x:c r="AF375" s="174"/>
      <x:c r="AG375" s="174"/>
      <x:c r="AH375" s="174"/>
      <x:c r="AI375" s="174"/>
      <x:c r="AJ375" s="174"/>
      <x:c r="AK375" s="175" t="str">
        <x:f>IF(AJ375="","",IF(OR(LOWER(AJ375)="brazil",LOWER(AJ375)="brasil"),"Yes","No"))</x:f>
      </x:c>
      <x:c r="AL375" s="174"/>
      <x:c r="AM375" s="174"/>
      <x:c r="AN375" s="174"/>
      <x:c r="AO375" s="178"/>
      <x:c r="AP375" s="174"/>
      <x:c r="AQ375" s="174"/>
      <x:c r="AR375" s="174"/>
      <x:c r="AS375" s="174"/>
      <x:c r="AT375" s="174"/>
      <x:c r="AU375" s="174"/>
      <x:c r="AV375" s="174"/>
      <x:c r="AW375" s="174"/>
      <x:c r="AX375" s="174"/>
      <x:c r="AY375" s="174"/>
      <x:c r="AZ375" s="174"/>
      <x:c r="BA375" s="174"/>
      <x:c r="BB375" s="174"/>
      <x:c r="BC375" s="174"/>
      <x:c r="BD375" s="174"/>
      <x:c r="BE375" s="174"/>
      <x:c r="BF375" s="174"/>
      <x:c r="BG375" s="174"/>
      <x:c r="BH375" s="174"/>
      <x:c r="BI375" s="174"/>
      <x:c r="BJ375" s="174"/>
      <x:c r="BK375" s="174"/>
      <x:c r="BL375" s="174"/>
      <x:c r="BM375" s="174"/>
      <x:c r="BN375" s="174"/>
      <x:c r="BO375" s="174"/>
      <x:c r="BP375" s="174"/>
      <x:c r="BQ375" s="174"/>
      <x:c r="BR375" s="174"/>
      <x:c r="BS375" s="174"/>
      <x:c r="BT375" s="174"/>
      <x:c r="BU375" s="174"/>
      <x:c r="BV375" s="174"/>
      <x:c r="BW375" s="174"/>
      <x:c r="BX375" s="174"/>
      <x:c r="BY375" s="174"/>
      <x:c r="BZ375" s="174"/>
      <x:c r="CA375" s="174"/>
      <x:c r="CB375" s="174"/>
      <x:c r="CC375" s="174"/>
      <x:c r="CD375" s="174"/>
      <x:c r="CE375" s="174"/>
      <x:c r="CF375" s="174"/>
      <x:c r="CG375" s="174"/>
      <x:c r="CH375" s="174"/>
      <x:c r="CI375" s="179"/>
      <x:c r="CJ375" s="174"/>
      <x:c r="CK375" s="174"/>
      <x:c r="CL375" s="174"/>
      <x:c r="CM375" s="174"/>
      <x:c r="CN375" s="174"/>
      <x:c r="CO375" s="177"/>
      <x:c r="CP375" s="174"/>
      <x:c r="CQ375" s="174"/>
      <x:c r="CR375" s="174"/>
      <x:c r="CS375" s="174"/>
      <x:c r="CT375" s="174"/>
      <x:c r="CU375" s="176"/>
      <x:c r="CV375" s="176"/>
      <x:c r="CW375" s="176"/>
      <x:c r="CX375" s="176"/>
      <x:c r="CY375" s="176"/>
      <x:c r="CZ375" s="176"/>
      <x:c r="DA375" s="176"/>
      <x:c r="DB375" s="175" t="str">
        <x:f>IF(L375="","",IF(COUNT(CU375:DA375)&lt;7,"",SUM(CU375:DA375)))</x:f>
      </x:c>
      <x:c r="DC375" s="180" t="str">
        <x:f>IF(DB375="","",ROUND(DB375/14*10,1))</x:f>
      </x:c>
      <x:c r="DD375" s="174"/>
      <x:c r="DE375" s="175" t="str">
        <x:f>IF(L375="","",IF(DC375="","Pending",IF(DD375="Yes","CONDITIONAL — safety override",IF(DC375&gt;=8,"HIGH",IF(DC375&gt;=5,"CONDITIONAL","LOW")))))</x:f>
      </x:c>
      <x:c r="DF375" s="174"/>
      <x:c r="DG375" s="174"/>
      <x:c r="DH375" s="174"/>
      <x:c r="DI375" s="174"/>
      <x:c r="DJ375" s="174"/>
      <x:c r="DK375" s="174"/>
      <x:c r="DL375" s="174"/>
      <x:c r="DM375" s="174"/>
      <x:c r="DN375" s="174"/>
      <x:c r="DO375" s="174"/>
      <x:c r="DP375" s="174"/>
      <x:c r="DQ375" s="174"/>
      <x:c r="DR375" s="174"/>
      <x:c r="DS375" s="174"/>
      <x:c r="DT375" s="174"/>
      <x:c r="DU375" s="174"/>
      <x:c r="DV375" s="174"/>
      <x:c r="DW375" s="174"/>
      <x:c r="DX375" s="174"/>
      <x:c r="DY375" s="174"/>
      <x:c r="DZ375" s="174"/>
      <x:c r="EA375" s="174"/>
      <x:c r="EB375" s="175" t="str">
        <x:f>IF(L375="","",IF(AND(F375="Claim-ready",CJ375="Yes",CL375="Yes",DZ375&lt;&gt;""),"Yes","No / Pending"))</x:f>
      </x:c>
      <x:c r="EC375" s="174"/>
      <x:c r="ED375" s="174"/>
      <x:c r="EE375" s="174"/>
      <x:c r="EF375" s="174"/>
      <x:c r="EG375" s="174"/>
      <x:c r="EH375" s="177"/>
      <x:c r="EI375" s="174"/>
      <x:c r="EJ375" s="174"/>
      <x:c r="EK375" s="174"/>
      <x:c r="EL375" s="177"/>
      <x:c r="EM375" s="174"/>
      <x:c r="EN375" s="181" t="str">
        <x:f>IF(L375="","",(IF(N375&lt;&gt;"",1,0)+IF(O375&lt;&gt;"",1,0)+IF(AJ375&lt;&gt;"",1,0)+IF(AU375&lt;&gt;"",1,0)+IF(BE375&lt;&gt;"",1,0)+IF(CF375&lt;&gt;"",1,0)+IF(CJ375="Yes",1,0)+IF(CL375="Yes",1,0)+IF(DE375&lt;&gt;"Pending",1,0)+IF(F375&lt;&gt;"",1,0)+IF(DZ375&lt;&gt;"",1,0)+IF(EI375&lt;&gt;"",1,0))/12)</x:f>
      </x:c>
    </x:row>
    <x:row r="376">
      <x:c r="A376" s="175" t="str">
        <x:f>IF(L376="","","EV-"&amp;TEXT(ROW()-3,"0000"))</x:f>
      </x:c>
      <x:c r="B376" s="174"/>
      <x:c r="C376" s="175" t="str">
        <x:f>IF(L376="","",IF(OR(CM376="Retracted",CN376="Retracted",F376="Not used"),"🔴 Do not use for conclusion",IF(OR(R376="Official / Institutional",I376="Official / contextual"),"🔵 Official / contextual",IF(OR(I376="Definition",I376="Framework",I376="Paradigm shift"),"🟣 Conceptual key source",IF(AND(CJ376="Yes",CL376="Yes",OR(CG376="High",CG376="Moderate"),CH376&lt;&gt;"High",CH376&lt;&gt;"Critical",F376="Claim-ready"),"🟢 Claim-ready","🟡 Caution / context")))))</x:f>
      </x:c>
      <x:c r="D376" s="174"/>
      <x:c r="E376" s="174"/>
      <x:c r="F376" s="174"/>
      <x:c r="G376" s="174"/>
      <x:c r="H376" s="174"/>
      <x:c r="I376" s="174"/>
      <x:c r="J376" s="174"/>
      <x:c r="K376" s="174"/>
      <x:c r="L376" s="174"/>
      <x:c r="M376" s="174"/>
      <x:c r="N376" s="174"/>
      <x:c r="O376" s="176"/>
      <x:c r="P376" s="174"/>
      <x:c r="Q376" s="174"/>
      <x:c r="R376" s="174"/>
      <x:c r="S376" s="174"/>
      <x:c r="T376" s="174"/>
      <x:c r="U376" s="174"/>
      <x:c r="V376" s="174"/>
      <x:c r="W376" s="175" t="str">
        <x:f>IF(V376="","",LOWER(SUBSTITUTE(SUBSTITUTE(SUBSTITUTE(SUBSTITUTE(TRIM(V376),"https://doi.org/",""),"http://doi.org/",""),"https://dx.doi.org/",""),"doi:","")))</x:f>
      </x:c>
      <x:c r="X376" s="174"/>
      <x:c r="Y376" s="174"/>
      <x:c r="Z376" s="174"/>
      <x:c r="AA376" s="174"/>
      <x:c r="AB376" s="174"/>
      <x:c r="AC376" s="174"/>
      <x:c r="AD376" s="177"/>
      <x:c r="AE376" s="177"/>
      <x:c r="AF376" s="174"/>
      <x:c r="AG376" s="174"/>
      <x:c r="AH376" s="174"/>
      <x:c r="AI376" s="174"/>
      <x:c r="AJ376" s="174"/>
      <x:c r="AK376" s="175" t="str">
        <x:f>IF(AJ376="","",IF(OR(LOWER(AJ376)="brazil",LOWER(AJ376)="brasil"),"Yes","No"))</x:f>
      </x:c>
      <x:c r="AL376" s="174"/>
      <x:c r="AM376" s="174"/>
      <x:c r="AN376" s="174"/>
      <x:c r="AO376" s="178"/>
      <x:c r="AP376" s="174"/>
      <x:c r="AQ376" s="174"/>
      <x:c r="AR376" s="174"/>
      <x:c r="AS376" s="174"/>
      <x:c r="AT376" s="174"/>
      <x:c r="AU376" s="174"/>
      <x:c r="AV376" s="174"/>
      <x:c r="AW376" s="174"/>
      <x:c r="AX376" s="174"/>
      <x:c r="AY376" s="174"/>
      <x:c r="AZ376" s="174"/>
      <x:c r="BA376" s="174"/>
      <x:c r="BB376" s="174"/>
      <x:c r="BC376" s="174"/>
      <x:c r="BD376" s="174"/>
      <x:c r="BE376" s="174"/>
      <x:c r="BF376" s="174"/>
      <x:c r="BG376" s="174"/>
      <x:c r="BH376" s="174"/>
      <x:c r="BI376" s="174"/>
      <x:c r="BJ376" s="174"/>
      <x:c r="BK376" s="174"/>
      <x:c r="BL376" s="174"/>
      <x:c r="BM376" s="174"/>
      <x:c r="BN376" s="174"/>
      <x:c r="BO376" s="174"/>
      <x:c r="BP376" s="174"/>
      <x:c r="BQ376" s="174"/>
      <x:c r="BR376" s="174"/>
      <x:c r="BS376" s="174"/>
      <x:c r="BT376" s="174"/>
      <x:c r="BU376" s="174"/>
      <x:c r="BV376" s="174"/>
      <x:c r="BW376" s="174"/>
      <x:c r="BX376" s="174"/>
      <x:c r="BY376" s="174"/>
      <x:c r="BZ376" s="174"/>
      <x:c r="CA376" s="174"/>
      <x:c r="CB376" s="174"/>
      <x:c r="CC376" s="174"/>
      <x:c r="CD376" s="174"/>
      <x:c r="CE376" s="174"/>
      <x:c r="CF376" s="174"/>
      <x:c r="CG376" s="174"/>
      <x:c r="CH376" s="174"/>
      <x:c r="CI376" s="179"/>
      <x:c r="CJ376" s="174"/>
      <x:c r="CK376" s="174"/>
      <x:c r="CL376" s="174"/>
      <x:c r="CM376" s="174"/>
      <x:c r="CN376" s="174"/>
      <x:c r="CO376" s="177"/>
      <x:c r="CP376" s="174"/>
      <x:c r="CQ376" s="174"/>
      <x:c r="CR376" s="174"/>
      <x:c r="CS376" s="174"/>
      <x:c r="CT376" s="174"/>
      <x:c r="CU376" s="176"/>
      <x:c r="CV376" s="176"/>
      <x:c r="CW376" s="176"/>
      <x:c r="CX376" s="176"/>
      <x:c r="CY376" s="176"/>
      <x:c r="CZ376" s="176"/>
      <x:c r="DA376" s="176"/>
      <x:c r="DB376" s="175" t="str">
        <x:f>IF(L376="","",IF(COUNT(CU376:DA376)&lt;7,"",SUM(CU376:DA376)))</x:f>
      </x:c>
      <x:c r="DC376" s="180" t="str">
        <x:f>IF(DB376="","",ROUND(DB376/14*10,1))</x:f>
      </x:c>
      <x:c r="DD376" s="174"/>
      <x:c r="DE376" s="175" t="str">
        <x:f>IF(L376="","",IF(DC376="","Pending",IF(DD376="Yes","CONDITIONAL — safety override",IF(DC376&gt;=8,"HIGH",IF(DC376&gt;=5,"CONDITIONAL","LOW")))))</x:f>
      </x:c>
      <x:c r="DF376" s="174"/>
      <x:c r="DG376" s="174"/>
      <x:c r="DH376" s="174"/>
      <x:c r="DI376" s="174"/>
      <x:c r="DJ376" s="174"/>
      <x:c r="DK376" s="174"/>
      <x:c r="DL376" s="174"/>
      <x:c r="DM376" s="174"/>
      <x:c r="DN376" s="174"/>
      <x:c r="DO376" s="174"/>
      <x:c r="DP376" s="174"/>
      <x:c r="DQ376" s="174"/>
      <x:c r="DR376" s="174"/>
      <x:c r="DS376" s="174"/>
      <x:c r="DT376" s="174"/>
      <x:c r="DU376" s="174"/>
      <x:c r="DV376" s="174"/>
      <x:c r="DW376" s="174"/>
      <x:c r="DX376" s="174"/>
      <x:c r="DY376" s="174"/>
      <x:c r="DZ376" s="174"/>
      <x:c r="EA376" s="174"/>
      <x:c r="EB376" s="175" t="str">
        <x:f>IF(L376="","",IF(AND(F376="Claim-ready",CJ376="Yes",CL376="Yes",DZ376&lt;&gt;""),"Yes","No / Pending"))</x:f>
      </x:c>
      <x:c r="EC376" s="174"/>
      <x:c r="ED376" s="174"/>
      <x:c r="EE376" s="174"/>
      <x:c r="EF376" s="174"/>
      <x:c r="EG376" s="174"/>
      <x:c r="EH376" s="177"/>
      <x:c r="EI376" s="174"/>
      <x:c r="EJ376" s="174"/>
      <x:c r="EK376" s="174"/>
      <x:c r="EL376" s="177"/>
      <x:c r="EM376" s="174"/>
      <x:c r="EN376" s="181" t="str">
        <x:f>IF(L376="","",(IF(N376&lt;&gt;"",1,0)+IF(O376&lt;&gt;"",1,0)+IF(AJ376&lt;&gt;"",1,0)+IF(AU376&lt;&gt;"",1,0)+IF(BE376&lt;&gt;"",1,0)+IF(CF376&lt;&gt;"",1,0)+IF(CJ376="Yes",1,0)+IF(CL376="Yes",1,0)+IF(DE376&lt;&gt;"Pending",1,0)+IF(F376&lt;&gt;"",1,0)+IF(DZ376&lt;&gt;"",1,0)+IF(EI376&lt;&gt;"",1,0))/12)</x:f>
      </x:c>
    </x:row>
    <x:row r="377">
      <x:c r="A377" s="175" t="str">
        <x:f>IF(L377="","","EV-"&amp;TEXT(ROW()-3,"0000"))</x:f>
      </x:c>
      <x:c r="B377" s="174"/>
      <x:c r="C377" s="175" t="str">
        <x:f>IF(L377="","",IF(OR(CM377="Retracted",CN377="Retracted",F377="Not used"),"🔴 Do not use for conclusion",IF(OR(R377="Official / Institutional",I377="Official / contextual"),"🔵 Official / contextual",IF(OR(I377="Definition",I377="Framework",I377="Paradigm shift"),"🟣 Conceptual key source",IF(AND(CJ377="Yes",CL377="Yes",OR(CG377="High",CG377="Moderate"),CH377&lt;&gt;"High",CH377&lt;&gt;"Critical",F377="Claim-ready"),"🟢 Claim-ready","🟡 Caution / context")))))</x:f>
      </x:c>
      <x:c r="D377" s="174"/>
      <x:c r="E377" s="174"/>
      <x:c r="F377" s="174"/>
      <x:c r="G377" s="174"/>
      <x:c r="H377" s="174"/>
      <x:c r="I377" s="174"/>
      <x:c r="J377" s="174"/>
      <x:c r="K377" s="174"/>
      <x:c r="L377" s="174"/>
      <x:c r="M377" s="174"/>
      <x:c r="N377" s="174"/>
      <x:c r="O377" s="176"/>
      <x:c r="P377" s="174"/>
      <x:c r="Q377" s="174"/>
      <x:c r="R377" s="174"/>
      <x:c r="S377" s="174"/>
      <x:c r="T377" s="174"/>
      <x:c r="U377" s="174"/>
      <x:c r="V377" s="174"/>
      <x:c r="W377" s="175" t="str">
        <x:f>IF(V377="","",LOWER(SUBSTITUTE(SUBSTITUTE(SUBSTITUTE(SUBSTITUTE(TRIM(V377),"https://doi.org/",""),"http://doi.org/",""),"https://dx.doi.org/",""),"doi:","")))</x:f>
      </x:c>
      <x:c r="X377" s="174"/>
      <x:c r="Y377" s="174"/>
      <x:c r="Z377" s="174"/>
      <x:c r="AA377" s="174"/>
      <x:c r="AB377" s="174"/>
      <x:c r="AC377" s="174"/>
      <x:c r="AD377" s="177"/>
      <x:c r="AE377" s="177"/>
      <x:c r="AF377" s="174"/>
      <x:c r="AG377" s="174"/>
      <x:c r="AH377" s="174"/>
      <x:c r="AI377" s="174"/>
      <x:c r="AJ377" s="174"/>
      <x:c r="AK377" s="175" t="str">
        <x:f>IF(AJ377="","",IF(OR(LOWER(AJ377)="brazil",LOWER(AJ377)="brasil"),"Yes","No"))</x:f>
      </x:c>
      <x:c r="AL377" s="174"/>
      <x:c r="AM377" s="174"/>
      <x:c r="AN377" s="174"/>
      <x:c r="AO377" s="178"/>
      <x:c r="AP377" s="174"/>
      <x:c r="AQ377" s="174"/>
      <x:c r="AR377" s="174"/>
      <x:c r="AS377" s="174"/>
      <x:c r="AT377" s="174"/>
      <x:c r="AU377" s="174"/>
      <x:c r="AV377" s="174"/>
      <x:c r="AW377" s="174"/>
      <x:c r="AX377" s="174"/>
      <x:c r="AY377" s="174"/>
      <x:c r="AZ377" s="174"/>
      <x:c r="BA377" s="174"/>
      <x:c r="BB377" s="174"/>
      <x:c r="BC377" s="174"/>
      <x:c r="BD377" s="174"/>
      <x:c r="BE377" s="174"/>
      <x:c r="BF377" s="174"/>
      <x:c r="BG377" s="174"/>
      <x:c r="BH377" s="174"/>
      <x:c r="BI377" s="174"/>
      <x:c r="BJ377" s="174"/>
      <x:c r="BK377" s="174"/>
      <x:c r="BL377" s="174"/>
      <x:c r="BM377" s="174"/>
      <x:c r="BN377" s="174"/>
      <x:c r="BO377" s="174"/>
      <x:c r="BP377" s="174"/>
      <x:c r="BQ377" s="174"/>
      <x:c r="BR377" s="174"/>
      <x:c r="BS377" s="174"/>
      <x:c r="BT377" s="174"/>
      <x:c r="BU377" s="174"/>
      <x:c r="BV377" s="174"/>
      <x:c r="BW377" s="174"/>
      <x:c r="BX377" s="174"/>
      <x:c r="BY377" s="174"/>
      <x:c r="BZ377" s="174"/>
      <x:c r="CA377" s="174"/>
      <x:c r="CB377" s="174"/>
      <x:c r="CC377" s="174"/>
      <x:c r="CD377" s="174"/>
      <x:c r="CE377" s="174"/>
      <x:c r="CF377" s="174"/>
      <x:c r="CG377" s="174"/>
      <x:c r="CH377" s="174"/>
      <x:c r="CI377" s="179"/>
      <x:c r="CJ377" s="174"/>
      <x:c r="CK377" s="174"/>
      <x:c r="CL377" s="174"/>
      <x:c r="CM377" s="174"/>
      <x:c r="CN377" s="174"/>
      <x:c r="CO377" s="177"/>
      <x:c r="CP377" s="174"/>
      <x:c r="CQ377" s="174"/>
      <x:c r="CR377" s="174"/>
      <x:c r="CS377" s="174"/>
      <x:c r="CT377" s="174"/>
      <x:c r="CU377" s="176"/>
      <x:c r="CV377" s="176"/>
      <x:c r="CW377" s="176"/>
      <x:c r="CX377" s="176"/>
      <x:c r="CY377" s="176"/>
      <x:c r="CZ377" s="176"/>
      <x:c r="DA377" s="176"/>
      <x:c r="DB377" s="175" t="str">
        <x:f>IF(L377="","",IF(COUNT(CU377:DA377)&lt;7,"",SUM(CU377:DA377)))</x:f>
      </x:c>
      <x:c r="DC377" s="180" t="str">
        <x:f>IF(DB377="","",ROUND(DB377/14*10,1))</x:f>
      </x:c>
      <x:c r="DD377" s="174"/>
      <x:c r="DE377" s="175" t="str">
        <x:f>IF(L377="","",IF(DC377="","Pending",IF(DD377="Yes","CONDITIONAL — safety override",IF(DC377&gt;=8,"HIGH",IF(DC377&gt;=5,"CONDITIONAL","LOW")))))</x:f>
      </x:c>
      <x:c r="DF377" s="174"/>
      <x:c r="DG377" s="174"/>
      <x:c r="DH377" s="174"/>
      <x:c r="DI377" s="174"/>
      <x:c r="DJ377" s="174"/>
      <x:c r="DK377" s="174"/>
      <x:c r="DL377" s="174"/>
      <x:c r="DM377" s="174"/>
      <x:c r="DN377" s="174"/>
      <x:c r="DO377" s="174"/>
      <x:c r="DP377" s="174"/>
      <x:c r="DQ377" s="174"/>
      <x:c r="DR377" s="174"/>
      <x:c r="DS377" s="174"/>
      <x:c r="DT377" s="174"/>
      <x:c r="DU377" s="174"/>
      <x:c r="DV377" s="174"/>
      <x:c r="DW377" s="174"/>
      <x:c r="DX377" s="174"/>
      <x:c r="DY377" s="174"/>
      <x:c r="DZ377" s="174"/>
      <x:c r="EA377" s="174"/>
      <x:c r="EB377" s="175" t="str">
        <x:f>IF(L377="","",IF(AND(F377="Claim-ready",CJ377="Yes",CL377="Yes",DZ377&lt;&gt;""),"Yes","No / Pending"))</x:f>
      </x:c>
      <x:c r="EC377" s="174"/>
      <x:c r="ED377" s="174"/>
      <x:c r="EE377" s="174"/>
      <x:c r="EF377" s="174"/>
      <x:c r="EG377" s="174"/>
      <x:c r="EH377" s="177"/>
      <x:c r="EI377" s="174"/>
      <x:c r="EJ377" s="174"/>
      <x:c r="EK377" s="174"/>
      <x:c r="EL377" s="177"/>
      <x:c r="EM377" s="174"/>
      <x:c r="EN377" s="181" t="str">
        <x:f>IF(L377="","",(IF(N377&lt;&gt;"",1,0)+IF(O377&lt;&gt;"",1,0)+IF(AJ377&lt;&gt;"",1,0)+IF(AU377&lt;&gt;"",1,0)+IF(BE377&lt;&gt;"",1,0)+IF(CF377&lt;&gt;"",1,0)+IF(CJ377="Yes",1,0)+IF(CL377="Yes",1,0)+IF(DE377&lt;&gt;"Pending",1,0)+IF(F377&lt;&gt;"",1,0)+IF(DZ377&lt;&gt;"",1,0)+IF(EI377&lt;&gt;"",1,0))/12)</x:f>
      </x:c>
    </x:row>
    <x:row r="378">
      <x:c r="A378" s="175" t="str">
        <x:f>IF(L378="","","EV-"&amp;TEXT(ROW()-3,"0000"))</x:f>
      </x:c>
      <x:c r="B378" s="174"/>
      <x:c r="C378" s="175" t="str">
        <x:f>IF(L378="","",IF(OR(CM378="Retracted",CN378="Retracted",F378="Not used"),"🔴 Do not use for conclusion",IF(OR(R378="Official / Institutional",I378="Official / contextual"),"🔵 Official / contextual",IF(OR(I378="Definition",I378="Framework",I378="Paradigm shift"),"🟣 Conceptual key source",IF(AND(CJ378="Yes",CL378="Yes",OR(CG378="High",CG378="Moderate"),CH378&lt;&gt;"High",CH378&lt;&gt;"Critical",F378="Claim-ready"),"🟢 Claim-ready","🟡 Caution / context")))))</x:f>
      </x:c>
      <x:c r="D378" s="174"/>
      <x:c r="E378" s="174"/>
      <x:c r="F378" s="174"/>
      <x:c r="G378" s="174"/>
      <x:c r="H378" s="174"/>
      <x:c r="I378" s="174"/>
      <x:c r="J378" s="174"/>
      <x:c r="K378" s="174"/>
      <x:c r="L378" s="174"/>
      <x:c r="M378" s="174"/>
      <x:c r="N378" s="174"/>
      <x:c r="O378" s="176"/>
      <x:c r="P378" s="174"/>
      <x:c r="Q378" s="174"/>
      <x:c r="R378" s="174"/>
      <x:c r="S378" s="174"/>
      <x:c r="T378" s="174"/>
      <x:c r="U378" s="174"/>
      <x:c r="V378" s="174"/>
      <x:c r="W378" s="175" t="str">
        <x:f>IF(V378="","",LOWER(SUBSTITUTE(SUBSTITUTE(SUBSTITUTE(SUBSTITUTE(TRIM(V378),"https://doi.org/",""),"http://doi.org/",""),"https://dx.doi.org/",""),"doi:","")))</x:f>
      </x:c>
      <x:c r="X378" s="174"/>
      <x:c r="Y378" s="174"/>
      <x:c r="Z378" s="174"/>
      <x:c r="AA378" s="174"/>
      <x:c r="AB378" s="174"/>
      <x:c r="AC378" s="174"/>
      <x:c r="AD378" s="177"/>
      <x:c r="AE378" s="177"/>
      <x:c r="AF378" s="174"/>
      <x:c r="AG378" s="174"/>
      <x:c r="AH378" s="174"/>
      <x:c r="AI378" s="174"/>
      <x:c r="AJ378" s="174"/>
      <x:c r="AK378" s="175" t="str">
        <x:f>IF(AJ378="","",IF(OR(LOWER(AJ378)="brazil",LOWER(AJ378)="brasil"),"Yes","No"))</x:f>
      </x:c>
      <x:c r="AL378" s="174"/>
      <x:c r="AM378" s="174"/>
      <x:c r="AN378" s="174"/>
      <x:c r="AO378" s="178"/>
      <x:c r="AP378" s="174"/>
      <x:c r="AQ378" s="174"/>
      <x:c r="AR378" s="174"/>
      <x:c r="AS378" s="174"/>
      <x:c r="AT378" s="174"/>
      <x:c r="AU378" s="174"/>
      <x:c r="AV378" s="174"/>
      <x:c r="AW378" s="174"/>
      <x:c r="AX378" s="174"/>
      <x:c r="AY378" s="174"/>
      <x:c r="AZ378" s="174"/>
      <x:c r="BA378" s="174"/>
      <x:c r="BB378" s="174"/>
      <x:c r="BC378" s="174"/>
      <x:c r="BD378" s="174"/>
      <x:c r="BE378" s="174"/>
      <x:c r="BF378" s="174"/>
      <x:c r="BG378" s="174"/>
      <x:c r="BH378" s="174"/>
      <x:c r="BI378" s="174"/>
      <x:c r="BJ378" s="174"/>
      <x:c r="BK378" s="174"/>
      <x:c r="BL378" s="174"/>
      <x:c r="BM378" s="174"/>
      <x:c r="BN378" s="174"/>
      <x:c r="BO378" s="174"/>
      <x:c r="BP378" s="174"/>
      <x:c r="BQ378" s="174"/>
      <x:c r="BR378" s="174"/>
      <x:c r="BS378" s="174"/>
      <x:c r="BT378" s="174"/>
      <x:c r="BU378" s="174"/>
      <x:c r="BV378" s="174"/>
      <x:c r="BW378" s="174"/>
      <x:c r="BX378" s="174"/>
      <x:c r="BY378" s="174"/>
      <x:c r="BZ378" s="174"/>
      <x:c r="CA378" s="174"/>
      <x:c r="CB378" s="174"/>
      <x:c r="CC378" s="174"/>
      <x:c r="CD378" s="174"/>
      <x:c r="CE378" s="174"/>
      <x:c r="CF378" s="174"/>
      <x:c r="CG378" s="174"/>
      <x:c r="CH378" s="174"/>
      <x:c r="CI378" s="179"/>
      <x:c r="CJ378" s="174"/>
      <x:c r="CK378" s="174"/>
      <x:c r="CL378" s="174"/>
      <x:c r="CM378" s="174"/>
      <x:c r="CN378" s="174"/>
      <x:c r="CO378" s="177"/>
      <x:c r="CP378" s="174"/>
      <x:c r="CQ378" s="174"/>
      <x:c r="CR378" s="174"/>
      <x:c r="CS378" s="174"/>
      <x:c r="CT378" s="174"/>
      <x:c r="CU378" s="176"/>
      <x:c r="CV378" s="176"/>
      <x:c r="CW378" s="176"/>
      <x:c r="CX378" s="176"/>
      <x:c r="CY378" s="176"/>
      <x:c r="CZ378" s="176"/>
      <x:c r="DA378" s="176"/>
      <x:c r="DB378" s="175" t="str">
        <x:f>IF(L378="","",IF(COUNT(CU378:DA378)&lt;7,"",SUM(CU378:DA378)))</x:f>
      </x:c>
      <x:c r="DC378" s="180" t="str">
        <x:f>IF(DB378="","",ROUND(DB378/14*10,1))</x:f>
      </x:c>
      <x:c r="DD378" s="174"/>
      <x:c r="DE378" s="175" t="str">
        <x:f>IF(L378="","",IF(DC378="","Pending",IF(DD378="Yes","CONDITIONAL — safety override",IF(DC378&gt;=8,"HIGH",IF(DC378&gt;=5,"CONDITIONAL","LOW")))))</x:f>
      </x:c>
      <x:c r="DF378" s="174"/>
      <x:c r="DG378" s="174"/>
      <x:c r="DH378" s="174"/>
      <x:c r="DI378" s="174"/>
      <x:c r="DJ378" s="174"/>
      <x:c r="DK378" s="174"/>
      <x:c r="DL378" s="174"/>
      <x:c r="DM378" s="174"/>
      <x:c r="DN378" s="174"/>
      <x:c r="DO378" s="174"/>
      <x:c r="DP378" s="174"/>
      <x:c r="DQ378" s="174"/>
      <x:c r="DR378" s="174"/>
      <x:c r="DS378" s="174"/>
      <x:c r="DT378" s="174"/>
      <x:c r="DU378" s="174"/>
      <x:c r="DV378" s="174"/>
      <x:c r="DW378" s="174"/>
      <x:c r="DX378" s="174"/>
      <x:c r="DY378" s="174"/>
      <x:c r="DZ378" s="174"/>
      <x:c r="EA378" s="174"/>
      <x:c r="EB378" s="175" t="str">
        <x:f>IF(L378="","",IF(AND(F378="Claim-ready",CJ378="Yes",CL378="Yes",DZ378&lt;&gt;""),"Yes","No / Pending"))</x:f>
      </x:c>
      <x:c r="EC378" s="174"/>
      <x:c r="ED378" s="174"/>
      <x:c r="EE378" s="174"/>
      <x:c r="EF378" s="174"/>
      <x:c r="EG378" s="174"/>
      <x:c r="EH378" s="177"/>
      <x:c r="EI378" s="174"/>
      <x:c r="EJ378" s="174"/>
      <x:c r="EK378" s="174"/>
      <x:c r="EL378" s="177"/>
      <x:c r="EM378" s="174"/>
      <x:c r="EN378" s="181" t="str">
        <x:f>IF(L378="","",(IF(N378&lt;&gt;"",1,0)+IF(O378&lt;&gt;"",1,0)+IF(AJ378&lt;&gt;"",1,0)+IF(AU378&lt;&gt;"",1,0)+IF(BE378&lt;&gt;"",1,0)+IF(CF378&lt;&gt;"",1,0)+IF(CJ378="Yes",1,0)+IF(CL378="Yes",1,0)+IF(DE378&lt;&gt;"Pending",1,0)+IF(F378&lt;&gt;"",1,0)+IF(DZ378&lt;&gt;"",1,0)+IF(EI378&lt;&gt;"",1,0))/12)</x:f>
      </x:c>
    </x:row>
    <x:row r="379">
      <x:c r="A379" s="175" t="str">
        <x:f>IF(L379="","","EV-"&amp;TEXT(ROW()-3,"0000"))</x:f>
      </x:c>
      <x:c r="B379" s="174"/>
      <x:c r="C379" s="175" t="str">
        <x:f>IF(L379="","",IF(OR(CM379="Retracted",CN379="Retracted",F379="Not used"),"🔴 Do not use for conclusion",IF(OR(R379="Official / Institutional",I379="Official / contextual"),"🔵 Official / contextual",IF(OR(I379="Definition",I379="Framework",I379="Paradigm shift"),"🟣 Conceptual key source",IF(AND(CJ379="Yes",CL379="Yes",OR(CG379="High",CG379="Moderate"),CH379&lt;&gt;"High",CH379&lt;&gt;"Critical",F379="Claim-ready"),"🟢 Claim-ready","🟡 Caution / context")))))</x:f>
      </x:c>
      <x:c r="D379" s="174"/>
      <x:c r="E379" s="174"/>
      <x:c r="F379" s="174"/>
      <x:c r="G379" s="174"/>
      <x:c r="H379" s="174"/>
      <x:c r="I379" s="174"/>
      <x:c r="J379" s="174"/>
      <x:c r="K379" s="174"/>
      <x:c r="L379" s="174"/>
      <x:c r="M379" s="174"/>
      <x:c r="N379" s="174"/>
      <x:c r="O379" s="176"/>
      <x:c r="P379" s="174"/>
      <x:c r="Q379" s="174"/>
      <x:c r="R379" s="174"/>
      <x:c r="S379" s="174"/>
      <x:c r="T379" s="174"/>
      <x:c r="U379" s="174"/>
      <x:c r="V379" s="174"/>
      <x:c r="W379" s="175" t="str">
        <x:f>IF(V379="","",LOWER(SUBSTITUTE(SUBSTITUTE(SUBSTITUTE(SUBSTITUTE(TRIM(V379),"https://doi.org/",""),"http://doi.org/",""),"https://dx.doi.org/",""),"doi:","")))</x:f>
      </x:c>
      <x:c r="X379" s="174"/>
      <x:c r="Y379" s="174"/>
      <x:c r="Z379" s="174"/>
      <x:c r="AA379" s="174"/>
      <x:c r="AB379" s="174"/>
      <x:c r="AC379" s="174"/>
      <x:c r="AD379" s="177"/>
      <x:c r="AE379" s="177"/>
      <x:c r="AF379" s="174"/>
      <x:c r="AG379" s="174"/>
      <x:c r="AH379" s="174"/>
      <x:c r="AI379" s="174"/>
      <x:c r="AJ379" s="174"/>
      <x:c r="AK379" s="175" t="str">
        <x:f>IF(AJ379="","",IF(OR(LOWER(AJ379)="brazil",LOWER(AJ379)="brasil"),"Yes","No"))</x:f>
      </x:c>
      <x:c r="AL379" s="174"/>
      <x:c r="AM379" s="174"/>
      <x:c r="AN379" s="174"/>
      <x:c r="AO379" s="178"/>
      <x:c r="AP379" s="174"/>
      <x:c r="AQ379" s="174"/>
      <x:c r="AR379" s="174"/>
      <x:c r="AS379" s="174"/>
      <x:c r="AT379" s="174"/>
      <x:c r="AU379" s="174"/>
      <x:c r="AV379" s="174"/>
      <x:c r="AW379" s="174"/>
      <x:c r="AX379" s="174"/>
      <x:c r="AY379" s="174"/>
      <x:c r="AZ379" s="174"/>
      <x:c r="BA379" s="174"/>
      <x:c r="BB379" s="174"/>
      <x:c r="BC379" s="174"/>
      <x:c r="BD379" s="174"/>
      <x:c r="BE379" s="174"/>
      <x:c r="BF379" s="174"/>
      <x:c r="BG379" s="174"/>
      <x:c r="BH379" s="174"/>
      <x:c r="BI379" s="174"/>
      <x:c r="BJ379" s="174"/>
      <x:c r="BK379" s="174"/>
      <x:c r="BL379" s="174"/>
      <x:c r="BM379" s="174"/>
      <x:c r="BN379" s="174"/>
      <x:c r="BO379" s="174"/>
      <x:c r="BP379" s="174"/>
      <x:c r="BQ379" s="174"/>
      <x:c r="BR379" s="174"/>
      <x:c r="BS379" s="174"/>
      <x:c r="BT379" s="174"/>
      <x:c r="BU379" s="174"/>
      <x:c r="BV379" s="174"/>
      <x:c r="BW379" s="174"/>
      <x:c r="BX379" s="174"/>
      <x:c r="BY379" s="174"/>
      <x:c r="BZ379" s="174"/>
      <x:c r="CA379" s="174"/>
      <x:c r="CB379" s="174"/>
      <x:c r="CC379" s="174"/>
      <x:c r="CD379" s="174"/>
      <x:c r="CE379" s="174"/>
      <x:c r="CF379" s="174"/>
      <x:c r="CG379" s="174"/>
      <x:c r="CH379" s="174"/>
      <x:c r="CI379" s="179"/>
      <x:c r="CJ379" s="174"/>
      <x:c r="CK379" s="174"/>
      <x:c r="CL379" s="174"/>
      <x:c r="CM379" s="174"/>
      <x:c r="CN379" s="174"/>
      <x:c r="CO379" s="177"/>
      <x:c r="CP379" s="174"/>
      <x:c r="CQ379" s="174"/>
      <x:c r="CR379" s="174"/>
      <x:c r="CS379" s="174"/>
      <x:c r="CT379" s="174"/>
      <x:c r="CU379" s="176"/>
      <x:c r="CV379" s="176"/>
      <x:c r="CW379" s="176"/>
      <x:c r="CX379" s="176"/>
      <x:c r="CY379" s="176"/>
      <x:c r="CZ379" s="176"/>
      <x:c r="DA379" s="176"/>
      <x:c r="DB379" s="175" t="str">
        <x:f>IF(L379="","",IF(COUNT(CU379:DA379)&lt;7,"",SUM(CU379:DA379)))</x:f>
      </x:c>
      <x:c r="DC379" s="180" t="str">
        <x:f>IF(DB379="","",ROUND(DB379/14*10,1))</x:f>
      </x:c>
      <x:c r="DD379" s="174"/>
      <x:c r="DE379" s="175" t="str">
        <x:f>IF(L379="","",IF(DC379="","Pending",IF(DD379="Yes","CONDITIONAL — safety override",IF(DC379&gt;=8,"HIGH",IF(DC379&gt;=5,"CONDITIONAL","LOW")))))</x:f>
      </x:c>
      <x:c r="DF379" s="174"/>
      <x:c r="DG379" s="174"/>
      <x:c r="DH379" s="174"/>
      <x:c r="DI379" s="174"/>
      <x:c r="DJ379" s="174"/>
      <x:c r="DK379" s="174"/>
      <x:c r="DL379" s="174"/>
      <x:c r="DM379" s="174"/>
      <x:c r="DN379" s="174"/>
      <x:c r="DO379" s="174"/>
      <x:c r="DP379" s="174"/>
      <x:c r="DQ379" s="174"/>
      <x:c r="DR379" s="174"/>
      <x:c r="DS379" s="174"/>
      <x:c r="DT379" s="174"/>
      <x:c r="DU379" s="174"/>
      <x:c r="DV379" s="174"/>
      <x:c r="DW379" s="174"/>
      <x:c r="DX379" s="174"/>
      <x:c r="DY379" s="174"/>
      <x:c r="DZ379" s="174"/>
      <x:c r="EA379" s="174"/>
      <x:c r="EB379" s="175" t="str">
        <x:f>IF(L379="","",IF(AND(F379="Claim-ready",CJ379="Yes",CL379="Yes",DZ379&lt;&gt;""),"Yes","No / Pending"))</x:f>
      </x:c>
      <x:c r="EC379" s="174"/>
      <x:c r="ED379" s="174"/>
      <x:c r="EE379" s="174"/>
      <x:c r="EF379" s="174"/>
      <x:c r="EG379" s="174"/>
      <x:c r="EH379" s="177"/>
      <x:c r="EI379" s="174"/>
      <x:c r="EJ379" s="174"/>
      <x:c r="EK379" s="174"/>
      <x:c r="EL379" s="177"/>
      <x:c r="EM379" s="174"/>
      <x:c r="EN379" s="181" t="str">
        <x:f>IF(L379="","",(IF(N379&lt;&gt;"",1,0)+IF(O379&lt;&gt;"",1,0)+IF(AJ379&lt;&gt;"",1,0)+IF(AU379&lt;&gt;"",1,0)+IF(BE379&lt;&gt;"",1,0)+IF(CF379&lt;&gt;"",1,0)+IF(CJ379="Yes",1,0)+IF(CL379="Yes",1,0)+IF(DE379&lt;&gt;"Pending",1,0)+IF(F379&lt;&gt;"",1,0)+IF(DZ379&lt;&gt;"",1,0)+IF(EI379&lt;&gt;"",1,0))/12)</x:f>
      </x:c>
    </x:row>
    <x:row r="380">
      <x:c r="A380" s="175" t="str">
        <x:f>IF(L380="","","EV-"&amp;TEXT(ROW()-3,"0000"))</x:f>
      </x:c>
      <x:c r="B380" s="174"/>
      <x:c r="C380" s="175" t="str">
        <x:f>IF(L380="","",IF(OR(CM380="Retracted",CN380="Retracted",F380="Not used"),"🔴 Do not use for conclusion",IF(OR(R380="Official / Institutional",I380="Official / contextual"),"🔵 Official / contextual",IF(OR(I380="Definition",I380="Framework",I380="Paradigm shift"),"🟣 Conceptual key source",IF(AND(CJ380="Yes",CL380="Yes",OR(CG380="High",CG380="Moderate"),CH380&lt;&gt;"High",CH380&lt;&gt;"Critical",F380="Claim-ready"),"🟢 Claim-ready","🟡 Caution / context")))))</x:f>
      </x:c>
      <x:c r="D380" s="174"/>
      <x:c r="E380" s="174"/>
      <x:c r="F380" s="174"/>
      <x:c r="G380" s="174"/>
      <x:c r="H380" s="174"/>
      <x:c r="I380" s="174"/>
      <x:c r="J380" s="174"/>
      <x:c r="K380" s="174"/>
      <x:c r="L380" s="174"/>
      <x:c r="M380" s="174"/>
      <x:c r="N380" s="174"/>
      <x:c r="O380" s="176"/>
      <x:c r="P380" s="174"/>
      <x:c r="Q380" s="174"/>
      <x:c r="R380" s="174"/>
      <x:c r="S380" s="174"/>
      <x:c r="T380" s="174"/>
      <x:c r="U380" s="174"/>
      <x:c r="V380" s="174"/>
      <x:c r="W380" s="175" t="str">
        <x:f>IF(V380="","",LOWER(SUBSTITUTE(SUBSTITUTE(SUBSTITUTE(SUBSTITUTE(TRIM(V380),"https://doi.org/",""),"http://doi.org/",""),"https://dx.doi.org/",""),"doi:","")))</x:f>
      </x:c>
      <x:c r="X380" s="174"/>
      <x:c r="Y380" s="174"/>
      <x:c r="Z380" s="174"/>
      <x:c r="AA380" s="174"/>
      <x:c r="AB380" s="174"/>
      <x:c r="AC380" s="174"/>
      <x:c r="AD380" s="177"/>
      <x:c r="AE380" s="177"/>
      <x:c r="AF380" s="174"/>
      <x:c r="AG380" s="174"/>
      <x:c r="AH380" s="174"/>
      <x:c r="AI380" s="174"/>
      <x:c r="AJ380" s="174"/>
      <x:c r="AK380" s="175" t="str">
        <x:f>IF(AJ380="","",IF(OR(LOWER(AJ380)="brazil",LOWER(AJ380)="brasil"),"Yes","No"))</x:f>
      </x:c>
      <x:c r="AL380" s="174"/>
      <x:c r="AM380" s="174"/>
      <x:c r="AN380" s="174"/>
      <x:c r="AO380" s="178"/>
      <x:c r="AP380" s="174"/>
      <x:c r="AQ380" s="174"/>
      <x:c r="AR380" s="174"/>
      <x:c r="AS380" s="174"/>
      <x:c r="AT380" s="174"/>
      <x:c r="AU380" s="174"/>
      <x:c r="AV380" s="174"/>
      <x:c r="AW380" s="174"/>
      <x:c r="AX380" s="174"/>
      <x:c r="AY380" s="174"/>
      <x:c r="AZ380" s="174"/>
      <x:c r="BA380" s="174"/>
      <x:c r="BB380" s="174"/>
      <x:c r="BC380" s="174"/>
      <x:c r="BD380" s="174"/>
      <x:c r="BE380" s="174"/>
      <x:c r="BF380" s="174"/>
      <x:c r="BG380" s="174"/>
      <x:c r="BH380" s="174"/>
      <x:c r="BI380" s="174"/>
      <x:c r="BJ380" s="174"/>
      <x:c r="BK380" s="174"/>
      <x:c r="BL380" s="174"/>
      <x:c r="BM380" s="174"/>
      <x:c r="BN380" s="174"/>
      <x:c r="BO380" s="174"/>
      <x:c r="BP380" s="174"/>
      <x:c r="BQ380" s="174"/>
      <x:c r="BR380" s="174"/>
      <x:c r="BS380" s="174"/>
      <x:c r="BT380" s="174"/>
      <x:c r="BU380" s="174"/>
      <x:c r="BV380" s="174"/>
      <x:c r="BW380" s="174"/>
      <x:c r="BX380" s="174"/>
      <x:c r="BY380" s="174"/>
      <x:c r="BZ380" s="174"/>
      <x:c r="CA380" s="174"/>
      <x:c r="CB380" s="174"/>
      <x:c r="CC380" s="174"/>
      <x:c r="CD380" s="174"/>
      <x:c r="CE380" s="174"/>
      <x:c r="CF380" s="174"/>
      <x:c r="CG380" s="174"/>
      <x:c r="CH380" s="174"/>
      <x:c r="CI380" s="179"/>
      <x:c r="CJ380" s="174"/>
      <x:c r="CK380" s="174"/>
      <x:c r="CL380" s="174"/>
      <x:c r="CM380" s="174"/>
      <x:c r="CN380" s="174"/>
      <x:c r="CO380" s="177"/>
      <x:c r="CP380" s="174"/>
      <x:c r="CQ380" s="174"/>
      <x:c r="CR380" s="174"/>
      <x:c r="CS380" s="174"/>
      <x:c r="CT380" s="174"/>
      <x:c r="CU380" s="176"/>
      <x:c r="CV380" s="176"/>
      <x:c r="CW380" s="176"/>
      <x:c r="CX380" s="176"/>
      <x:c r="CY380" s="176"/>
      <x:c r="CZ380" s="176"/>
      <x:c r="DA380" s="176"/>
      <x:c r="DB380" s="175" t="str">
        <x:f>IF(L380="","",IF(COUNT(CU380:DA380)&lt;7,"",SUM(CU380:DA380)))</x:f>
      </x:c>
      <x:c r="DC380" s="180" t="str">
        <x:f>IF(DB380="","",ROUND(DB380/14*10,1))</x:f>
      </x:c>
      <x:c r="DD380" s="174"/>
      <x:c r="DE380" s="175" t="str">
        <x:f>IF(L380="","",IF(DC380="","Pending",IF(DD380="Yes","CONDITIONAL — safety override",IF(DC380&gt;=8,"HIGH",IF(DC380&gt;=5,"CONDITIONAL","LOW")))))</x:f>
      </x:c>
      <x:c r="DF380" s="174"/>
      <x:c r="DG380" s="174"/>
      <x:c r="DH380" s="174"/>
      <x:c r="DI380" s="174"/>
      <x:c r="DJ380" s="174"/>
      <x:c r="DK380" s="174"/>
      <x:c r="DL380" s="174"/>
      <x:c r="DM380" s="174"/>
      <x:c r="DN380" s="174"/>
      <x:c r="DO380" s="174"/>
      <x:c r="DP380" s="174"/>
      <x:c r="DQ380" s="174"/>
      <x:c r="DR380" s="174"/>
      <x:c r="DS380" s="174"/>
      <x:c r="DT380" s="174"/>
      <x:c r="DU380" s="174"/>
      <x:c r="DV380" s="174"/>
      <x:c r="DW380" s="174"/>
      <x:c r="DX380" s="174"/>
      <x:c r="DY380" s="174"/>
      <x:c r="DZ380" s="174"/>
      <x:c r="EA380" s="174"/>
      <x:c r="EB380" s="175" t="str">
        <x:f>IF(L380="","",IF(AND(F380="Claim-ready",CJ380="Yes",CL380="Yes",DZ380&lt;&gt;""),"Yes","No / Pending"))</x:f>
      </x:c>
      <x:c r="EC380" s="174"/>
      <x:c r="ED380" s="174"/>
      <x:c r="EE380" s="174"/>
      <x:c r="EF380" s="174"/>
      <x:c r="EG380" s="174"/>
      <x:c r="EH380" s="177"/>
      <x:c r="EI380" s="174"/>
      <x:c r="EJ380" s="174"/>
      <x:c r="EK380" s="174"/>
      <x:c r="EL380" s="177"/>
      <x:c r="EM380" s="174"/>
      <x:c r="EN380" s="181" t="str">
        <x:f>IF(L380="","",(IF(N380&lt;&gt;"",1,0)+IF(O380&lt;&gt;"",1,0)+IF(AJ380&lt;&gt;"",1,0)+IF(AU380&lt;&gt;"",1,0)+IF(BE380&lt;&gt;"",1,0)+IF(CF380&lt;&gt;"",1,0)+IF(CJ380="Yes",1,0)+IF(CL380="Yes",1,0)+IF(DE380&lt;&gt;"Pending",1,0)+IF(F380&lt;&gt;"",1,0)+IF(DZ380&lt;&gt;"",1,0)+IF(EI380&lt;&gt;"",1,0))/12)</x:f>
      </x:c>
    </x:row>
    <x:row r="381">
      <x:c r="A381" s="175" t="str">
        <x:f>IF(L381="","","EV-"&amp;TEXT(ROW()-3,"0000"))</x:f>
      </x:c>
      <x:c r="B381" s="174"/>
      <x:c r="C381" s="175" t="str">
        <x:f>IF(L381="","",IF(OR(CM381="Retracted",CN381="Retracted",F381="Not used"),"🔴 Do not use for conclusion",IF(OR(R381="Official / Institutional",I381="Official / contextual"),"🔵 Official / contextual",IF(OR(I381="Definition",I381="Framework",I381="Paradigm shift"),"🟣 Conceptual key source",IF(AND(CJ381="Yes",CL381="Yes",OR(CG381="High",CG381="Moderate"),CH381&lt;&gt;"High",CH381&lt;&gt;"Critical",F381="Claim-ready"),"🟢 Claim-ready","🟡 Caution / context")))))</x:f>
      </x:c>
      <x:c r="D381" s="174"/>
      <x:c r="E381" s="174"/>
      <x:c r="F381" s="174"/>
      <x:c r="G381" s="174"/>
      <x:c r="H381" s="174"/>
      <x:c r="I381" s="174"/>
      <x:c r="J381" s="174"/>
      <x:c r="K381" s="174"/>
      <x:c r="L381" s="174"/>
      <x:c r="M381" s="174"/>
      <x:c r="N381" s="174"/>
      <x:c r="O381" s="176"/>
      <x:c r="P381" s="174"/>
      <x:c r="Q381" s="174"/>
      <x:c r="R381" s="174"/>
      <x:c r="S381" s="174"/>
      <x:c r="T381" s="174"/>
      <x:c r="U381" s="174"/>
      <x:c r="V381" s="174"/>
      <x:c r="W381" s="175" t="str">
        <x:f>IF(V381="","",LOWER(SUBSTITUTE(SUBSTITUTE(SUBSTITUTE(SUBSTITUTE(TRIM(V381),"https://doi.org/",""),"http://doi.org/",""),"https://dx.doi.org/",""),"doi:","")))</x:f>
      </x:c>
      <x:c r="X381" s="174"/>
      <x:c r="Y381" s="174"/>
      <x:c r="Z381" s="174"/>
      <x:c r="AA381" s="174"/>
      <x:c r="AB381" s="174"/>
      <x:c r="AC381" s="174"/>
      <x:c r="AD381" s="177"/>
      <x:c r="AE381" s="177"/>
      <x:c r="AF381" s="174"/>
      <x:c r="AG381" s="174"/>
      <x:c r="AH381" s="174"/>
      <x:c r="AI381" s="174"/>
      <x:c r="AJ381" s="174"/>
      <x:c r="AK381" s="175" t="str">
        <x:f>IF(AJ381="","",IF(OR(LOWER(AJ381)="brazil",LOWER(AJ381)="brasil"),"Yes","No"))</x:f>
      </x:c>
      <x:c r="AL381" s="174"/>
      <x:c r="AM381" s="174"/>
      <x:c r="AN381" s="174"/>
      <x:c r="AO381" s="178"/>
      <x:c r="AP381" s="174"/>
      <x:c r="AQ381" s="174"/>
      <x:c r="AR381" s="174"/>
      <x:c r="AS381" s="174"/>
      <x:c r="AT381" s="174"/>
      <x:c r="AU381" s="174"/>
      <x:c r="AV381" s="174"/>
      <x:c r="AW381" s="174"/>
      <x:c r="AX381" s="174"/>
      <x:c r="AY381" s="174"/>
      <x:c r="AZ381" s="174"/>
      <x:c r="BA381" s="174"/>
      <x:c r="BB381" s="174"/>
      <x:c r="BC381" s="174"/>
      <x:c r="BD381" s="174"/>
      <x:c r="BE381" s="174"/>
      <x:c r="BF381" s="174"/>
      <x:c r="BG381" s="174"/>
      <x:c r="BH381" s="174"/>
      <x:c r="BI381" s="174"/>
      <x:c r="BJ381" s="174"/>
      <x:c r="BK381" s="174"/>
      <x:c r="BL381" s="174"/>
      <x:c r="BM381" s="174"/>
      <x:c r="BN381" s="174"/>
      <x:c r="BO381" s="174"/>
      <x:c r="BP381" s="174"/>
      <x:c r="BQ381" s="174"/>
      <x:c r="BR381" s="174"/>
      <x:c r="BS381" s="174"/>
      <x:c r="BT381" s="174"/>
      <x:c r="BU381" s="174"/>
      <x:c r="BV381" s="174"/>
      <x:c r="BW381" s="174"/>
      <x:c r="BX381" s="174"/>
      <x:c r="BY381" s="174"/>
      <x:c r="BZ381" s="174"/>
      <x:c r="CA381" s="174"/>
      <x:c r="CB381" s="174"/>
      <x:c r="CC381" s="174"/>
      <x:c r="CD381" s="174"/>
      <x:c r="CE381" s="174"/>
      <x:c r="CF381" s="174"/>
      <x:c r="CG381" s="174"/>
      <x:c r="CH381" s="174"/>
      <x:c r="CI381" s="179"/>
      <x:c r="CJ381" s="174"/>
      <x:c r="CK381" s="174"/>
      <x:c r="CL381" s="174"/>
      <x:c r="CM381" s="174"/>
      <x:c r="CN381" s="174"/>
      <x:c r="CO381" s="177"/>
      <x:c r="CP381" s="174"/>
      <x:c r="CQ381" s="174"/>
      <x:c r="CR381" s="174"/>
      <x:c r="CS381" s="174"/>
      <x:c r="CT381" s="174"/>
      <x:c r="CU381" s="176"/>
      <x:c r="CV381" s="176"/>
      <x:c r="CW381" s="176"/>
      <x:c r="CX381" s="176"/>
      <x:c r="CY381" s="176"/>
      <x:c r="CZ381" s="176"/>
      <x:c r="DA381" s="176"/>
      <x:c r="DB381" s="175" t="str">
        <x:f>IF(L381="","",IF(COUNT(CU381:DA381)&lt;7,"",SUM(CU381:DA381)))</x:f>
      </x:c>
      <x:c r="DC381" s="180" t="str">
        <x:f>IF(DB381="","",ROUND(DB381/14*10,1))</x:f>
      </x:c>
      <x:c r="DD381" s="174"/>
      <x:c r="DE381" s="175" t="str">
        <x:f>IF(L381="","",IF(DC381="","Pending",IF(DD381="Yes","CONDITIONAL — safety override",IF(DC381&gt;=8,"HIGH",IF(DC381&gt;=5,"CONDITIONAL","LOW")))))</x:f>
      </x:c>
      <x:c r="DF381" s="174"/>
      <x:c r="DG381" s="174"/>
      <x:c r="DH381" s="174"/>
      <x:c r="DI381" s="174"/>
      <x:c r="DJ381" s="174"/>
      <x:c r="DK381" s="174"/>
      <x:c r="DL381" s="174"/>
      <x:c r="DM381" s="174"/>
      <x:c r="DN381" s="174"/>
      <x:c r="DO381" s="174"/>
      <x:c r="DP381" s="174"/>
      <x:c r="DQ381" s="174"/>
      <x:c r="DR381" s="174"/>
      <x:c r="DS381" s="174"/>
      <x:c r="DT381" s="174"/>
      <x:c r="DU381" s="174"/>
      <x:c r="DV381" s="174"/>
      <x:c r="DW381" s="174"/>
      <x:c r="DX381" s="174"/>
      <x:c r="DY381" s="174"/>
      <x:c r="DZ381" s="174"/>
      <x:c r="EA381" s="174"/>
      <x:c r="EB381" s="175" t="str">
        <x:f>IF(L381="","",IF(AND(F381="Claim-ready",CJ381="Yes",CL381="Yes",DZ381&lt;&gt;""),"Yes","No / Pending"))</x:f>
      </x:c>
      <x:c r="EC381" s="174"/>
      <x:c r="ED381" s="174"/>
      <x:c r="EE381" s="174"/>
      <x:c r="EF381" s="174"/>
      <x:c r="EG381" s="174"/>
      <x:c r="EH381" s="177"/>
      <x:c r="EI381" s="174"/>
      <x:c r="EJ381" s="174"/>
      <x:c r="EK381" s="174"/>
      <x:c r="EL381" s="177"/>
      <x:c r="EM381" s="174"/>
      <x:c r="EN381" s="181" t="str">
        <x:f>IF(L381="","",(IF(N381&lt;&gt;"",1,0)+IF(O381&lt;&gt;"",1,0)+IF(AJ381&lt;&gt;"",1,0)+IF(AU381&lt;&gt;"",1,0)+IF(BE381&lt;&gt;"",1,0)+IF(CF381&lt;&gt;"",1,0)+IF(CJ381="Yes",1,0)+IF(CL381="Yes",1,0)+IF(DE381&lt;&gt;"Pending",1,0)+IF(F381&lt;&gt;"",1,0)+IF(DZ381&lt;&gt;"",1,0)+IF(EI381&lt;&gt;"",1,0))/12)</x:f>
      </x:c>
    </x:row>
    <x:row r="382">
      <x:c r="A382" s="175" t="str">
        <x:f>IF(L382="","","EV-"&amp;TEXT(ROW()-3,"0000"))</x:f>
      </x:c>
      <x:c r="B382" s="174"/>
      <x:c r="C382" s="175" t="str">
        <x:f>IF(L382="","",IF(OR(CM382="Retracted",CN382="Retracted",F382="Not used"),"🔴 Do not use for conclusion",IF(OR(R382="Official / Institutional",I382="Official / contextual"),"🔵 Official / contextual",IF(OR(I382="Definition",I382="Framework",I382="Paradigm shift"),"🟣 Conceptual key source",IF(AND(CJ382="Yes",CL382="Yes",OR(CG382="High",CG382="Moderate"),CH382&lt;&gt;"High",CH382&lt;&gt;"Critical",F382="Claim-ready"),"🟢 Claim-ready","🟡 Caution / context")))))</x:f>
      </x:c>
      <x:c r="D382" s="174"/>
      <x:c r="E382" s="174"/>
      <x:c r="F382" s="174"/>
      <x:c r="G382" s="174"/>
      <x:c r="H382" s="174"/>
      <x:c r="I382" s="174"/>
      <x:c r="J382" s="174"/>
      <x:c r="K382" s="174"/>
      <x:c r="L382" s="174"/>
      <x:c r="M382" s="174"/>
      <x:c r="N382" s="174"/>
      <x:c r="O382" s="176"/>
      <x:c r="P382" s="174"/>
      <x:c r="Q382" s="174"/>
      <x:c r="R382" s="174"/>
      <x:c r="S382" s="174"/>
      <x:c r="T382" s="174"/>
      <x:c r="U382" s="174"/>
      <x:c r="V382" s="174"/>
      <x:c r="W382" s="175" t="str">
        <x:f>IF(V382="","",LOWER(SUBSTITUTE(SUBSTITUTE(SUBSTITUTE(SUBSTITUTE(TRIM(V382),"https://doi.org/",""),"http://doi.org/",""),"https://dx.doi.org/",""),"doi:","")))</x:f>
      </x:c>
      <x:c r="X382" s="174"/>
      <x:c r="Y382" s="174"/>
      <x:c r="Z382" s="174"/>
      <x:c r="AA382" s="174"/>
      <x:c r="AB382" s="174"/>
      <x:c r="AC382" s="174"/>
      <x:c r="AD382" s="177"/>
      <x:c r="AE382" s="177"/>
      <x:c r="AF382" s="174"/>
      <x:c r="AG382" s="174"/>
      <x:c r="AH382" s="174"/>
      <x:c r="AI382" s="174"/>
      <x:c r="AJ382" s="174"/>
      <x:c r="AK382" s="175" t="str">
        <x:f>IF(AJ382="","",IF(OR(LOWER(AJ382)="brazil",LOWER(AJ382)="brasil"),"Yes","No"))</x:f>
      </x:c>
      <x:c r="AL382" s="174"/>
      <x:c r="AM382" s="174"/>
      <x:c r="AN382" s="174"/>
      <x:c r="AO382" s="178"/>
      <x:c r="AP382" s="174"/>
      <x:c r="AQ382" s="174"/>
      <x:c r="AR382" s="174"/>
      <x:c r="AS382" s="174"/>
      <x:c r="AT382" s="174"/>
      <x:c r="AU382" s="174"/>
      <x:c r="AV382" s="174"/>
      <x:c r="AW382" s="174"/>
      <x:c r="AX382" s="174"/>
      <x:c r="AY382" s="174"/>
      <x:c r="AZ382" s="174"/>
      <x:c r="BA382" s="174"/>
      <x:c r="BB382" s="174"/>
      <x:c r="BC382" s="174"/>
      <x:c r="BD382" s="174"/>
      <x:c r="BE382" s="174"/>
      <x:c r="BF382" s="174"/>
      <x:c r="BG382" s="174"/>
      <x:c r="BH382" s="174"/>
      <x:c r="BI382" s="174"/>
      <x:c r="BJ382" s="174"/>
      <x:c r="BK382" s="174"/>
      <x:c r="BL382" s="174"/>
      <x:c r="BM382" s="174"/>
      <x:c r="BN382" s="174"/>
      <x:c r="BO382" s="174"/>
      <x:c r="BP382" s="174"/>
      <x:c r="BQ382" s="174"/>
      <x:c r="BR382" s="174"/>
      <x:c r="BS382" s="174"/>
      <x:c r="BT382" s="174"/>
      <x:c r="BU382" s="174"/>
      <x:c r="BV382" s="174"/>
      <x:c r="BW382" s="174"/>
      <x:c r="BX382" s="174"/>
      <x:c r="BY382" s="174"/>
      <x:c r="BZ382" s="174"/>
      <x:c r="CA382" s="174"/>
      <x:c r="CB382" s="174"/>
      <x:c r="CC382" s="174"/>
      <x:c r="CD382" s="174"/>
      <x:c r="CE382" s="174"/>
      <x:c r="CF382" s="174"/>
      <x:c r="CG382" s="174"/>
      <x:c r="CH382" s="174"/>
      <x:c r="CI382" s="179"/>
      <x:c r="CJ382" s="174"/>
      <x:c r="CK382" s="174"/>
      <x:c r="CL382" s="174"/>
      <x:c r="CM382" s="174"/>
      <x:c r="CN382" s="174"/>
      <x:c r="CO382" s="177"/>
      <x:c r="CP382" s="174"/>
      <x:c r="CQ382" s="174"/>
      <x:c r="CR382" s="174"/>
      <x:c r="CS382" s="174"/>
      <x:c r="CT382" s="174"/>
      <x:c r="CU382" s="176"/>
      <x:c r="CV382" s="176"/>
      <x:c r="CW382" s="176"/>
      <x:c r="CX382" s="176"/>
      <x:c r="CY382" s="176"/>
      <x:c r="CZ382" s="176"/>
      <x:c r="DA382" s="176"/>
      <x:c r="DB382" s="175" t="str">
        <x:f>IF(L382="","",IF(COUNT(CU382:DA382)&lt;7,"",SUM(CU382:DA382)))</x:f>
      </x:c>
      <x:c r="DC382" s="180" t="str">
        <x:f>IF(DB382="","",ROUND(DB382/14*10,1))</x:f>
      </x:c>
      <x:c r="DD382" s="174"/>
      <x:c r="DE382" s="175" t="str">
        <x:f>IF(L382="","",IF(DC382="","Pending",IF(DD382="Yes","CONDITIONAL — safety override",IF(DC382&gt;=8,"HIGH",IF(DC382&gt;=5,"CONDITIONAL","LOW")))))</x:f>
      </x:c>
      <x:c r="DF382" s="174"/>
      <x:c r="DG382" s="174"/>
      <x:c r="DH382" s="174"/>
      <x:c r="DI382" s="174"/>
      <x:c r="DJ382" s="174"/>
      <x:c r="DK382" s="174"/>
      <x:c r="DL382" s="174"/>
      <x:c r="DM382" s="174"/>
      <x:c r="DN382" s="174"/>
      <x:c r="DO382" s="174"/>
      <x:c r="DP382" s="174"/>
      <x:c r="DQ382" s="174"/>
      <x:c r="DR382" s="174"/>
      <x:c r="DS382" s="174"/>
      <x:c r="DT382" s="174"/>
      <x:c r="DU382" s="174"/>
      <x:c r="DV382" s="174"/>
      <x:c r="DW382" s="174"/>
      <x:c r="DX382" s="174"/>
      <x:c r="DY382" s="174"/>
      <x:c r="DZ382" s="174"/>
      <x:c r="EA382" s="174"/>
      <x:c r="EB382" s="175" t="str">
        <x:f>IF(L382="","",IF(AND(F382="Claim-ready",CJ382="Yes",CL382="Yes",DZ382&lt;&gt;""),"Yes","No / Pending"))</x:f>
      </x:c>
      <x:c r="EC382" s="174"/>
      <x:c r="ED382" s="174"/>
      <x:c r="EE382" s="174"/>
      <x:c r="EF382" s="174"/>
      <x:c r="EG382" s="174"/>
      <x:c r="EH382" s="177"/>
      <x:c r="EI382" s="174"/>
      <x:c r="EJ382" s="174"/>
      <x:c r="EK382" s="174"/>
      <x:c r="EL382" s="177"/>
      <x:c r="EM382" s="174"/>
      <x:c r="EN382" s="181" t="str">
        <x:f>IF(L382="","",(IF(N382&lt;&gt;"",1,0)+IF(O382&lt;&gt;"",1,0)+IF(AJ382&lt;&gt;"",1,0)+IF(AU382&lt;&gt;"",1,0)+IF(BE382&lt;&gt;"",1,0)+IF(CF382&lt;&gt;"",1,0)+IF(CJ382="Yes",1,0)+IF(CL382="Yes",1,0)+IF(DE382&lt;&gt;"Pending",1,0)+IF(F382&lt;&gt;"",1,0)+IF(DZ382&lt;&gt;"",1,0)+IF(EI382&lt;&gt;"",1,0))/12)</x:f>
      </x:c>
    </x:row>
    <x:row r="383">
      <x:c r="A383" s="175" t="str">
        <x:f>IF(L383="","","EV-"&amp;TEXT(ROW()-3,"0000"))</x:f>
      </x:c>
      <x:c r="B383" s="174"/>
      <x:c r="C383" s="175" t="str">
        <x:f>IF(L383="","",IF(OR(CM383="Retracted",CN383="Retracted",F383="Not used"),"🔴 Do not use for conclusion",IF(OR(R383="Official / Institutional",I383="Official / contextual"),"🔵 Official / contextual",IF(OR(I383="Definition",I383="Framework",I383="Paradigm shift"),"🟣 Conceptual key source",IF(AND(CJ383="Yes",CL383="Yes",OR(CG383="High",CG383="Moderate"),CH383&lt;&gt;"High",CH383&lt;&gt;"Critical",F383="Claim-ready"),"🟢 Claim-ready","🟡 Caution / context")))))</x:f>
      </x:c>
      <x:c r="D383" s="174"/>
      <x:c r="E383" s="174"/>
      <x:c r="F383" s="174"/>
      <x:c r="G383" s="174"/>
      <x:c r="H383" s="174"/>
      <x:c r="I383" s="174"/>
      <x:c r="J383" s="174"/>
      <x:c r="K383" s="174"/>
      <x:c r="L383" s="174"/>
      <x:c r="M383" s="174"/>
      <x:c r="N383" s="174"/>
      <x:c r="O383" s="176"/>
      <x:c r="P383" s="174"/>
      <x:c r="Q383" s="174"/>
      <x:c r="R383" s="174"/>
      <x:c r="S383" s="174"/>
      <x:c r="T383" s="174"/>
      <x:c r="U383" s="174"/>
      <x:c r="V383" s="174"/>
      <x:c r="W383" s="175" t="str">
        <x:f>IF(V383="","",LOWER(SUBSTITUTE(SUBSTITUTE(SUBSTITUTE(SUBSTITUTE(TRIM(V383),"https://doi.org/",""),"http://doi.org/",""),"https://dx.doi.org/",""),"doi:","")))</x:f>
      </x:c>
      <x:c r="X383" s="174"/>
      <x:c r="Y383" s="174"/>
      <x:c r="Z383" s="174"/>
      <x:c r="AA383" s="174"/>
      <x:c r="AB383" s="174"/>
      <x:c r="AC383" s="174"/>
      <x:c r="AD383" s="177"/>
      <x:c r="AE383" s="177"/>
      <x:c r="AF383" s="174"/>
      <x:c r="AG383" s="174"/>
      <x:c r="AH383" s="174"/>
      <x:c r="AI383" s="174"/>
      <x:c r="AJ383" s="174"/>
      <x:c r="AK383" s="175" t="str">
        <x:f>IF(AJ383="","",IF(OR(LOWER(AJ383)="brazil",LOWER(AJ383)="brasil"),"Yes","No"))</x:f>
      </x:c>
      <x:c r="AL383" s="174"/>
      <x:c r="AM383" s="174"/>
      <x:c r="AN383" s="174"/>
      <x:c r="AO383" s="178"/>
      <x:c r="AP383" s="174"/>
      <x:c r="AQ383" s="174"/>
      <x:c r="AR383" s="174"/>
      <x:c r="AS383" s="174"/>
      <x:c r="AT383" s="174"/>
      <x:c r="AU383" s="174"/>
      <x:c r="AV383" s="174"/>
      <x:c r="AW383" s="174"/>
      <x:c r="AX383" s="174"/>
      <x:c r="AY383" s="174"/>
      <x:c r="AZ383" s="174"/>
      <x:c r="BA383" s="174"/>
      <x:c r="BB383" s="174"/>
      <x:c r="BC383" s="174"/>
      <x:c r="BD383" s="174"/>
      <x:c r="BE383" s="174"/>
      <x:c r="BF383" s="174"/>
      <x:c r="BG383" s="174"/>
      <x:c r="BH383" s="174"/>
      <x:c r="BI383" s="174"/>
      <x:c r="BJ383" s="174"/>
      <x:c r="BK383" s="174"/>
      <x:c r="BL383" s="174"/>
      <x:c r="BM383" s="174"/>
      <x:c r="BN383" s="174"/>
      <x:c r="BO383" s="174"/>
      <x:c r="BP383" s="174"/>
      <x:c r="BQ383" s="174"/>
      <x:c r="BR383" s="174"/>
      <x:c r="BS383" s="174"/>
      <x:c r="BT383" s="174"/>
      <x:c r="BU383" s="174"/>
      <x:c r="BV383" s="174"/>
      <x:c r="BW383" s="174"/>
      <x:c r="BX383" s="174"/>
      <x:c r="BY383" s="174"/>
      <x:c r="BZ383" s="174"/>
      <x:c r="CA383" s="174"/>
      <x:c r="CB383" s="174"/>
      <x:c r="CC383" s="174"/>
      <x:c r="CD383" s="174"/>
      <x:c r="CE383" s="174"/>
      <x:c r="CF383" s="174"/>
      <x:c r="CG383" s="174"/>
      <x:c r="CH383" s="174"/>
      <x:c r="CI383" s="179"/>
      <x:c r="CJ383" s="174"/>
      <x:c r="CK383" s="174"/>
      <x:c r="CL383" s="174"/>
      <x:c r="CM383" s="174"/>
      <x:c r="CN383" s="174"/>
      <x:c r="CO383" s="177"/>
      <x:c r="CP383" s="174"/>
      <x:c r="CQ383" s="174"/>
      <x:c r="CR383" s="174"/>
      <x:c r="CS383" s="174"/>
      <x:c r="CT383" s="174"/>
      <x:c r="CU383" s="176"/>
      <x:c r="CV383" s="176"/>
      <x:c r="CW383" s="176"/>
      <x:c r="CX383" s="176"/>
      <x:c r="CY383" s="176"/>
      <x:c r="CZ383" s="176"/>
      <x:c r="DA383" s="176"/>
      <x:c r="DB383" s="175" t="str">
        <x:f>IF(L383="","",IF(COUNT(CU383:DA383)&lt;7,"",SUM(CU383:DA383)))</x:f>
      </x:c>
      <x:c r="DC383" s="180" t="str">
        <x:f>IF(DB383="","",ROUND(DB383/14*10,1))</x:f>
      </x:c>
      <x:c r="DD383" s="174"/>
      <x:c r="DE383" s="175" t="str">
        <x:f>IF(L383="","",IF(DC383="","Pending",IF(DD383="Yes","CONDITIONAL — safety override",IF(DC383&gt;=8,"HIGH",IF(DC383&gt;=5,"CONDITIONAL","LOW")))))</x:f>
      </x:c>
      <x:c r="DF383" s="174"/>
      <x:c r="DG383" s="174"/>
      <x:c r="DH383" s="174"/>
      <x:c r="DI383" s="174"/>
      <x:c r="DJ383" s="174"/>
      <x:c r="DK383" s="174"/>
      <x:c r="DL383" s="174"/>
      <x:c r="DM383" s="174"/>
      <x:c r="DN383" s="174"/>
      <x:c r="DO383" s="174"/>
      <x:c r="DP383" s="174"/>
      <x:c r="DQ383" s="174"/>
      <x:c r="DR383" s="174"/>
      <x:c r="DS383" s="174"/>
      <x:c r="DT383" s="174"/>
      <x:c r="DU383" s="174"/>
      <x:c r="DV383" s="174"/>
      <x:c r="DW383" s="174"/>
      <x:c r="DX383" s="174"/>
      <x:c r="DY383" s="174"/>
      <x:c r="DZ383" s="174"/>
      <x:c r="EA383" s="174"/>
      <x:c r="EB383" s="175" t="str">
        <x:f>IF(L383="","",IF(AND(F383="Claim-ready",CJ383="Yes",CL383="Yes",DZ383&lt;&gt;""),"Yes","No / Pending"))</x:f>
      </x:c>
      <x:c r="EC383" s="174"/>
      <x:c r="ED383" s="174"/>
      <x:c r="EE383" s="174"/>
      <x:c r="EF383" s="174"/>
      <x:c r="EG383" s="174"/>
      <x:c r="EH383" s="177"/>
      <x:c r="EI383" s="174"/>
      <x:c r="EJ383" s="174"/>
      <x:c r="EK383" s="174"/>
      <x:c r="EL383" s="177"/>
      <x:c r="EM383" s="174"/>
      <x:c r="EN383" s="181" t="str">
        <x:f>IF(L383="","",(IF(N383&lt;&gt;"",1,0)+IF(O383&lt;&gt;"",1,0)+IF(AJ383&lt;&gt;"",1,0)+IF(AU383&lt;&gt;"",1,0)+IF(BE383&lt;&gt;"",1,0)+IF(CF383&lt;&gt;"",1,0)+IF(CJ383="Yes",1,0)+IF(CL383="Yes",1,0)+IF(DE383&lt;&gt;"Pending",1,0)+IF(F383&lt;&gt;"",1,0)+IF(DZ383&lt;&gt;"",1,0)+IF(EI383&lt;&gt;"",1,0))/12)</x:f>
      </x:c>
    </x:row>
    <x:row r="384">
      <x:c r="A384" s="175" t="str">
        <x:f>IF(L384="","","EV-"&amp;TEXT(ROW()-3,"0000"))</x:f>
      </x:c>
      <x:c r="B384" s="174"/>
      <x:c r="C384" s="175" t="str">
        <x:f>IF(L384="","",IF(OR(CM384="Retracted",CN384="Retracted",F384="Not used"),"🔴 Do not use for conclusion",IF(OR(R384="Official / Institutional",I384="Official / contextual"),"🔵 Official / contextual",IF(OR(I384="Definition",I384="Framework",I384="Paradigm shift"),"🟣 Conceptual key source",IF(AND(CJ384="Yes",CL384="Yes",OR(CG384="High",CG384="Moderate"),CH384&lt;&gt;"High",CH384&lt;&gt;"Critical",F384="Claim-ready"),"🟢 Claim-ready","🟡 Caution / context")))))</x:f>
      </x:c>
      <x:c r="D384" s="174"/>
      <x:c r="E384" s="174"/>
      <x:c r="F384" s="174"/>
      <x:c r="G384" s="174"/>
      <x:c r="H384" s="174"/>
      <x:c r="I384" s="174"/>
      <x:c r="J384" s="174"/>
      <x:c r="K384" s="174"/>
      <x:c r="L384" s="174"/>
      <x:c r="M384" s="174"/>
      <x:c r="N384" s="174"/>
      <x:c r="O384" s="176"/>
      <x:c r="P384" s="174"/>
      <x:c r="Q384" s="174"/>
      <x:c r="R384" s="174"/>
      <x:c r="S384" s="174"/>
      <x:c r="T384" s="174"/>
      <x:c r="U384" s="174"/>
      <x:c r="V384" s="174"/>
      <x:c r="W384" s="175" t="str">
        <x:f>IF(V384="","",LOWER(SUBSTITUTE(SUBSTITUTE(SUBSTITUTE(SUBSTITUTE(TRIM(V384),"https://doi.org/",""),"http://doi.org/",""),"https://dx.doi.org/",""),"doi:","")))</x:f>
      </x:c>
      <x:c r="X384" s="174"/>
      <x:c r="Y384" s="174"/>
      <x:c r="Z384" s="174"/>
      <x:c r="AA384" s="174"/>
      <x:c r="AB384" s="174"/>
      <x:c r="AC384" s="174"/>
      <x:c r="AD384" s="177"/>
      <x:c r="AE384" s="177"/>
      <x:c r="AF384" s="174"/>
      <x:c r="AG384" s="174"/>
      <x:c r="AH384" s="174"/>
      <x:c r="AI384" s="174"/>
      <x:c r="AJ384" s="174"/>
      <x:c r="AK384" s="175" t="str">
        <x:f>IF(AJ384="","",IF(OR(LOWER(AJ384)="brazil",LOWER(AJ384)="brasil"),"Yes","No"))</x:f>
      </x:c>
      <x:c r="AL384" s="174"/>
      <x:c r="AM384" s="174"/>
      <x:c r="AN384" s="174"/>
      <x:c r="AO384" s="178"/>
      <x:c r="AP384" s="174"/>
      <x:c r="AQ384" s="174"/>
      <x:c r="AR384" s="174"/>
      <x:c r="AS384" s="174"/>
      <x:c r="AT384" s="174"/>
      <x:c r="AU384" s="174"/>
      <x:c r="AV384" s="174"/>
      <x:c r="AW384" s="174"/>
      <x:c r="AX384" s="174"/>
      <x:c r="AY384" s="174"/>
      <x:c r="AZ384" s="174"/>
      <x:c r="BA384" s="174"/>
      <x:c r="BB384" s="174"/>
      <x:c r="BC384" s="174"/>
      <x:c r="BD384" s="174"/>
      <x:c r="BE384" s="174"/>
      <x:c r="BF384" s="174"/>
      <x:c r="BG384" s="174"/>
      <x:c r="BH384" s="174"/>
      <x:c r="BI384" s="174"/>
      <x:c r="BJ384" s="174"/>
      <x:c r="BK384" s="174"/>
      <x:c r="BL384" s="174"/>
      <x:c r="BM384" s="174"/>
      <x:c r="BN384" s="174"/>
      <x:c r="BO384" s="174"/>
      <x:c r="BP384" s="174"/>
      <x:c r="BQ384" s="174"/>
      <x:c r="BR384" s="174"/>
      <x:c r="BS384" s="174"/>
      <x:c r="BT384" s="174"/>
      <x:c r="BU384" s="174"/>
      <x:c r="BV384" s="174"/>
      <x:c r="BW384" s="174"/>
      <x:c r="BX384" s="174"/>
      <x:c r="BY384" s="174"/>
      <x:c r="BZ384" s="174"/>
      <x:c r="CA384" s="174"/>
      <x:c r="CB384" s="174"/>
      <x:c r="CC384" s="174"/>
      <x:c r="CD384" s="174"/>
      <x:c r="CE384" s="174"/>
      <x:c r="CF384" s="174"/>
      <x:c r="CG384" s="174"/>
      <x:c r="CH384" s="174"/>
      <x:c r="CI384" s="179"/>
      <x:c r="CJ384" s="174"/>
      <x:c r="CK384" s="174"/>
      <x:c r="CL384" s="174"/>
      <x:c r="CM384" s="174"/>
      <x:c r="CN384" s="174"/>
      <x:c r="CO384" s="177"/>
      <x:c r="CP384" s="174"/>
      <x:c r="CQ384" s="174"/>
      <x:c r="CR384" s="174"/>
      <x:c r="CS384" s="174"/>
      <x:c r="CT384" s="174"/>
      <x:c r="CU384" s="176"/>
      <x:c r="CV384" s="176"/>
      <x:c r="CW384" s="176"/>
      <x:c r="CX384" s="176"/>
      <x:c r="CY384" s="176"/>
      <x:c r="CZ384" s="176"/>
      <x:c r="DA384" s="176"/>
      <x:c r="DB384" s="175" t="str">
        <x:f>IF(L384="","",IF(COUNT(CU384:DA384)&lt;7,"",SUM(CU384:DA384)))</x:f>
      </x:c>
      <x:c r="DC384" s="180" t="str">
        <x:f>IF(DB384="","",ROUND(DB384/14*10,1))</x:f>
      </x:c>
      <x:c r="DD384" s="174"/>
      <x:c r="DE384" s="175" t="str">
        <x:f>IF(L384="","",IF(DC384="","Pending",IF(DD384="Yes","CONDITIONAL — safety override",IF(DC384&gt;=8,"HIGH",IF(DC384&gt;=5,"CONDITIONAL","LOW")))))</x:f>
      </x:c>
      <x:c r="DF384" s="174"/>
      <x:c r="DG384" s="174"/>
      <x:c r="DH384" s="174"/>
      <x:c r="DI384" s="174"/>
      <x:c r="DJ384" s="174"/>
      <x:c r="DK384" s="174"/>
      <x:c r="DL384" s="174"/>
      <x:c r="DM384" s="174"/>
      <x:c r="DN384" s="174"/>
      <x:c r="DO384" s="174"/>
      <x:c r="DP384" s="174"/>
      <x:c r="DQ384" s="174"/>
      <x:c r="DR384" s="174"/>
      <x:c r="DS384" s="174"/>
      <x:c r="DT384" s="174"/>
      <x:c r="DU384" s="174"/>
      <x:c r="DV384" s="174"/>
      <x:c r="DW384" s="174"/>
      <x:c r="DX384" s="174"/>
      <x:c r="DY384" s="174"/>
      <x:c r="DZ384" s="174"/>
      <x:c r="EA384" s="174"/>
      <x:c r="EB384" s="175" t="str">
        <x:f>IF(L384="","",IF(AND(F384="Claim-ready",CJ384="Yes",CL384="Yes",DZ384&lt;&gt;""),"Yes","No / Pending"))</x:f>
      </x:c>
      <x:c r="EC384" s="174"/>
      <x:c r="ED384" s="174"/>
      <x:c r="EE384" s="174"/>
      <x:c r="EF384" s="174"/>
      <x:c r="EG384" s="174"/>
      <x:c r="EH384" s="177"/>
      <x:c r="EI384" s="174"/>
      <x:c r="EJ384" s="174"/>
      <x:c r="EK384" s="174"/>
      <x:c r="EL384" s="177"/>
      <x:c r="EM384" s="174"/>
      <x:c r="EN384" s="181" t="str">
        <x:f>IF(L384="","",(IF(N384&lt;&gt;"",1,0)+IF(O384&lt;&gt;"",1,0)+IF(AJ384&lt;&gt;"",1,0)+IF(AU384&lt;&gt;"",1,0)+IF(BE384&lt;&gt;"",1,0)+IF(CF384&lt;&gt;"",1,0)+IF(CJ384="Yes",1,0)+IF(CL384="Yes",1,0)+IF(DE384&lt;&gt;"Pending",1,0)+IF(F384&lt;&gt;"",1,0)+IF(DZ384&lt;&gt;"",1,0)+IF(EI384&lt;&gt;"",1,0))/12)</x:f>
      </x:c>
    </x:row>
    <x:row r="385">
      <x:c r="A385" s="175" t="str">
        <x:f>IF(L385="","","EV-"&amp;TEXT(ROW()-3,"0000"))</x:f>
      </x:c>
      <x:c r="B385" s="174"/>
      <x:c r="C385" s="175" t="str">
        <x:f>IF(L385="","",IF(OR(CM385="Retracted",CN385="Retracted",F385="Not used"),"🔴 Do not use for conclusion",IF(OR(R385="Official / Institutional",I385="Official / contextual"),"🔵 Official / contextual",IF(OR(I385="Definition",I385="Framework",I385="Paradigm shift"),"🟣 Conceptual key source",IF(AND(CJ385="Yes",CL385="Yes",OR(CG385="High",CG385="Moderate"),CH385&lt;&gt;"High",CH385&lt;&gt;"Critical",F385="Claim-ready"),"🟢 Claim-ready","🟡 Caution / context")))))</x:f>
      </x:c>
      <x:c r="D385" s="174"/>
      <x:c r="E385" s="174"/>
      <x:c r="F385" s="174"/>
      <x:c r="G385" s="174"/>
      <x:c r="H385" s="174"/>
      <x:c r="I385" s="174"/>
      <x:c r="J385" s="174"/>
      <x:c r="K385" s="174"/>
      <x:c r="L385" s="174"/>
      <x:c r="M385" s="174"/>
      <x:c r="N385" s="174"/>
      <x:c r="O385" s="176"/>
      <x:c r="P385" s="174"/>
      <x:c r="Q385" s="174"/>
      <x:c r="R385" s="174"/>
      <x:c r="S385" s="174"/>
      <x:c r="T385" s="174"/>
      <x:c r="U385" s="174"/>
      <x:c r="V385" s="174"/>
      <x:c r="W385" s="175" t="str">
        <x:f>IF(V385="","",LOWER(SUBSTITUTE(SUBSTITUTE(SUBSTITUTE(SUBSTITUTE(TRIM(V385),"https://doi.org/",""),"http://doi.org/",""),"https://dx.doi.org/",""),"doi:","")))</x:f>
      </x:c>
      <x:c r="X385" s="174"/>
      <x:c r="Y385" s="174"/>
      <x:c r="Z385" s="174"/>
      <x:c r="AA385" s="174"/>
      <x:c r="AB385" s="174"/>
      <x:c r="AC385" s="174"/>
      <x:c r="AD385" s="177"/>
      <x:c r="AE385" s="177"/>
      <x:c r="AF385" s="174"/>
      <x:c r="AG385" s="174"/>
      <x:c r="AH385" s="174"/>
      <x:c r="AI385" s="174"/>
      <x:c r="AJ385" s="174"/>
      <x:c r="AK385" s="175" t="str">
        <x:f>IF(AJ385="","",IF(OR(LOWER(AJ385)="brazil",LOWER(AJ385)="brasil"),"Yes","No"))</x:f>
      </x:c>
      <x:c r="AL385" s="174"/>
      <x:c r="AM385" s="174"/>
      <x:c r="AN385" s="174"/>
      <x:c r="AO385" s="178"/>
      <x:c r="AP385" s="174"/>
      <x:c r="AQ385" s="174"/>
      <x:c r="AR385" s="174"/>
      <x:c r="AS385" s="174"/>
      <x:c r="AT385" s="174"/>
      <x:c r="AU385" s="174"/>
      <x:c r="AV385" s="174"/>
      <x:c r="AW385" s="174"/>
      <x:c r="AX385" s="174"/>
      <x:c r="AY385" s="174"/>
      <x:c r="AZ385" s="174"/>
      <x:c r="BA385" s="174"/>
      <x:c r="BB385" s="174"/>
      <x:c r="BC385" s="174"/>
      <x:c r="BD385" s="174"/>
      <x:c r="BE385" s="174"/>
      <x:c r="BF385" s="174"/>
      <x:c r="BG385" s="174"/>
      <x:c r="BH385" s="174"/>
      <x:c r="BI385" s="174"/>
      <x:c r="BJ385" s="174"/>
      <x:c r="BK385" s="174"/>
      <x:c r="BL385" s="174"/>
      <x:c r="BM385" s="174"/>
      <x:c r="BN385" s="174"/>
      <x:c r="BO385" s="174"/>
      <x:c r="BP385" s="174"/>
      <x:c r="BQ385" s="174"/>
      <x:c r="BR385" s="174"/>
      <x:c r="BS385" s="174"/>
      <x:c r="BT385" s="174"/>
      <x:c r="BU385" s="174"/>
      <x:c r="BV385" s="174"/>
      <x:c r="BW385" s="174"/>
      <x:c r="BX385" s="174"/>
      <x:c r="BY385" s="174"/>
      <x:c r="BZ385" s="174"/>
      <x:c r="CA385" s="174"/>
      <x:c r="CB385" s="174"/>
      <x:c r="CC385" s="174"/>
      <x:c r="CD385" s="174"/>
      <x:c r="CE385" s="174"/>
      <x:c r="CF385" s="174"/>
      <x:c r="CG385" s="174"/>
      <x:c r="CH385" s="174"/>
      <x:c r="CI385" s="179"/>
      <x:c r="CJ385" s="174"/>
      <x:c r="CK385" s="174"/>
      <x:c r="CL385" s="174"/>
      <x:c r="CM385" s="174"/>
      <x:c r="CN385" s="174"/>
      <x:c r="CO385" s="177"/>
      <x:c r="CP385" s="174"/>
      <x:c r="CQ385" s="174"/>
      <x:c r="CR385" s="174"/>
      <x:c r="CS385" s="174"/>
      <x:c r="CT385" s="174"/>
      <x:c r="CU385" s="176"/>
      <x:c r="CV385" s="176"/>
      <x:c r="CW385" s="176"/>
      <x:c r="CX385" s="176"/>
      <x:c r="CY385" s="176"/>
      <x:c r="CZ385" s="176"/>
      <x:c r="DA385" s="176"/>
      <x:c r="DB385" s="175" t="str">
        <x:f>IF(L385="","",IF(COUNT(CU385:DA385)&lt;7,"",SUM(CU385:DA385)))</x:f>
      </x:c>
      <x:c r="DC385" s="180" t="str">
        <x:f>IF(DB385="","",ROUND(DB385/14*10,1))</x:f>
      </x:c>
      <x:c r="DD385" s="174"/>
      <x:c r="DE385" s="175" t="str">
        <x:f>IF(L385="","",IF(DC385="","Pending",IF(DD385="Yes","CONDITIONAL — safety override",IF(DC385&gt;=8,"HIGH",IF(DC385&gt;=5,"CONDITIONAL","LOW")))))</x:f>
      </x:c>
      <x:c r="DF385" s="174"/>
      <x:c r="DG385" s="174"/>
      <x:c r="DH385" s="174"/>
      <x:c r="DI385" s="174"/>
      <x:c r="DJ385" s="174"/>
      <x:c r="DK385" s="174"/>
      <x:c r="DL385" s="174"/>
      <x:c r="DM385" s="174"/>
      <x:c r="DN385" s="174"/>
      <x:c r="DO385" s="174"/>
      <x:c r="DP385" s="174"/>
      <x:c r="DQ385" s="174"/>
      <x:c r="DR385" s="174"/>
      <x:c r="DS385" s="174"/>
      <x:c r="DT385" s="174"/>
      <x:c r="DU385" s="174"/>
      <x:c r="DV385" s="174"/>
      <x:c r="DW385" s="174"/>
      <x:c r="DX385" s="174"/>
      <x:c r="DY385" s="174"/>
      <x:c r="DZ385" s="174"/>
      <x:c r="EA385" s="174"/>
      <x:c r="EB385" s="175" t="str">
        <x:f>IF(L385="","",IF(AND(F385="Claim-ready",CJ385="Yes",CL385="Yes",DZ385&lt;&gt;""),"Yes","No / Pending"))</x:f>
      </x:c>
      <x:c r="EC385" s="174"/>
      <x:c r="ED385" s="174"/>
      <x:c r="EE385" s="174"/>
      <x:c r="EF385" s="174"/>
      <x:c r="EG385" s="174"/>
      <x:c r="EH385" s="177"/>
      <x:c r="EI385" s="174"/>
      <x:c r="EJ385" s="174"/>
      <x:c r="EK385" s="174"/>
      <x:c r="EL385" s="177"/>
      <x:c r="EM385" s="174"/>
      <x:c r="EN385" s="181" t="str">
        <x:f>IF(L385="","",(IF(N385&lt;&gt;"",1,0)+IF(O385&lt;&gt;"",1,0)+IF(AJ385&lt;&gt;"",1,0)+IF(AU385&lt;&gt;"",1,0)+IF(BE385&lt;&gt;"",1,0)+IF(CF385&lt;&gt;"",1,0)+IF(CJ385="Yes",1,0)+IF(CL385="Yes",1,0)+IF(DE385&lt;&gt;"Pending",1,0)+IF(F385&lt;&gt;"",1,0)+IF(DZ385&lt;&gt;"",1,0)+IF(EI385&lt;&gt;"",1,0))/12)</x:f>
      </x:c>
    </x:row>
    <x:row r="386">
      <x:c r="A386" s="175" t="str">
        <x:f>IF(L386="","","EV-"&amp;TEXT(ROW()-3,"0000"))</x:f>
      </x:c>
      <x:c r="B386" s="174"/>
      <x:c r="C386" s="175" t="str">
        <x:f>IF(L386="","",IF(OR(CM386="Retracted",CN386="Retracted",F386="Not used"),"🔴 Do not use for conclusion",IF(OR(R386="Official / Institutional",I386="Official / contextual"),"🔵 Official / contextual",IF(OR(I386="Definition",I386="Framework",I386="Paradigm shift"),"🟣 Conceptual key source",IF(AND(CJ386="Yes",CL386="Yes",OR(CG386="High",CG386="Moderate"),CH386&lt;&gt;"High",CH386&lt;&gt;"Critical",F386="Claim-ready"),"🟢 Claim-ready","🟡 Caution / context")))))</x:f>
      </x:c>
      <x:c r="D386" s="174"/>
      <x:c r="E386" s="174"/>
      <x:c r="F386" s="174"/>
      <x:c r="G386" s="174"/>
      <x:c r="H386" s="174"/>
      <x:c r="I386" s="174"/>
      <x:c r="J386" s="174"/>
      <x:c r="K386" s="174"/>
      <x:c r="L386" s="174"/>
      <x:c r="M386" s="174"/>
      <x:c r="N386" s="174"/>
      <x:c r="O386" s="176"/>
      <x:c r="P386" s="174"/>
      <x:c r="Q386" s="174"/>
      <x:c r="R386" s="174"/>
      <x:c r="S386" s="174"/>
      <x:c r="T386" s="174"/>
      <x:c r="U386" s="174"/>
      <x:c r="V386" s="174"/>
      <x:c r="W386" s="175" t="str">
        <x:f>IF(V386="","",LOWER(SUBSTITUTE(SUBSTITUTE(SUBSTITUTE(SUBSTITUTE(TRIM(V386),"https://doi.org/",""),"http://doi.org/",""),"https://dx.doi.org/",""),"doi:","")))</x:f>
      </x:c>
      <x:c r="X386" s="174"/>
      <x:c r="Y386" s="174"/>
      <x:c r="Z386" s="174"/>
      <x:c r="AA386" s="174"/>
      <x:c r="AB386" s="174"/>
      <x:c r="AC386" s="174"/>
      <x:c r="AD386" s="177"/>
      <x:c r="AE386" s="177"/>
      <x:c r="AF386" s="174"/>
      <x:c r="AG386" s="174"/>
      <x:c r="AH386" s="174"/>
      <x:c r="AI386" s="174"/>
      <x:c r="AJ386" s="174"/>
      <x:c r="AK386" s="175" t="str">
        <x:f>IF(AJ386="","",IF(OR(LOWER(AJ386)="brazil",LOWER(AJ386)="brasil"),"Yes","No"))</x:f>
      </x:c>
      <x:c r="AL386" s="174"/>
      <x:c r="AM386" s="174"/>
      <x:c r="AN386" s="174"/>
      <x:c r="AO386" s="178"/>
      <x:c r="AP386" s="174"/>
      <x:c r="AQ386" s="174"/>
      <x:c r="AR386" s="174"/>
      <x:c r="AS386" s="174"/>
      <x:c r="AT386" s="174"/>
      <x:c r="AU386" s="174"/>
      <x:c r="AV386" s="174"/>
      <x:c r="AW386" s="174"/>
      <x:c r="AX386" s="174"/>
      <x:c r="AY386" s="174"/>
      <x:c r="AZ386" s="174"/>
      <x:c r="BA386" s="174"/>
      <x:c r="BB386" s="174"/>
      <x:c r="BC386" s="174"/>
      <x:c r="BD386" s="174"/>
      <x:c r="BE386" s="174"/>
      <x:c r="BF386" s="174"/>
      <x:c r="BG386" s="174"/>
      <x:c r="BH386" s="174"/>
      <x:c r="BI386" s="174"/>
      <x:c r="BJ386" s="174"/>
      <x:c r="BK386" s="174"/>
      <x:c r="BL386" s="174"/>
      <x:c r="BM386" s="174"/>
      <x:c r="BN386" s="174"/>
      <x:c r="BO386" s="174"/>
      <x:c r="BP386" s="174"/>
      <x:c r="BQ386" s="174"/>
      <x:c r="BR386" s="174"/>
      <x:c r="BS386" s="174"/>
      <x:c r="BT386" s="174"/>
      <x:c r="BU386" s="174"/>
      <x:c r="BV386" s="174"/>
      <x:c r="BW386" s="174"/>
      <x:c r="BX386" s="174"/>
      <x:c r="BY386" s="174"/>
      <x:c r="BZ386" s="174"/>
      <x:c r="CA386" s="174"/>
      <x:c r="CB386" s="174"/>
      <x:c r="CC386" s="174"/>
      <x:c r="CD386" s="174"/>
      <x:c r="CE386" s="174"/>
      <x:c r="CF386" s="174"/>
      <x:c r="CG386" s="174"/>
      <x:c r="CH386" s="174"/>
      <x:c r="CI386" s="179"/>
      <x:c r="CJ386" s="174"/>
      <x:c r="CK386" s="174"/>
      <x:c r="CL386" s="174"/>
      <x:c r="CM386" s="174"/>
      <x:c r="CN386" s="174"/>
      <x:c r="CO386" s="177"/>
      <x:c r="CP386" s="174"/>
      <x:c r="CQ386" s="174"/>
      <x:c r="CR386" s="174"/>
      <x:c r="CS386" s="174"/>
      <x:c r="CT386" s="174"/>
      <x:c r="CU386" s="176"/>
      <x:c r="CV386" s="176"/>
      <x:c r="CW386" s="176"/>
      <x:c r="CX386" s="176"/>
      <x:c r="CY386" s="176"/>
      <x:c r="CZ386" s="176"/>
      <x:c r="DA386" s="176"/>
      <x:c r="DB386" s="175" t="str">
        <x:f>IF(L386="","",IF(COUNT(CU386:DA386)&lt;7,"",SUM(CU386:DA386)))</x:f>
      </x:c>
      <x:c r="DC386" s="180" t="str">
        <x:f>IF(DB386="","",ROUND(DB386/14*10,1))</x:f>
      </x:c>
      <x:c r="DD386" s="174"/>
      <x:c r="DE386" s="175" t="str">
        <x:f>IF(L386="","",IF(DC386="","Pending",IF(DD386="Yes","CONDITIONAL — safety override",IF(DC386&gt;=8,"HIGH",IF(DC386&gt;=5,"CONDITIONAL","LOW")))))</x:f>
      </x:c>
      <x:c r="DF386" s="174"/>
      <x:c r="DG386" s="174"/>
      <x:c r="DH386" s="174"/>
      <x:c r="DI386" s="174"/>
      <x:c r="DJ386" s="174"/>
      <x:c r="DK386" s="174"/>
      <x:c r="DL386" s="174"/>
      <x:c r="DM386" s="174"/>
      <x:c r="DN386" s="174"/>
      <x:c r="DO386" s="174"/>
      <x:c r="DP386" s="174"/>
      <x:c r="DQ386" s="174"/>
      <x:c r="DR386" s="174"/>
      <x:c r="DS386" s="174"/>
      <x:c r="DT386" s="174"/>
      <x:c r="DU386" s="174"/>
      <x:c r="DV386" s="174"/>
      <x:c r="DW386" s="174"/>
      <x:c r="DX386" s="174"/>
      <x:c r="DY386" s="174"/>
      <x:c r="DZ386" s="174"/>
      <x:c r="EA386" s="174"/>
      <x:c r="EB386" s="175" t="str">
        <x:f>IF(L386="","",IF(AND(F386="Claim-ready",CJ386="Yes",CL386="Yes",DZ386&lt;&gt;""),"Yes","No / Pending"))</x:f>
      </x:c>
      <x:c r="EC386" s="174"/>
      <x:c r="ED386" s="174"/>
      <x:c r="EE386" s="174"/>
      <x:c r="EF386" s="174"/>
      <x:c r="EG386" s="174"/>
      <x:c r="EH386" s="177"/>
      <x:c r="EI386" s="174"/>
      <x:c r="EJ386" s="174"/>
      <x:c r="EK386" s="174"/>
      <x:c r="EL386" s="177"/>
      <x:c r="EM386" s="174"/>
      <x:c r="EN386" s="181" t="str">
        <x:f>IF(L386="","",(IF(N386&lt;&gt;"",1,0)+IF(O386&lt;&gt;"",1,0)+IF(AJ386&lt;&gt;"",1,0)+IF(AU386&lt;&gt;"",1,0)+IF(BE386&lt;&gt;"",1,0)+IF(CF386&lt;&gt;"",1,0)+IF(CJ386="Yes",1,0)+IF(CL386="Yes",1,0)+IF(DE386&lt;&gt;"Pending",1,0)+IF(F386&lt;&gt;"",1,0)+IF(DZ386&lt;&gt;"",1,0)+IF(EI386&lt;&gt;"",1,0))/12)</x:f>
      </x:c>
    </x:row>
    <x:row r="387">
      <x:c r="A387" s="175" t="str">
        <x:f>IF(L387="","","EV-"&amp;TEXT(ROW()-3,"0000"))</x:f>
      </x:c>
      <x:c r="B387" s="174"/>
      <x:c r="C387" s="175" t="str">
        <x:f>IF(L387="","",IF(OR(CM387="Retracted",CN387="Retracted",F387="Not used"),"🔴 Do not use for conclusion",IF(OR(R387="Official / Institutional",I387="Official / contextual"),"🔵 Official / contextual",IF(OR(I387="Definition",I387="Framework",I387="Paradigm shift"),"🟣 Conceptual key source",IF(AND(CJ387="Yes",CL387="Yes",OR(CG387="High",CG387="Moderate"),CH387&lt;&gt;"High",CH387&lt;&gt;"Critical",F387="Claim-ready"),"🟢 Claim-ready","🟡 Caution / context")))))</x:f>
      </x:c>
      <x:c r="D387" s="174"/>
      <x:c r="E387" s="174"/>
      <x:c r="F387" s="174"/>
      <x:c r="G387" s="174"/>
      <x:c r="H387" s="174"/>
      <x:c r="I387" s="174"/>
      <x:c r="J387" s="174"/>
      <x:c r="K387" s="174"/>
      <x:c r="L387" s="174"/>
      <x:c r="M387" s="174"/>
      <x:c r="N387" s="174"/>
      <x:c r="O387" s="176"/>
      <x:c r="P387" s="174"/>
      <x:c r="Q387" s="174"/>
      <x:c r="R387" s="174"/>
      <x:c r="S387" s="174"/>
      <x:c r="T387" s="174"/>
      <x:c r="U387" s="174"/>
      <x:c r="V387" s="174"/>
      <x:c r="W387" s="175" t="str">
        <x:f>IF(V387="","",LOWER(SUBSTITUTE(SUBSTITUTE(SUBSTITUTE(SUBSTITUTE(TRIM(V387),"https://doi.org/",""),"http://doi.org/",""),"https://dx.doi.org/",""),"doi:","")))</x:f>
      </x:c>
      <x:c r="X387" s="174"/>
      <x:c r="Y387" s="174"/>
      <x:c r="Z387" s="174"/>
      <x:c r="AA387" s="174"/>
      <x:c r="AB387" s="174"/>
      <x:c r="AC387" s="174"/>
      <x:c r="AD387" s="177"/>
      <x:c r="AE387" s="177"/>
      <x:c r="AF387" s="174"/>
      <x:c r="AG387" s="174"/>
      <x:c r="AH387" s="174"/>
      <x:c r="AI387" s="174"/>
      <x:c r="AJ387" s="174"/>
      <x:c r="AK387" s="175" t="str">
        <x:f>IF(AJ387="","",IF(OR(LOWER(AJ387)="brazil",LOWER(AJ387)="brasil"),"Yes","No"))</x:f>
      </x:c>
      <x:c r="AL387" s="174"/>
      <x:c r="AM387" s="174"/>
      <x:c r="AN387" s="174"/>
      <x:c r="AO387" s="178"/>
      <x:c r="AP387" s="174"/>
      <x:c r="AQ387" s="174"/>
      <x:c r="AR387" s="174"/>
      <x:c r="AS387" s="174"/>
      <x:c r="AT387" s="174"/>
      <x:c r="AU387" s="174"/>
      <x:c r="AV387" s="174"/>
      <x:c r="AW387" s="174"/>
      <x:c r="AX387" s="174"/>
      <x:c r="AY387" s="174"/>
      <x:c r="AZ387" s="174"/>
      <x:c r="BA387" s="174"/>
      <x:c r="BB387" s="174"/>
      <x:c r="BC387" s="174"/>
      <x:c r="BD387" s="174"/>
      <x:c r="BE387" s="174"/>
      <x:c r="BF387" s="174"/>
      <x:c r="BG387" s="174"/>
      <x:c r="BH387" s="174"/>
      <x:c r="BI387" s="174"/>
      <x:c r="BJ387" s="174"/>
      <x:c r="BK387" s="174"/>
      <x:c r="BL387" s="174"/>
      <x:c r="BM387" s="174"/>
      <x:c r="BN387" s="174"/>
      <x:c r="BO387" s="174"/>
      <x:c r="BP387" s="174"/>
      <x:c r="BQ387" s="174"/>
      <x:c r="BR387" s="174"/>
      <x:c r="BS387" s="174"/>
      <x:c r="BT387" s="174"/>
      <x:c r="BU387" s="174"/>
      <x:c r="BV387" s="174"/>
      <x:c r="BW387" s="174"/>
      <x:c r="BX387" s="174"/>
      <x:c r="BY387" s="174"/>
      <x:c r="BZ387" s="174"/>
      <x:c r="CA387" s="174"/>
      <x:c r="CB387" s="174"/>
      <x:c r="CC387" s="174"/>
      <x:c r="CD387" s="174"/>
      <x:c r="CE387" s="174"/>
      <x:c r="CF387" s="174"/>
      <x:c r="CG387" s="174"/>
      <x:c r="CH387" s="174"/>
      <x:c r="CI387" s="179"/>
      <x:c r="CJ387" s="174"/>
      <x:c r="CK387" s="174"/>
      <x:c r="CL387" s="174"/>
      <x:c r="CM387" s="174"/>
      <x:c r="CN387" s="174"/>
      <x:c r="CO387" s="177"/>
      <x:c r="CP387" s="174"/>
      <x:c r="CQ387" s="174"/>
      <x:c r="CR387" s="174"/>
      <x:c r="CS387" s="174"/>
      <x:c r="CT387" s="174"/>
      <x:c r="CU387" s="176"/>
      <x:c r="CV387" s="176"/>
      <x:c r="CW387" s="176"/>
      <x:c r="CX387" s="176"/>
      <x:c r="CY387" s="176"/>
      <x:c r="CZ387" s="176"/>
      <x:c r="DA387" s="176"/>
      <x:c r="DB387" s="175" t="str">
        <x:f>IF(L387="","",IF(COUNT(CU387:DA387)&lt;7,"",SUM(CU387:DA387)))</x:f>
      </x:c>
      <x:c r="DC387" s="180" t="str">
        <x:f>IF(DB387="","",ROUND(DB387/14*10,1))</x:f>
      </x:c>
      <x:c r="DD387" s="174"/>
      <x:c r="DE387" s="175" t="str">
        <x:f>IF(L387="","",IF(DC387="","Pending",IF(DD387="Yes","CONDITIONAL — safety override",IF(DC387&gt;=8,"HIGH",IF(DC387&gt;=5,"CONDITIONAL","LOW")))))</x:f>
      </x:c>
      <x:c r="DF387" s="174"/>
      <x:c r="DG387" s="174"/>
      <x:c r="DH387" s="174"/>
      <x:c r="DI387" s="174"/>
      <x:c r="DJ387" s="174"/>
      <x:c r="DK387" s="174"/>
      <x:c r="DL387" s="174"/>
      <x:c r="DM387" s="174"/>
      <x:c r="DN387" s="174"/>
      <x:c r="DO387" s="174"/>
      <x:c r="DP387" s="174"/>
      <x:c r="DQ387" s="174"/>
      <x:c r="DR387" s="174"/>
      <x:c r="DS387" s="174"/>
      <x:c r="DT387" s="174"/>
      <x:c r="DU387" s="174"/>
      <x:c r="DV387" s="174"/>
      <x:c r="DW387" s="174"/>
      <x:c r="DX387" s="174"/>
      <x:c r="DY387" s="174"/>
      <x:c r="DZ387" s="174"/>
      <x:c r="EA387" s="174"/>
      <x:c r="EB387" s="175" t="str">
        <x:f>IF(L387="","",IF(AND(F387="Claim-ready",CJ387="Yes",CL387="Yes",DZ387&lt;&gt;""),"Yes","No / Pending"))</x:f>
      </x:c>
      <x:c r="EC387" s="174"/>
      <x:c r="ED387" s="174"/>
      <x:c r="EE387" s="174"/>
      <x:c r="EF387" s="174"/>
      <x:c r="EG387" s="174"/>
      <x:c r="EH387" s="177"/>
      <x:c r="EI387" s="174"/>
      <x:c r="EJ387" s="174"/>
      <x:c r="EK387" s="174"/>
      <x:c r="EL387" s="177"/>
      <x:c r="EM387" s="174"/>
      <x:c r="EN387" s="181" t="str">
        <x:f>IF(L387="","",(IF(N387&lt;&gt;"",1,0)+IF(O387&lt;&gt;"",1,0)+IF(AJ387&lt;&gt;"",1,0)+IF(AU387&lt;&gt;"",1,0)+IF(BE387&lt;&gt;"",1,0)+IF(CF387&lt;&gt;"",1,0)+IF(CJ387="Yes",1,0)+IF(CL387="Yes",1,0)+IF(DE387&lt;&gt;"Pending",1,0)+IF(F387&lt;&gt;"",1,0)+IF(DZ387&lt;&gt;"",1,0)+IF(EI387&lt;&gt;"",1,0))/12)</x:f>
      </x:c>
    </x:row>
    <x:row r="388">
      <x:c r="A388" s="175" t="str">
        <x:f>IF(L388="","","EV-"&amp;TEXT(ROW()-3,"0000"))</x:f>
      </x:c>
      <x:c r="B388" s="174"/>
      <x:c r="C388" s="175" t="str">
        <x:f>IF(L388="","",IF(OR(CM388="Retracted",CN388="Retracted",F388="Not used"),"🔴 Do not use for conclusion",IF(OR(R388="Official / Institutional",I388="Official / contextual"),"🔵 Official / contextual",IF(OR(I388="Definition",I388="Framework",I388="Paradigm shift"),"🟣 Conceptual key source",IF(AND(CJ388="Yes",CL388="Yes",OR(CG388="High",CG388="Moderate"),CH388&lt;&gt;"High",CH388&lt;&gt;"Critical",F388="Claim-ready"),"🟢 Claim-ready","🟡 Caution / context")))))</x:f>
      </x:c>
      <x:c r="D388" s="174"/>
      <x:c r="E388" s="174"/>
      <x:c r="F388" s="174"/>
      <x:c r="G388" s="174"/>
      <x:c r="H388" s="174"/>
      <x:c r="I388" s="174"/>
      <x:c r="J388" s="174"/>
      <x:c r="K388" s="174"/>
      <x:c r="L388" s="174"/>
      <x:c r="M388" s="174"/>
      <x:c r="N388" s="174"/>
      <x:c r="O388" s="176"/>
      <x:c r="P388" s="174"/>
      <x:c r="Q388" s="174"/>
      <x:c r="R388" s="174"/>
      <x:c r="S388" s="174"/>
      <x:c r="T388" s="174"/>
      <x:c r="U388" s="174"/>
      <x:c r="V388" s="174"/>
      <x:c r="W388" s="175" t="str">
        <x:f>IF(V388="","",LOWER(SUBSTITUTE(SUBSTITUTE(SUBSTITUTE(SUBSTITUTE(TRIM(V388),"https://doi.org/",""),"http://doi.org/",""),"https://dx.doi.org/",""),"doi:","")))</x:f>
      </x:c>
      <x:c r="X388" s="174"/>
      <x:c r="Y388" s="174"/>
      <x:c r="Z388" s="174"/>
      <x:c r="AA388" s="174"/>
      <x:c r="AB388" s="174"/>
      <x:c r="AC388" s="174"/>
      <x:c r="AD388" s="177"/>
      <x:c r="AE388" s="177"/>
      <x:c r="AF388" s="174"/>
      <x:c r="AG388" s="174"/>
      <x:c r="AH388" s="174"/>
      <x:c r="AI388" s="174"/>
      <x:c r="AJ388" s="174"/>
      <x:c r="AK388" s="175" t="str">
        <x:f>IF(AJ388="","",IF(OR(LOWER(AJ388)="brazil",LOWER(AJ388)="brasil"),"Yes","No"))</x:f>
      </x:c>
      <x:c r="AL388" s="174"/>
      <x:c r="AM388" s="174"/>
      <x:c r="AN388" s="174"/>
      <x:c r="AO388" s="178"/>
      <x:c r="AP388" s="174"/>
      <x:c r="AQ388" s="174"/>
      <x:c r="AR388" s="174"/>
      <x:c r="AS388" s="174"/>
      <x:c r="AT388" s="174"/>
      <x:c r="AU388" s="174"/>
      <x:c r="AV388" s="174"/>
      <x:c r="AW388" s="174"/>
      <x:c r="AX388" s="174"/>
      <x:c r="AY388" s="174"/>
      <x:c r="AZ388" s="174"/>
      <x:c r="BA388" s="174"/>
      <x:c r="BB388" s="174"/>
      <x:c r="BC388" s="174"/>
      <x:c r="BD388" s="174"/>
      <x:c r="BE388" s="174"/>
      <x:c r="BF388" s="174"/>
      <x:c r="BG388" s="174"/>
      <x:c r="BH388" s="174"/>
      <x:c r="BI388" s="174"/>
      <x:c r="BJ388" s="174"/>
      <x:c r="BK388" s="174"/>
      <x:c r="BL388" s="174"/>
      <x:c r="BM388" s="174"/>
      <x:c r="BN388" s="174"/>
      <x:c r="BO388" s="174"/>
      <x:c r="BP388" s="174"/>
      <x:c r="BQ388" s="174"/>
      <x:c r="BR388" s="174"/>
      <x:c r="BS388" s="174"/>
      <x:c r="BT388" s="174"/>
      <x:c r="BU388" s="174"/>
      <x:c r="BV388" s="174"/>
      <x:c r="BW388" s="174"/>
      <x:c r="BX388" s="174"/>
      <x:c r="BY388" s="174"/>
      <x:c r="BZ388" s="174"/>
      <x:c r="CA388" s="174"/>
      <x:c r="CB388" s="174"/>
      <x:c r="CC388" s="174"/>
      <x:c r="CD388" s="174"/>
      <x:c r="CE388" s="174"/>
      <x:c r="CF388" s="174"/>
      <x:c r="CG388" s="174"/>
      <x:c r="CH388" s="174"/>
      <x:c r="CI388" s="179"/>
      <x:c r="CJ388" s="174"/>
      <x:c r="CK388" s="174"/>
      <x:c r="CL388" s="174"/>
      <x:c r="CM388" s="174"/>
      <x:c r="CN388" s="174"/>
      <x:c r="CO388" s="177"/>
      <x:c r="CP388" s="174"/>
      <x:c r="CQ388" s="174"/>
      <x:c r="CR388" s="174"/>
      <x:c r="CS388" s="174"/>
      <x:c r="CT388" s="174"/>
      <x:c r="CU388" s="176"/>
      <x:c r="CV388" s="176"/>
      <x:c r="CW388" s="176"/>
      <x:c r="CX388" s="176"/>
      <x:c r="CY388" s="176"/>
      <x:c r="CZ388" s="176"/>
      <x:c r="DA388" s="176"/>
      <x:c r="DB388" s="175" t="str">
        <x:f>IF(L388="","",IF(COUNT(CU388:DA388)&lt;7,"",SUM(CU388:DA388)))</x:f>
      </x:c>
      <x:c r="DC388" s="180" t="str">
        <x:f>IF(DB388="","",ROUND(DB388/14*10,1))</x:f>
      </x:c>
      <x:c r="DD388" s="174"/>
      <x:c r="DE388" s="175" t="str">
        <x:f>IF(L388="","",IF(DC388="","Pending",IF(DD388="Yes","CONDITIONAL — safety override",IF(DC388&gt;=8,"HIGH",IF(DC388&gt;=5,"CONDITIONAL","LOW")))))</x:f>
      </x:c>
      <x:c r="DF388" s="174"/>
      <x:c r="DG388" s="174"/>
      <x:c r="DH388" s="174"/>
      <x:c r="DI388" s="174"/>
      <x:c r="DJ388" s="174"/>
      <x:c r="DK388" s="174"/>
      <x:c r="DL388" s="174"/>
      <x:c r="DM388" s="174"/>
      <x:c r="DN388" s="174"/>
      <x:c r="DO388" s="174"/>
      <x:c r="DP388" s="174"/>
      <x:c r="DQ388" s="174"/>
      <x:c r="DR388" s="174"/>
      <x:c r="DS388" s="174"/>
      <x:c r="DT388" s="174"/>
      <x:c r="DU388" s="174"/>
      <x:c r="DV388" s="174"/>
      <x:c r="DW388" s="174"/>
      <x:c r="DX388" s="174"/>
      <x:c r="DY388" s="174"/>
      <x:c r="DZ388" s="174"/>
      <x:c r="EA388" s="174"/>
      <x:c r="EB388" s="175" t="str">
        <x:f>IF(L388="","",IF(AND(F388="Claim-ready",CJ388="Yes",CL388="Yes",DZ388&lt;&gt;""),"Yes","No / Pending"))</x:f>
      </x:c>
      <x:c r="EC388" s="174"/>
      <x:c r="ED388" s="174"/>
      <x:c r="EE388" s="174"/>
      <x:c r="EF388" s="174"/>
      <x:c r="EG388" s="174"/>
      <x:c r="EH388" s="177"/>
      <x:c r="EI388" s="174"/>
      <x:c r="EJ388" s="174"/>
      <x:c r="EK388" s="174"/>
      <x:c r="EL388" s="177"/>
      <x:c r="EM388" s="174"/>
      <x:c r="EN388" s="181" t="str">
        <x:f>IF(L388="","",(IF(N388&lt;&gt;"",1,0)+IF(O388&lt;&gt;"",1,0)+IF(AJ388&lt;&gt;"",1,0)+IF(AU388&lt;&gt;"",1,0)+IF(BE388&lt;&gt;"",1,0)+IF(CF388&lt;&gt;"",1,0)+IF(CJ388="Yes",1,0)+IF(CL388="Yes",1,0)+IF(DE388&lt;&gt;"Pending",1,0)+IF(F388&lt;&gt;"",1,0)+IF(DZ388&lt;&gt;"",1,0)+IF(EI388&lt;&gt;"",1,0))/12)</x:f>
      </x:c>
    </x:row>
    <x:row r="389">
      <x:c r="A389" s="175" t="str">
        <x:f>IF(L389="","","EV-"&amp;TEXT(ROW()-3,"0000"))</x:f>
      </x:c>
      <x:c r="B389" s="174"/>
      <x:c r="C389" s="175" t="str">
        <x:f>IF(L389="","",IF(OR(CM389="Retracted",CN389="Retracted",F389="Not used"),"🔴 Do not use for conclusion",IF(OR(R389="Official / Institutional",I389="Official / contextual"),"🔵 Official / contextual",IF(OR(I389="Definition",I389="Framework",I389="Paradigm shift"),"🟣 Conceptual key source",IF(AND(CJ389="Yes",CL389="Yes",OR(CG389="High",CG389="Moderate"),CH389&lt;&gt;"High",CH389&lt;&gt;"Critical",F389="Claim-ready"),"🟢 Claim-ready","🟡 Caution / context")))))</x:f>
      </x:c>
      <x:c r="D389" s="174"/>
      <x:c r="E389" s="174"/>
      <x:c r="F389" s="174"/>
      <x:c r="G389" s="174"/>
      <x:c r="H389" s="174"/>
      <x:c r="I389" s="174"/>
      <x:c r="J389" s="174"/>
      <x:c r="K389" s="174"/>
      <x:c r="L389" s="174"/>
      <x:c r="M389" s="174"/>
      <x:c r="N389" s="174"/>
      <x:c r="O389" s="176"/>
      <x:c r="P389" s="174"/>
      <x:c r="Q389" s="174"/>
      <x:c r="R389" s="174"/>
      <x:c r="S389" s="174"/>
      <x:c r="T389" s="174"/>
      <x:c r="U389" s="174"/>
      <x:c r="V389" s="174"/>
      <x:c r="W389" s="175" t="str">
        <x:f>IF(V389="","",LOWER(SUBSTITUTE(SUBSTITUTE(SUBSTITUTE(SUBSTITUTE(TRIM(V389),"https://doi.org/",""),"http://doi.org/",""),"https://dx.doi.org/",""),"doi:","")))</x:f>
      </x:c>
      <x:c r="X389" s="174"/>
      <x:c r="Y389" s="174"/>
      <x:c r="Z389" s="174"/>
      <x:c r="AA389" s="174"/>
      <x:c r="AB389" s="174"/>
      <x:c r="AC389" s="174"/>
      <x:c r="AD389" s="177"/>
      <x:c r="AE389" s="177"/>
      <x:c r="AF389" s="174"/>
      <x:c r="AG389" s="174"/>
      <x:c r="AH389" s="174"/>
      <x:c r="AI389" s="174"/>
      <x:c r="AJ389" s="174"/>
      <x:c r="AK389" s="175" t="str">
        <x:f>IF(AJ389="","",IF(OR(LOWER(AJ389)="brazil",LOWER(AJ389)="brasil"),"Yes","No"))</x:f>
      </x:c>
      <x:c r="AL389" s="174"/>
      <x:c r="AM389" s="174"/>
      <x:c r="AN389" s="174"/>
      <x:c r="AO389" s="178"/>
      <x:c r="AP389" s="174"/>
      <x:c r="AQ389" s="174"/>
      <x:c r="AR389" s="174"/>
      <x:c r="AS389" s="174"/>
      <x:c r="AT389" s="174"/>
      <x:c r="AU389" s="174"/>
      <x:c r="AV389" s="174"/>
      <x:c r="AW389" s="174"/>
      <x:c r="AX389" s="174"/>
      <x:c r="AY389" s="174"/>
      <x:c r="AZ389" s="174"/>
      <x:c r="BA389" s="174"/>
      <x:c r="BB389" s="174"/>
      <x:c r="BC389" s="174"/>
      <x:c r="BD389" s="174"/>
      <x:c r="BE389" s="174"/>
      <x:c r="BF389" s="174"/>
      <x:c r="BG389" s="174"/>
      <x:c r="BH389" s="174"/>
      <x:c r="BI389" s="174"/>
      <x:c r="BJ389" s="174"/>
      <x:c r="BK389" s="174"/>
      <x:c r="BL389" s="174"/>
      <x:c r="BM389" s="174"/>
      <x:c r="BN389" s="174"/>
      <x:c r="BO389" s="174"/>
      <x:c r="BP389" s="174"/>
      <x:c r="BQ389" s="174"/>
      <x:c r="BR389" s="174"/>
      <x:c r="BS389" s="174"/>
      <x:c r="BT389" s="174"/>
      <x:c r="BU389" s="174"/>
      <x:c r="BV389" s="174"/>
      <x:c r="BW389" s="174"/>
      <x:c r="BX389" s="174"/>
      <x:c r="BY389" s="174"/>
      <x:c r="BZ389" s="174"/>
      <x:c r="CA389" s="174"/>
      <x:c r="CB389" s="174"/>
      <x:c r="CC389" s="174"/>
      <x:c r="CD389" s="174"/>
      <x:c r="CE389" s="174"/>
      <x:c r="CF389" s="174"/>
      <x:c r="CG389" s="174"/>
      <x:c r="CH389" s="174"/>
      <x:c r="CI389" s="179"/>
      <x:c r="CJ389" s="174"/>
      <x:c r="CK389" s="174"/>
      <x:c r="CL389" s="174"/>
      <x:c r="CM389" s="174"/>
      <x:c r="CN389" s="174"/>
      <x:c r="CO389" s="177"/>
      <x:c r="CP389" s="174"/>
      <x:c r="CQ389" s="174"/>
      <x:c r="CR389" s="174"/>
      <x:c r="CS389" s="174"/>
      <x:c r="CT389" s="174"/>
      <x:c r="CU389" s="176"/>
      <x:c r="CV389" s="176"/>
      <x:c r="CW389" s="176"/>
      <x:c r="CX389" s="176"/>
      <x:c r="CY389" s="176"/>
      <x:c r="CZ389" s="176"/>
      <x:c r="DA389" s="176"/>
      <x:c r="DB389" s="175" t="str">
        <x:f>IF(L389="","",IF(COUNT(CU389:DA389)&lt;7,"",SUM(CU389:DA389)))</x:f>
      </x:c>
      <x:c r="DC389" s="180" t="str">
        <x:f>IF(DB389="","",ROUND(DB389/14*10,1))</x:f>
      </x:c>
      <x:c r="DD389" s="174"/>
      <x:c r="DE389" s="175" t="str">
        <x:f>IF(L389="","",IF(DC389="","Pending",IF(DD389="Yes","CONDITIONAL — safety override",IF(DC389&gt;=8,"HIGH",IF(DC389&gt;=5,"CONDITIONAL","LOW")))))</x:f>
      </x:c>
      <x:c r="DF389" s="174"/>
      <x:c r="DG389" s="174"/>
      <x:c r="DH389" s="174"/>
      <x:c r="DI389" s="174"/>
      <x:c r="DJ389" s="174"/>
      <x:c r="DK389" s="174"/>
      <x:c r="DL389" s="174"/>
      <x:c r="DM389" s="174"/>
      <x:c r="DN389" s="174"/>
      <x:c r="DO389" s="174"/>
      <x:c r="DP389" s="174"/>
      <x:c r="DQ389" s="174"/>
      <x:c r="DR389" s="174"/>
      <x:c r="DS389" s="174"/>
      <x:c r="DT389" s="174"/>
      <x:c r="DU389" s="174"/>
      <x:c r="DV389" s="174"/>
      <x:c r="DW389" s="174"/>
      <x:c r="DX389" s="174"/>
      <x:c r="DY389" s="174"/>
      <x:c r="DZ389" s="174"/>
      <x:c r="EA389" s="174"/>
      <x:c r="EB389" s="175" t="str">
        <x:f>IF(L389="","",IF(AND(F389="Claim-ready",CJ389="Yes",CL389="Yes",DZ389&lt;&gt;""),"Yes","No / Pending"))</x:f>
      </x:c>
      <x:c r="EC389" s="174"/>
      <x:c r="ED389" s="174"/>
      <x:c r="EE389" s="174"/>
      <x:c r="EF389" s="174"/>
      <x:c r="EG389" s="174"/>
      <x:c r="EH389" s="177"/>
      <x:c r="EI389" s="174"/>
      <x:c r="EJ389" s="174"/>
      <x:c r="EK389" s="174"/>
      <x:c r="EL389" s="177"/>
      <x:c r="EM389" s="174"/>
      <x:c r="EN389" s="181" t="str">
        <x:f>IF(L389="","",(IF(N389&lt;&gt;"",1,0)+IF(O389&lt;&gt;"",1,0)+IF(AJ389&lt;&gt;"",1,0)+IF(AU389&lt;&gt;"",1,0)+IF(BE389&lt;&gt;"",1,0)+IF(CF389&lt;&gt;"",1,0)+IF(CJ389="Yes",1,0)+IF(CL389="Yes",1,0)+IF(DE389&lt;&gt;"Pending",1,0)+IF(F389&lt;&gt;"",1,0)+IF(DZ389&lt;&gt;"",1,0)+IF(EI389&lt;&gt;"",1,0))/12)</x:f>
      </x:c>
    </x:row>
    <x:row r="390">
      <x:c r="A390" s="175" t="str">
        <x:f>IF(L390="","","EV-"&amp;TEXT(ROW()-3,"0000"))</x:f>
      </x:c>
      <x:c r="B390" s="174"/>
      <x:c r="C390" s="175" t="str">
        <x:f>IF(L390="","",IF(OR(CM390="Retracted",CN390="Retracted",F390="Not used"),"🔴 Do not use for conclusion",IF(OR(R390="Official / Institutional",I390="Official / contextual"),"🔵 Official / contextual",IF(OR(I390="Definition",I390="Framework",I390="Paradigm shift"),"🟣 Conceptual key source",IF(AND(CJ390="Yes",CL390="Yes",OR(CG390="High",CG390="Moderate"),CH390&lt;&gt;"High",CH390&lt;&gt;"Critical",F390="Claim-ready"),"🟢 Claim-ready","🟡 Caution / context")))))</x:f>
      </x:c>
      <x:c r="D390" s="174"/>
      <x:c r="E390" s="174"/>
      <x:c r="F390" s="174"/>
      <x:c r="G390" s="174"/>
      <x:c r="H390" s="174"/>
      <x:c r="I390" s="174"/>
      <x:c r="J390" s="174"/>
      <x:c r="K390" s="174"/>
      <x:c r="L390" s="174"/>
      <x:c r="M390" s="174"/>
      <x:c r="N390" s="174"/>
      <x:c r="O390" s="176"/>
      <x:c r="P390" s="174"/>
      <x:c r="Q390" s="174"/>
      <x:c r="R390" s="174"/>
      <x:c r="S390" s="174"/>
      <x:c r="T390" s="174"/>
      <x:c r="U390" s="174"/>
      <x:c r="V390" s="174"/>
      <x:c r="W390" s="175" t="str">
        <x:f>IF(V390="","",LOWER(SUBSTITUTE(SUBSTITUTE(SUBSTITUTE(SUBSTITUTE(TRIM(V390),"https://doi.org/",""),"http://doi.org/",""),"https://dx.doi.org/",""),"doi:","")))</x:f>
      </x:c>
      <x:c r="X390" s="174"/>
      <x:c r="Y390" s="174"/>
      <x:c r="Z390" s="174"/>
      <x:c r="AA390" s="174"/>
      <x:c r="AB390" s="174"/>
      <x:c r="AC390" s="174"/>
      <x:c r="AD390" s="177"/>
      <x:c r="AE390" s="177"/>
      <x:c r="AF390" s="174"/>
      <x:c r="AG390" s="174"/>
      <x:c r="AH390" s="174"/>
      <x:c r="AI390" s="174"/>
      <x:c r="AJ390" s="174"/>
      <x:c r="AK390" s="175" t="str">
        <x:f>IF(AJ390="","",IF(OR(LOWER(AJ390)="brazil",LOWER(AJ390)="brasil"),"Yes","No"))</x:f>
      </x:c>
      <x:c r="AL390" s="174"/>
      <x:c r="AM390" s="174"/>
      <x:c r="AN390" s="174"/>
      <x:c r="AO390" s="178"/>
      <x:c r="AP390" s="174"/>
      <x:c r="AQ390" s="174"/>
      <x:c r="AR390" s="174"/>
      <x:c r="AS390" s="174"/>
      <x:c r="AT390" s="174"/>
      <x:c r="AU390" s="174"/>
      <x:c r="AV390" s="174"/>
      <x:c r="AW390" s="174"/>
      <x:c r="AX390" s="174"/>
      <x:c r="AY390" s="174"/>
      <x:c r="AZ390" s="174"/>
      <x:c r="BA390" s="174"/>
      <x:c r="BB390" s="174"/>
      <x:c r="BC390" s="174"/>
      <x:c r="BD390" s="174"/>
      <x:c r="BE390" s="174"/>
      <x:c r="BF390" s="174"/>
      <x:c r="BG390" s="174"/>
      <x:c r="BH390" s="174"/>
      <x:c r="BI390" s="174"/>
      <x:c r="BJ390" s="174"/>
      <x:c r="BK390" s="174"/>
      <x:c r="BL390" s="174"/>
      <x:c r="BM390" s="174"/>
      <x:c r="BN390" s="174"/>
      <x:c r="BO390" s="174"/>
      <x:c r="BP390" s="174"/>
      <x:c r="BQ390" s="174"/>
      <x:c r="BR390" s="174"/>
      <x:c r="BS390" s="174"/>
      <x:c r="BT390" s="174"/>
      <x:c r="BU390" s="174"/>
      <x:c r="BV390" s="174"/>
      <x:c r="BW390" s="174"/>
      <x:c r="BX390" s="174"/>
      <x:c r="BY390" s="174"/>
      <x:c r="BZ390" s="174"/>
      <x:c r="CA390" s="174"/>
      <x:c r="CB390" s="174"/>
      <x:c r="CC390" s="174"/>
      <x:c r="CD390" s="174"/>
      <x:c r="CE390" s="174"/>
      <x:c r="CF390" s="174"/>
      <x:c r="CG390" s="174"/>
      <x:c r="CH390" s="174"/>
      <x:c r="CI390" s="179"/>
      <x:c r="CJ390" s="174"/>
      <x:c r="CK390" s="174"/>
      <x:c r="CL390" s="174"/>
      <x:c r="CM390" s="174"/>
      <x:c r="CN390" s="174"/>
      <x:c r="CO390" s="177"/>
      <x:c r="CP390" s="174"/>
      <x:c r="CQ390" s="174"/>
      <x:c r="CR390" s="174"/>
      <x:c r="CS390" s="174"/>
      <x:c r="CT390" s="174"/>
      <x:c r="CU390" s="176"/>
      <x:c r="CV390" s="176"/>
      <x:c r="CW390" s="176"/>
      <x:c r="CX390" s="176"/>
      <x:c r="CY390" s="176"/>
      <x:c r="CZ390" s="176"/>
      <x:c r="DA390" s="176"/>
      <x:c r="DB390" s="175" t="str">
        <x:f>IF(L390="","",IF(COUNT(CU390:DA390)&lt;7,"",SUM(CU390:DA390)))</x:f>
      </x:c>
      <x:c r="DC390" s="180" t="str">
        <x:f>IF(DB390="","",ROUND(DB390/14*10,1))</x:f>
      </x:c>
      <x:c r="DD390" s="174"/>
      <x:c r="DE390" s="175" t="str">
        <x:f>IF(L390="","",IF(DC390="","Pending",IF(DD390="Yes","CONDITIONAL — safety override",IF(DC390&gt;=8,"HIGH",IF(DC390&gt;=5,"CONDITIONAL","LOW")))))</x:f>
      </x:c>
      <x:c r="DF390" s="174"/>
      <x:c r="DG390" s="174"/>
      <x:c r="DH390" s="174"/>
      <x:c r="DI390" s="174"/>
      <x:c r="DJ390" s="174"/>
      <x:c r="DK390" s="174"/>
      <x:c r="DL390" s="174"/>
      <x:c r="DM390" s="174"/>
      <x:c r="DN390" s="174"/>
      <x:c r="DO390" s="174"/>
      <x:c r="DP390" s="174"/>
      <x:c r="DQ390" s="174"/>
      <x:c r="DR390" s="174"/>
      <x:c r="DS390" s="174"/>
      <x:c r="DT390" s="174"/>
      <x:c r="DU390" s="174"/>
      <x:c r="DV390" s="174"/>
      <x:c r="DW390" s="174"/>
      <x:c r="DX390" s="174"/>
      <x:c r="DY390" s="174"/>
      <x:c r="DZ390" s="174"/>
      <x:c r="EA390" s="174"/>
      <x:c r="EB390" s="175" t="str">
        <x:f>IF(L390="","",IF(AND(F390="Claim-ready",CJ390="Yes",CL390="Yes",DZ390&lt;&gt;""),"Yes","No / Pending"))</x:f>
      </x:c>
      <x:c r="EC390" s="174"/>
      <x:c r="ED390" s="174"/>
      <x:c r="EE390" s="174"/>
      <x:c r="EF390" s="174"/>
      <x:c r="EG390" s="174"/>
      <x:c r="EH390" s="177"/>
      <x:c r="EI390" s="174"/>
      <x:c r="EJ390" s="174"/>
      <x:c r="EK390" s="174"/>
      <x:c r="EL390" s="177"/>
      <x:c r="EM390" s="174"/>
      <x:c r="EN390" s="181" t="str">
        <x:f>IF(L390="","",(IF(N390&lt;&gt;"",1,0)+IF(O390&lt;&gt;"",1,0)+IF(AJ390&lt;&gt;"",1,0)+IF(AU390&lt;&gt;"",1,0)+IF(BE390&lt;&gt;"",1,0)+IF(CF390&lt;&gt;"",1,0)+IF(CJ390="Yes",1,0)+IF(CL390="Yes",1,0)+IF(DE390&lt;&gt;"Pending",1,0)+IF(F390&lt;&gt;"",1,0)+IF(DZ390&lt;&gt;"",1,0)+IF(EI390&lt;&gt;"",1,0))/12)</x:f>
      </x:c>
    </x:row>
    <x:row r="391">
      <x:c r="A391" s="175" t="str">
        <x:f>IF(L391="","","EV-"&amp;TEXT(ROW()-3,"0000"))</x:f>
      </x:c>
      <x:c r="B391" s="174"/>
      <x:c r="C391" s="175" t="str">
        <x:f>IF(L391="","",IF(OR(CM391="Retracted",CN391="Retracted",F391="Not used"),"🔴 Do not use for conclusion",IF(OR(R391="Official / Institutional",I391="Official / contextual"),"🔵 Official / contextual",IF(OR(I391="Definition",I391="Framework",I391="Paradigm shift"),"🟣 Conceptual key source",IF(AND(CJ391="Yes",CL391="Yes",OR(CG391="High",CG391="Moderate"),CH391&lt;&gt;"High",CH391&lt;&gt;"Critical",F391="Claim-ready"),"🟢 Claim-ready","🟡 Caution / context")))))</x:f>
      </x:c>
      <x:c r="D391" s="174"/>
      <x:c r="E391" s="174"/>
      <x:c r="F391" s="174"/>
      <x:c r="G391" s="174"/>
      <x:c r="H391" s="174"/>
      <x:c r="I391" s="174"/>
      <x:c r="J391" s="174"/>
      <x:c r="K391" s="174"/>
      <x:c r="L391" s="174"/>
      <x:c r="M391" s="174"/>
      <x:c r="N391" s="174"/>
      <x:c r="O391" s="176"/>
      <x:c r="P391" s="174"/>
      <x:c r="Q391" s="174"/>
      <x:c r="R391" s="174"/>
      <x:c r="S391" s="174"/>
      <x:c r="T391" s="174"/>
      <x:c r="U391" s="174"/>
      <x:c r="V391" s="174"/>
      <x:c r="W391" s="175" t="str">
        <x:f>IF(V391="","",LOWER(SUBSTITUTE(SUBSTITUTE(SUBSTITUTE(SUBSTITUTE(TRIM(V391),"https://doi.org/",""),"http://doi.org/",""),"https://dx.doi.org/",""),"doi:","")))</x:f>
      </x:c>
      <x:c r="X391" s="174"/>
      <x:c r="Y391" s="174"/>
      <x:c r="Z391" s="174"/>
      <x:c r="AA391" s="174"/>
      <x:c r="AB391" s="174"/>
      <x:c r="AC391" s="174"/>
      <x:c r="AD391" s="177"/>
      <x:c r="AE391" s="177"/>
      <x:c r="AF391" s="174"/>
      <x:c r="AG391" s="174"/>
      <x:c r="AH391" s="174"/>
      <x:c r="AI391" s="174"/>
      <x:c r="AJ391" s="174"/>
      <x:c r="AK391" s="175" t="str">
        <x:f>IF(AJ391="","",IF(OR(LOWER(AJ391)="brazil",LOWER(AJ391)="brasil"),"Yes","No"))</x:f>
      </x:c>
      <x:c r="AL391" s="174"/>
      <x:c r="AM391" s="174"/>
      <x:c r="AN391" s="174"/>
      <x:c r="AO391" s="178"/>
      <x:c r="AP391" s="174"/>
      <x:c r="AQ391" s="174"/>
      <x:c r="AR391" s="174"/>
      <x:c r="AS391" s="174"/>
      <x:c r="AT391" s="174"/>
      <x:c r="AU391" s="174"/>
      <x:c r="AV391" s="174"/>
      <x:c r="AW391" s="174"/>
      <x:c r="AX391" s="174"/>
      <x:c r="AY391" s="174"/>
      <x:c r="AZ391" s="174"/>
      <x:c r="BA391" s="174"/>
      <x:c r="BB391" s="174"/>
      <x:c r="BC391" s="174"/>
      <x:c r="BD391" s="174"/>
      <x:c r="BE391" s="174"/>
      <x:c r="BF391" s="174"/>
      <x:c r="BG391" s="174"/>
      <x:c r="BH391" s="174"/>
      <x:c r="BI391" s="174"/>
      <x:c r="BJ391" s="174"/>
      <x:c r="BK391" s="174"/>
      <x:c r="BL391" s="174"/>
      <x:c r="BM391" s="174"/>
      <x:c r="BN391" s="174"/>
      <x:c r="BO391" s="174"/>
      <x:c r="BP391" s="174"/>
      <x:c r="BQ391" s="174"/>
      <x:c r="BR391" s="174"/>
      <x:c r="BS391" s="174"/>
      <x:c r="BT391" s="174"/>
      <x:c r="BU391" s="174"/>
      <x:c r="BV391" s="174"/>
      <x:c r="BW391" s="174"/>
      <x:c r="BX391" s="174"/>
      <x:c r="BY391" s="174"/>
      <x:c r="BZ391" s="174"/>
      <x:c r="CA391" s="174"/>
      <x:c r="CB391" s="174"/>
      <x:c r="CC391" s="174"/>
      <x:c r="CD391" s="174"/>
      <x:c r="CE391" s="174"/>
      <x:c r="CF391" s="174"/>
      <x:c r="CG391" s="174"/>
      <x:c r="CH391" s="174"/>
      <x:c r="CI391" s="179"/>
      <x:c r="CJ391" s="174"/>
      <x:c r="CK391" s="174"/>
      <x:c r="CL391" s="174"/>
      <x:c r="CM391" s="174"/>
      <x:c r="CN391" s="174"/>
      <x:c r="CO391" s="177"/>
      <x:c r="CP391" s="174"/>
      <x:c r="CQ391" s="174"/>
      <x:c r="CR391" s="174"/>
      <x:c r="CS391" s="174"/>
      <x:c r="CT391" s="174"/>
      <x:c r="CU391" s="176"/>
      <x:c r="CV391" s="176"/>
      <x:c r="CW391" s="176"/>
      <x:c r="CX391" s="176"/>
      <x:c r="CY391" s="176"/>
      <x:c r="CZ391" s="176"/>
      <x:c r="DA391" s="176"/>
      <x:c r="DB391" s="175" t="str">
        <x:f>IF(L391="","",IF(COUNT(CU391:DA391)&lt;7,"",SUM(CU391:DA391)))</x:f>
      </x:c>
      <x:c r="DC391" s="180" t="str">
        <x:f>IF(DB391="","",ROUND(DB391/14*10,1))</x:f>
      </x:c>
      <x:c r="DD391" s="174"/>
      <x:c r="DE391" s="175" t="str">
        <x:f>IF(L391="","",IF(DC391="","Pending",IF(DD391="Yes","CONDITIONAL — safety override",IF(DC391&gt;=8,"HIGH",IF(DC391&gt;=5,"CONDITIONAL","LOW")))))</x:f>
      </x:c>
      <x:c r="DF391" s="174"/>
      <x:c r="DG391" s="174"/>
      <x:c r="DH391" s="174"/>
      <x:c r="DI391" s="174"/>
      <x:c r="DJ391" s="174"/>
      <x:c r="DK391" s="174"/>
      <x:c r="DL391" s="174"/>
      <x:c r="DM391" s="174"/>
      <x:c r="DN391" s="174"/>
      <x:c r="DO391" s="174"/>
      <x:c r="DP391" s="174"/>
      <x:c r="DQ391" s="174"/>
      <x:c r="DR391" s="174"/>
      <x:c r="DS391" s="174"/>
      <x:c r="DT391" s="174"/>
      <x:c r="DU391" s="174"/>
      <x:c r="DV391" s="174"/>
      <x:c r="DW391" s="174"/>
      <x:c r="DX391" s="174"/>
      <x:c r="DY391" s="174"/>
      <x:c r="DZ391" s="174"/>
      <x:c r="EA391" s="174"/>
      <x:c r="EB391" s="175" t="str">
        <x:f>IF(L391="","",IF(AND(F391="Claim-ready",CJ391="Yes",CL391="Yes",DZ391&lt;&gt;""),"Yes","No / Pending"))</x:f>
      </x:c>
      <x:c r="EC391" s="174"/>
      <x:c r="ED391" s="174"/>
      <x:c r="EE391" s="174"/>
      <x:c r="EF391" s="174"/>
      <x:c r="EG391" s="174"/>
      <x:c r="EH391" s="177"/>
      <x:c r="EI391" s="174"/>
      <x:c r="EJ391" s="174"/>
      <x:c r="EK391" s="174"/>
      <x:c r="EL391" s="177"/>
      <x:c r="EM391" s="174"/>
      <x:c r="EN391" s="181" t="str">
        <x:f>IF(L391="","",(IF(N391&lt;&gt;"",1,0)+IF(O391&lt;&gt;"",1,0)+IF(AJ391&lt;&gt;"",1,0)+IF(AU391&lt;&gt;"",1,0)+IF(BE391&lt;&gt;"",1,0)+IF(CF391&lt;&gt;"",1,0)+IF(CJ391="Yes",1,0)+IF(CL391="Yes",1,0)+IF(DE391&lt;&gt;"Pending",1,0)+IF(F391&lt;&gt;"",1,0)+IF(DZ391&lt;&gt;"",1,0)+IF(EI391&lt;&gt;"",1,0))/12)</x:f>
      </x:c>
    </x:row>
    <x:row r="392">
      <x:c r="A392" s="175" t="str">
        <x:f>IF(L392="","","EV-"&amp;TEXT(ROW()-3,"0000"))</x:f>
      </x:c>
      <x:c r="B392" s="174"/>
      <x:c r="C392" s="175" t="str">
        <x:f>IF(L392="","",IF(OR(CM392="Retracted",CN392="Retracted",F392="Not used"),"🔴 Do not use for conclusion",IF(OR(R392="Official / Institutional",I392="Official / contextual"),"🔵 Official / contextual",IF(OR(I392="Definition",I392="Framework",I392="Paradigm shift"),"🟣 Conceptual key source",IF(AND(CJ392="Yes",CL392="Yes",OR(CG392="High",CG392="Moderate"),CH392&lt;&gt;"High",CH392&lt;&gt;"Critical",F392="Claim-ready"),"🟢 Claim-ready","🟡 Caution / context")))))</x:f>
      </x:c>
      <x:c r="D392" s="174"/>
      <x:c r="E392" s="174"/>
      <x:c r="F392" s="174"/>
      <x:c r="G392" s="174"/>
      <x:c r="H392" s="174"/>
      <x:c r="I392" s="174"/>
      <x:c r="J392" s="174"/>
      <x:c r="K392" s="174"/>
      <x:c r="L392" s="174"/>
      <x:c r="M392" s="174"/>
      <x:c r="N392" s="174"/>
      <x:c r="O392" s="176"/>
      <x:c r="P392" s="174"/>
      <x:c r="Q392" s="174"/>
      <x:c r="R392" s="174"/>
      <x:c r="S392" s="174"/>
      <x:c r="T392" s="174"/>
      <x:c r="U392" s="174"/>
      <x:c r="V392" s="174"/>
      <x:c r="W392" s="175" t="str">
        <x:f>IF(V392="","",LOWER(SUBSTITUTE(SUBSTITUTE(SUBSTITUTE(SUBSTITUTE(TRIM(V392),"https://doi.org/",""),"http://doi.org/",""),"https://dx.doi.org/",""),"doi:","")))</x:f>
      </x:c>
      <x:c r="X392" s="174"/>
      <x:c r="Y392" s="174"/>
      <x:c r="Z392" s="174"/>
      <x:c r="AA392" s="174"/>
      <x:c r="AB392" s="174"/>
      <x:c r="AC392" s="174"/>
      <x:c r="AD392" s="177"/>
      <x:c r="AE392" s="177"/>
      <x:c r="AF392" s="174"/>
      <x:c r="AG392" s="174"/>
      <x:c r="AH392" s="174"/>
      <x:c r="AI392" s="174"/>
      <x:c r="AJ392" s="174"/>
      <x:c r="AK392" s="175" t="str">
        <x:f>IF(AJ392="","",IF(OR(LOWER(AJ392)="brazil",LOWER(AJ392)="brasil"),"Yes","No"))</x:f>
      </x:c>
      <x:c r="AL392" s="174"/>
      <x:c r="AM392" s="174"/>
      <x:c r="AN392" s="174"/>
      <x:c r="AO392" s="178"/>
      <x:c r="AP392" s="174"/>
      <x:c r="AQ392" s="174"/>
      <x:c r="AR392" s="174"/>
      <x:c r="AS392" s="174"/>
      <x:c r="AT392" s="174"/>
      <x:c r="AU392" s="174"/>
      <x:c r="AV392" s="174"/>
      <x:c r="AW392" s="174"/>
      <x:c r="AX392" s="174"/>
      <x:c r="AY392" s="174"/>
      <x:c r="AZ392" s="174"/>
      <x:c r="BA392" s="174"/>
      <x:c r="BB392" s="174"/>
      <x:c r="BC392" s="174"/>
      <x:c r="BD392" s="174"/>
      <x:c r="BE392" s="174"/>
      <x:c r="BF392" s="174"/>
      <x:c r="BG392" s="174"/>
      <x:c r="BH392" s="174"/>
      <x:c r="BI392" s="174"/>
      <x:c r="BJ392" s="174"/>
      <x:c r="BK392" s="174"/>
      <x:c r="BL392" s="174"/>
      <x:c r="BM392" s="174"/>
      <x:c r="BN392" s="174"/>
      <x:c r="BO392" s="174"/>
      <x:c r="BP392" s="174"/>
      <x:c r="BQ392" s="174"/>
      <x:c r="BR392" s="174"/>
      <x:c r="BS392" s="174"/>
      <x:c r="BT392" s="174"/>
      <x:c r="BU392" s="174"/>
      <x:c r="BV392" s="174"/>
      <x:c r="BW392" s="174"/>
      <x:c r="BX392" s="174"/>
      <x:c r="BY392" s="174"/>
      <x:c r="BZ392" s="174"/>
      <x:c r="CA392" s="174"/>
      <x:c r="CB392" s="174"/>
      <x:c r="CC392" s="174"/>
      <x:c r="CD392" s="174"/>
      <x:c r="CE392" s="174"/>
      <x:c r="CF392" s="174"/>
      <x:c r="CG392" s="174"/>
      <x:c r="CH392" s="174"/>
      <x:c r="CI392" s="179"/>
      <x:c r="CJ392" s="174"/>
      <x:c r="CK392" s="174"/>
      <x:c r="CL392" s="174"/>
      <x:c r="CM392" s="174"/>
      <x:c r="CN392" s="174"/>
      <x:c r="CO392" s="177"/>
      <x:c r="CP392" s="174"/>
      <x:c r="CQ392" s="174"/>
      <x:c r="CR392" s="174"/>
      <x:c r="CS392" s="174"/>
      <x:c r="CT392" s="174"/>
      <x:c r="CU392" s="176"/>
      <x:c r="CV392" s="176"/>
      <x:c r="CW392" s="176"/>
      <x:c r="CX392" s="176"/>
      <x:c r="CY392" s="176"/>
      <x:c r="CZ392" s="176"/>
      <x:c r="DA392" s="176"/>
      <x:c r="DB392" s="175" t="str">
        <x:f>IF(L392="","",IF(COUNT(CU392:DA392)&lt;7,"",SUM(CU392:DA392)))</x:f>
      </x:c>
      <x:c r="DC392" s="180" t="str">
        <x:f>IF(DB392="","",ROUND(DB392/14*10,1))</x:f>
      </x:c>
      <x:c r="DD392" s="174"/>
      <x:c r="DE392" s="175" t="str">
        <x:f>IF(L392="","",IF(DC392="","Pending",IF(DD392="Yes","CONDITIONAL — safety override",IF(DC392&gt;=8,"HIGH",IF(DC392&gt;=5,"CONDITIONAL","LOW")))))</x:f>
      </x:c>
      <x:c r="DF392" s="174"/>
      <x:c r="DG392" s="174"/>
      <x:c r="DH392" s="174"/>
      <x:c r="DI392" s="174"/>
      <x:c r="DJ392" s="174"/>
      <x:c r="DK392" s="174"/>
      <x:c r="DL392" s="174"/>
      <x:c r="DM392" s="174"/>
      <x:c r="DN392" s="174"/>
      <x:c r="DO392" s="174"/>
      <x:c r="DP392" s="174"/>
      <x:c r="DQ392" s="174"/>
      <x:c r="DR392" s="174"/>
      <x:c r="DS392" s="174"/>
      <x:c r="DT392" s="174"/>
      <x:c r="DU392" s="174"/>
      <x:c r="DV392" s="174"/>
      <x:c r="DW392" s="174"/>
      <x:c r="DX392" s="174"/>
      <x:c r="DY392" s="174"/>
      <x:c r="DZ392" s="174"/>
      <x:c r="EA392" s="174"/>
      <x:c r="EB392" s="175" t="str">
        <x:f>IF(L392="","",IF(AND(F392="Claim-ready",CJ392="Yes",CL392="Yes",DZ392&lt;&gt;""),"Yes","No / Pending"))</x:f>
      </x:c>
      <x:c r="EC392" s="174"/>
      <x:c r="ED392" s="174"/>
      <x:c r="EE392" s="174"/>
      <x:c r="EF392" s="174"/>
      <x:c r="EG392" s="174"/>
      <x:c r="EH392" s="177"/>
      <x:c r="EI392" s="174"/>
      <x:c r="EJ392" s="174"/>
      <x:c r="EK392" s="174"/>
      <x:c r="EL392" s="177"/>
      <x:c r="EM392" s="174"/>
      <x:c r="EN392" s="181" t="str">
        <x:f>IF(L392="","",(IF(N392&lt;&gt;"",1,0)+IF(O392&lt;&gt;"",1,0)+IF(AJ392&lt;&gt;"",1,0)+IF(AU392&lt;&gt;"",1,0)+IF(BE392&lt;&gt;"",1,0)+IF(CF392&lt;&gt;"",1,0)+IF(CJ392="Yes",1,0)+IF(CL392="Yes",1,0)+IF(DE392&lt;&gt;"Pending",1,0)+IF(F392&lt;&gt;"",1,0)+IF(DZ392&lt;&gt;"",1,0)+IF(EI392&lt;&gt;"",1,0))/12)</x:f>
      </x:c>
    </x:row>
    <x:row r="393">
      <x:c r="A393" s="175" t="str">
        <x:f>IF(L393="","","EV-"&amp;TEXT(ROW()-3,"0000"))</x:f>
      </x:c>
      <x:c r="B393" s="174"/>
      <x:c r="C393" s="175" t="str">
        <x:f>IF(L393="","",IF(OR(CM393="Retracted",CN393="Retracted",F393="Not used"),"🔴 Do not use for conclusion",IF(OR(R393="Official / Institutional",I393="Official / contextual"),"🔵 Official / contextual",IF(OR(I393="Definition",I393="Framework",I393="Paradigm shift"),"🟣 Conceptual key source",IF(AND(CJ393="Yes",CL393="Yes",OR(CG393="High",CG393="Moderate"),CH393&lt;&gt;"High",CH393&lt;&gt;"Critical",F393="Claim-ready"),"🟢 Claim-ready","🟡 Caution / context")))))</x:f>
      </x:c>
      <x:c r="D393" s="174"/>
      <x:c r="E393" s="174"/>
      <x:c r="F393" s="174"/>
      <x:c r="G393" s="174"/>
      <x:c r="H393" s="174"/>
      <x:c r="I393" s="174"/>
      <x:c r="J393" s="174"/>
      <x:c r="K393" s="174"/>
      <x:c r="L393" s="174"/>
      <x:c r="M393" s="174"/>
      <x:c r="N393" s="174"/>
      <x:c r="O393" s="176"/>
      <x:c r="P393" s="174"/>
      <x:c r="Q393" s="174"/>
      <x:c r="R393" s="174"/>
      <x:c r="S393" s="174"/>
      <x:c r="T393" s="174"/>
      <x:c r="U393" s="174"/>
      <x:c r="V393" s="174"/>
      <x:c r="W393" s="175" t="str">
        <x:f>IF(V393="","",LOWER(SUBSTITUTE(SUBSTITUTE(SUBSTITUTE(SUBSTITUTE(TRIM(V393),"https://doi.org/",""),"http://doi.org/",""),"https://dx.doi.org/",""),"doi:","")))</x:f>
      </x:c>
      <x:c r="X393" s="174"/>
      <x:c r="Y393" s="174"/>
      <x:c r="Z393" s="174"/>
      <x:c r="AA393" s="174"/>
      <x:c r="AB393" s="174"/>
      <x:c r="AC393" s="174"/>
      <x:c r="AD393" s="177"/>
      <x:c r="AE393" s="177"/>
      <x:c r="AF393" s="174"/>
      <x:c r="AG393" s="174"/>
      <x:c r="AH393" s="174"/>
      <x:c r="AI393" s="174"/>
      <x:c r="AJ393" s="174"/>
      <x:c r="AK393" s="175" t="str">
        <x:f>IF(AJ393="","",IF(OR(LOWER(AJ393)="brazil",LOWER(AJ393)="brasil"),"Yes","No"))</x:f>
      </x:c>
      <x:c r="AL393" s="174"/>
      <x:c r="AM393" s="174"/>
      <x:c r="AN393" s="174"/>
      <x:c r="AO393" s="178"/>
      <x:c r="AP393" s="174"/>
      <x:c r="AQ393" s="174"/>
      <x:c r="AR393" s="174"/>
      <x:c r="AS393" s="174"/>
      <x:c r="AT393" s="174"/>
      <x:c r="AU393" s="174"/>
      <x:c r="AV393" s="174"/>
      <x:c r="AW393" s="174"/>
      <x:c r="AX393" s="174"/>
      <x:c r="AY393" s="174"/>
      <x:c r="AZ393" s="174"/>
      <x:c r="BA393" s="174"/>
      <x:c r="BB393" s="174"/>
      <x:c r="BC393" s="174"/>
      <x:c r="BD393" s="174"/>
      <x:c r="BE393" s="174"/>
      <x:c r="BF393" s="174"/>
      <x:c r="BG393" s="174"/>
      <x:c r="BH393" s="174"/>
      <x:c r="BI393" s="174"/>
      <x:c r="BJ393" s="174"/>
      <x:c r="BK393" s="174"/>
      <x:c r="BL393" s="174"/>
      <x:c r="BM393" s="174"/>
      <x:c r="BN393" s="174"/>
      <x:c r="BO393" s="174"/>
      <x:c r="BP393" s="174"/>
      <x:c r="BQ393" s="174"/>
      <x:c r="BR393" s="174"/>
      <x:c r="BS393" s="174"/>
      <x:c r="BT393" s="174"/>
      <x:c r="BU393" s="174"/>
      <x:c r="BV393" s="174"/>
      <x:c r="BW393" s="174"/>
      <x:c r="BX393" s="174"/>
      <x:c r="BY393" s="174"/>
      <x:c r="BZ393" s="174"/>
      <x:c r="CA393" s="174"/>
      <x:c r="CB393" s="174"/>
      <x:c r="CC393" s="174"/>
      <x:c r="CD393" s="174"/>
      <x:c r="CE393" s="174"/>
      <x:c r="CF393" s="174"/>
      <x:c r="CG393" s="174"/>
      <x:c r="CH393" s="174"/>
      <x:c r="CI393" s="179"/>
      <x:c r="CJ393" s="174"/>
      <x:c r="CK393" s="174"/>
      <x:c r="CL393" s="174"/>
      <x:c r="CM393" s="174"/>
      <x:c r="CN393" s="174"/>
      <x:c r="CO393" s="177"/>
      <x:c r="CP393" s="174"/>
      <x:c r="CQ393" s="174"/>
      <x:c r="CR393" s="174"/>
      <x:c r="CS393" s="174"/>
      <x:c r="CT393" s="174"/>
      <x:c r="CU393" s="176"/>
      <x:c r="CV393" s="176"/>
      <x:c r="CW393" s="176"/>
      <x:c r="CX393" s="176"/>
      <x:c r="CY393" s="176"/>
      <x:c r="CZ393" s="176"/>
      <x:c r="DA393" s="176"/>
      <x:c r="DB393" s="175" t="str">
        <x:f>IF(L393="","",IF(COUNT(CU393:DA393)&lt;7,"",SUM(CU393:DA393)))</x:f>
      </x:c>
      <x:c r="DC393" s="180" t="str">
        <x:f>IF(DB393="","",ROUND(DB393/14*10,1))</x:f>
      </x:c>
      <x:c r="DD393" s="174"/>
      <x:c r="DE393" s="175" t="str">
        <x:f>IF(L393="","",IF(DC393="","Pending",IF(DD393="Yes","CONDITIONAL — safety override",IF(DC393&gt;=8,"HIGH",IF(DC393&gt;=5,"CONDITIONAL","LOW")))))</x:f>
      </x:c>
      <x:c r="DF393" s="174"/>
      <x:c r="DG393" s="174"/>
      <x:c r="DH393" s="174"/>
      <x:c r="DI393" s="174"/>
      <x:c r="DJ393" s="174"/>
      <x:c r="DK393" s="174"/>
      <x:c r="DL393" s="174"/>
      <x:c r="DM393" s="174"/>
      <x:c r="DN393" s="174"/>
      <x:c r="DO393" s="174"/>
      <x:c r="DP393" s="174"/>
      <x:c r="DQ393" s="174"/>
      <x:c r="DR393" s="174"/>
      <x:c r="DS393" s="174"/>
      <x:c r="DT393" s="174"/>
      <x:c r="DU393" s="174"/>
      <x:c r="DV393" s="174"/>
      <x:c r="DW393" s="174"/>
      <x:c r="DX393" s="174"/>
      <x:c r="DY393" s="174"/>
      <x:c r="DZ393" s="174"/>
      <x:c r="EA393" s="174"/>
      <x:c r="EB393" s="175" t="str">
        <x:f>IF(L393="","",IF(AND(F393="Claim-ready",CJ393="Yes",CL393="Yes",DZ393&lt;&gt;""),"Yes","No / Pending"))</x:f>
      </x:c>
      <x:c r="EC393" s="174"/>
      <x:c r="ED393" s="174"/>
      <x:c r="EE393" s="174"/>
      <x:c r="EF393" s="174"/>
      <x:c r="EG393" s="174"/>
      <x:c r="EH393" s="177"/>
      <x:c r="EI393" s="174"/>
      <x:c r="EJ393" s="174"/>
      <x:c r="EK393" s="174"/>
      <x:c r="EL393" s="177"/>
      <x:c r="EM393" s="174"/>
      <x:c r="EN393" s="181" t="str">
        <x:f>IF(L393="","",(IF(N393&lt;&gt;"",1,0)+IF(O393&lt;&gt;"",1,0)+IF(AJ393&lt;&gt;"",1,0)+IF(AU393&lt;&gt;"",1,0)+IF(BE393&lt;&gt;"",1,0)+IF(CF393&lt;&gt;"",1,0)+IF(CJ393="Yes",1,0)+IF(CL393="Yes",1,0)+IF(DE393&lt;&gt;"Pending",1,0)+IF(F393&lt;&gt;"",1,0)+IF(DZ393&lt;&gt;"",1,0)+IF(EI393&lt;&gt;"",1,0))/12)</x:f>
      </x:c>
    </x:row>
    <x:row r="394">
      <x:c r="A394" s="175" t="str">
        <x:f>IF(L394="","","EV-"&amp;TEXT(ROW()-3,"0000"))</x:f>
      </x:c>
      <x:c r="B394" s="174"/>
      <x:c r="C394" s="175" t="str">
        <x:f>IF(L394="","",IF(OR(CM394="Retracted",CN394="Retracted",F394="Not used"),"🔴 Do not use for conclusion",IF(OR(R394="Official / Institutional",I394="Official / contextual"),"🔵 Official / contextual",IF(OR(I394="Definition",I394="Framework",I394="Paradigm shift"),"🟣 Conceptual key source",IF(AND(CJ394="Yes",CL394="Yes",OR(CG394="High",CG394="Moderate"),CH394&lt;&gt;"High",CH394&lt;&gt;"Critical",F394="Claim-ready"),"🟢 Claim-ready","🟡 Caution / context")))))</x:f>
      </x:c>
      <x:c r="D394" s="174"/>
      <x:c r="E394" s="174"/>
      <x:c r="F394" s="174"/>
      <x:c r="G394" s="174"/>
      <x:c r="H394" s="174"/>
      <x:c r="I394" s="174"/>
      <x:c r="J394" s="174"/>
      <x:c r="K394" s="174"/>
      <x:c r="L394" s="174"/>
      <x:c r="M394" s="174"/>
      <x:c r="N394" s="174"/>
      <x:c r="O394" s="176"/>
      <x:c r="P394" s="174"/>
      <x:c r="Q394" s="174"/>
      <x:c r="R394" s="174"/>
      <x:c r="S394" s="174"/>
      <x:c r="T394" s="174"/>
      <x:c r="U394" s="174"/>
      <x:c r="V394" s="174"/>
      <x:c r="W394" s="175" t="str">
        <x:f>IF(V394="","",LOWER(SUBSTITUTE(SUBSTITUTE(SUBSTITUTE(SUBSTITUTE(TRIM(V394),"https://doi.org/",""),"http://doi.org/",""),"https://dx.doi.org/",""),"doi:","")))</x:f>
      </x:c>
      <x:c r="X394" s="174"/>
      <x:c r="Y394" s="174"/>
      <x:c r="Z394" s="174"/>
      <x:c r="AA394" s="174"/>
      <x:c r="AB394" s="174"/>
      <x:c r="AC394" s="174"/>
      <x:c r="AD394" s="177"/>
      <x:c r="AE394" s="177"/>
      <x:c r="AF394" s="174"/>
      <x:c r="AG394" s="174"/>
      <x:c r="AH394" s="174"/>
      <x:c r="AI394" s="174"/>
      <x:c r="AJ394" s="174"/>
      <x:c r="AK394" s="175" t="str">
        <x:f>IF(AJ394="","",IF(OR(LOWER(AJ394)="brazil",LOWER(AJ394)="brasil"),"Yes","No"))</x:f>
      </x:c>
      <x:c r="AL394" s="174"/>
      <x:c r="AM394" s="174"/>
      <x:c r="AN394" s="174"/>
      <x:c r="AO394" s="178"/>
      <x:c r="AP394" s="174"/>
      <x:c r="AQ394" s="174"/>
      <x:c r="AR394" s="174"/>
      <x:c r="AS394" s="174"/>
      <x:c r="AT394" s="174"/>
      <x:c r="AU394" s="174"/>
      <x:c r="AV394" s="174"/>
      <x:c r="AW394" s="174"/>
      <x:c r="AX394" s="174"/>
      <x:c r="AY394" s="174"/>
      <x:c r="AZ394" s="174"/>
      <x:c r="BA394" s="174"/>
      <x:c r="BB394" s="174"/>
      <x:c r="BC394" s="174"/>
      <x:c r="BD394" s="174"/>
      <x:c r="BE394" s="174"/>
      <x:c r="BF394" s="174"/>
      <x:c r="BG394" s="174"/>
      <x:c r="BH394" s="174"/>
      <x:c r="BI394" s="174"/>
      <x:c r="BJ394" s="174"/>
      <x:c r="BK394" s="174"/>
      <x:c r="BL394" s="174"/>
      <x:c r="BM394" s="174"/>
      <x:c r="BN394" s="174"/>
      <x:c r="BO394" s="174"/>
      <x:c r="BP394" s="174"/>
      <x:c r="BQ394" s="174"/>
      <x:c r="BR394" s="174"/>
      <x:c r="BS394" s="174"/>
      <x:c r="BT394" s="174"/>
      <x:c r="BU394" s="174"/>
      <x:c r="BV394" s="174"/>
      <x:c r="BW394" s="174"/>
      <x:c r="BX394" s="174"/>
      <x:c r="BY394" s="174"/>
      <x:c r="BZ394" s="174"/>
      <x:c r="CA394" s="174"/>
      <x:c r="CB394" s="174"/>
      <x:c r="CC394" s="174"/>
      <x:c r="CD394" s="174"/>
      <x:c r="CE394" s="174"/>
      <x:c r="CF394" s="174"/>
      <x:c r="CG394" s="174"/>
      <x:c r="CH394" s="174"/>
      <x:c r="CI394" s="179"/>
      <x:c r="CJ394" s="174"/>
      <x:c r="CK394" s="174"/>
      <x:c r="CL394" s="174"/>
      <x:c r="CM394" s="174"/>
      <x:c r="CN394" s="174"/>
      <x:c r="CO394" s="177"/>
      <x:c r="CP394" s="174"/>
      <x:c r="CQ394" s="174"/>
      <x:c r="CR394" s="174"/>
      <x:c r="CS394" s="174"/>
      <x:c r="CT394" s="174"/>
      <x:c r="CU394" s="176"/>
      <x:c r="CV394" s="176"/>
      <x:c r="CW394" s="176"/>
      <x:c r="CX394" s="176"/>
      <x:c r="CY394" s="176"/>
      <x:c r="CZ394" s="176"/>
      <x:c r="DA394" s="176"/>
      <x:c r="DB394" s="175" t="str">
        <x:f>IF(L394="","",IF(COUNT(CU394:DA394)&lt;7,"",SUM(CU394:DA394)))</x:f>
      </x:c>
      <x:c r="DC394" s="180" t="str">
        <x:f>IF(DB394="","",ROUND(DB394/14*10,1))</x:f>
      </x:c>
      <x:c r="DD394" s="174"/>
      <x:c r="DE394" s="175" t="str">
        <x:f>IF(L394="","",IF(DC394="","Pending",IF(DD394="Yes","CONDITIONAL — safety override",IF(DC394&gt;=8,"HIGH",IF(DC394&gt;=5,"CONDITIONAL","LOW")))))</x:f>
      </x:c>
      <x:c r="DF394" s="174"/>
      <x:c r="DG394" s="174"/>
      <x:c r="DH394" s="174"/>
      <x:c r="DI394" s="174"/>
      <x:c r="DJ394" s="174"/>
      <x:c r="DK394" s="174"/>
      <x:c r="DL394" s="174"/>
      <x:c r="DM394" s="174"/>
      <x:c r="DN394" s="174"/>
      <x:c r="DO394" s="174"/>
      <x:c r="DP394" s="174"/>
      <x:c r="DQ394" s="174"/>
      <x:c r="DR394" s="174"/>
      <x:c r="DS394" s="174"/>
      <x:c r="DT394" s="174"/>
      <x:c r="DU394" s="174"/>
      <x:c r="DV394" s="174"/>
      <x:c r="DW394" s="174"/>
      <x:c r="DX394" s="174"/>
      <x:c r="DY394" s="174"/>
      <x:c r="DZ394" s="174"/>
      <x:c r="EA394" s="174"/>
      <x:c r="EB394" s="175" t="str">
        <x:f>IF(L394="","",IF(AND(F394="Claim-ready",CJ394="Yes",CL394="Yes",DZ394&lt;&gt;""),"Yes","No / Pending"))</x:f>
      </x:c>
      <x:c r="EC394" s="174"/>
      <x:c r="ED394" s="174"/>
      <x:c r="EE394" s="174"/>
      <x:c r="EF394" s="174"/>
      <x:c r="EG394" s="174"/>
      <x:c r="EH394" s="177"/>
      <x:c r="EI394" s="174"/>
      <x:c r="EJ394" s="174"/>
      <x:c r="EK394" s="174"/>
      <x:c r="EL394" s="177"/>
      <x:c r="EM394" s="174"/>
      <x:c r="EN394" s="181" t="str">
        <x:f>IF(L394="","",(IF(N394&lt;&gt;"",1,0)+IF(O394&lt;&gt;"",1,0)+IF(AJ394&lt;&gt;"",1,0)+IF(AU394&lt;&gt;"",1,0)+IF(BE394&lt;&gt;"",1,0)+IF(CF394&lt;&gt;"",1,0)+IF(CJ394="Yes",1,0)+IF(CL394="Yes",1,0)+IF(DE394&lt;&gt;"Pending",1,0)+IF(F394&lt;&gt;"",1,0)+IF(DZ394&lt;&gt;"",1,0)+IF(EI394&lt;&gt;"",1,0))/12)</x:f>
      </x:c>
    </x:row>
    <x:row r="395">
      <x:c r="A395" s="175" t="str">
        <x:f>IF(L395="","","EV-"&amp;TEXT(ROW()-3,"0000"))</x:f>
      </x:c>
      <x:c r="B395" s="174"/>
      <x:c r="C395" s="175" t="str">
        <x:f>IF(L395="","",IF(OR(CM395="Retracted",CN395="Retracted",F395="Not used"),"🔴 Do not use for conclusion",IF(OR(R395="Official / Institutional",I395="Official / contextual"),"🔵 Official / contextual",IF(OR(I395="Definition",I395="Framework",I395="Paradigm shift"),"🟣 Conceptual key source",IF(AND(CJ395="Yes",CL395="Yes",OR(CG395="High",CG395="Moderate"),CH395&lt;&gt;"High",CH395&lt;&gt;"Critical",F395="Claim-ready"),"🟢 Claim-ready","🟡 Caution / context")))))</x:f>
      </x:c>
      <x:c r="D395" s="174"/>
      <x:c r="E395" s="174"/>
      <x:c r="F395" s="174"/>
      <x:c r="G395" s="174"/>
      <x:c r="H395" s="174"/>
      <x:c r="I395" s="174"/>
      <x:c r="J395" s="174"/>
      <x:c r="K395" s="174"/>
      <x:c r="L395" s="174"/>
      <x:c r="M395" s="174"/>
      <x:c r="N395" s="174"/>
      <x:c r="O395" s="176"/>
      <x:c r="P395" s="174"/>
      <x:c r="Q395" s="174"/>
      <x:c r="R395" s="174"/>
      <x:c r="S395" s="174"/>
      <x:c r="T395" s="174"/>
      <x:c r="U395" s="174"/>
      <x:c r="V395" s="174"/>
      <x:c r="W395" s="175" t="str">
        <x:f>IF(V395="","",LOWER(SUBSTITUTE(SUBSTITUTE(SUBSTITUTE(SUBSTITUTE(TRIM(V395),"https://doi.org/",""),"http://doi.org/",""),"https://dx.doi.org/",""),"doi:","")))</x:f>
      </x:c>
      <x:c r="X395" s="174"/>
      <x:c r="Y395" s="174"/>
      <x:c r="Z395" s="174"/>
      <x:c r="AA395" s="174"/>
      <x:c r="AB395" s="174"/>
      <x:c r="AC395" s="174"/>
      <x:c r="AD395" s="177"/>
      <x:c r="AE395" s="177"/>
      <x:c r="AF395" s="174"/>
      <x:c r="AG395" s="174"/>
      <x:c r="AH395" s="174"/>
      <x:c r="AI395" s="174"/>
      <x:c r="AJ395" s="174"/>
      <x:c r="AK395" s="175" t="str">
        <x:f>IF(AJ395="","",IF(OR(LOWER(AJ395)="brazil",LOWER(AJ395)="brasil"),"Yes","No"))</x:f>
      </x:c>
      <x:c r="AL395" s="174"/>
      <x:c r="AM395" s="174"/>
      <x:c r="AN395" s="174"/>
      <x:c r="AO395" s="178"/>
      <x:c r="AP395" s="174"/>
      <x:c r="AQ395" s="174"/>
      <x:c r="AR395" s="174"/>
      <x:c r="AS395" s="174"/>
      <x:c r="AT395" s="174"/>
      <x:c r="AU395" s="174"/>
      <x:c r="AV395" s="174"/>
      <x:c r="AW395" s="174"/>
      <x:c r="AX395" s="174"/>
      <x:c r="AY395" s="174"/>
      <x:c r="AZ395" s="174"/>
      <x:c r="BA395" s="174"/>
      <x:c r="BB395" s="174"/>
      <x:c r="BC395" s="174"/>
      <x:c r="BD395" s="174"/>
      <x:c r="BE395" s="174"/>
      <x:c r="BF395" s="174"/>
      <x:c r="BG395" s="174"/>
      <x:c r="BH395" s="174"/>
      <x:c r="BI395" s="174"/>
      <x:c r="BJ395" s="174"/>
      <x:c r="BK395" s="174"/>
      <x:c r="BL395" s="174"/>
      <x:c r="BM395" s="174"/>
      <x:c r="BN395" s="174"/>
      <x:c r="BO395" s="174"/>
      <x:c r="BP395" s="174"/>
      <x:c r="BQ395" s="174"/>
      <x:c r="BR395" s="174"/>
      <x:c r="BS395" s="174"/>
      <x:c r="BT395" s="174"/>
      <x:c r="BU395" s="174"/>
      <x:c r="BV395" s="174"/>
      <x:c r="BW395" s="174"/>
      <x:c r="BX395" s="174"/>
      <x:c r="BY395" s="174"/>
      <x:c r="BZ395" s="174"/>
      <x:c r="CA395" s="174"/>
      <x:c r="CB395" s="174"/>
      <x:c r="CC395" s="174"/>
      <x:c r="CD395" s="174"/>
      <x:c r="CE395" s="174"/>
      <x:c r="CF395" s="174"/>
      <x:c r="CG395" s="174"/>
      <x:c r="CH395" s="174"/>
      <x:c r="CI395" s="179"/>
      <x:c r="CJ395" s="174"/>
      <x:c r="CK395" s="174"/>
      <x:c r="CL395" s="174"/>
      <x:c r="CM395" s="174"/>
      <x:c r="CN395" s="174"/>
      <x:c r="CO395" s="177"/>
      <x:c r="CP395" s="174"/>
      <x:c r="CQ395" s="174"/>
      <x:c r="CR395" s="174"/>
      <x:c r="CS395" s="174"/>
      <x:c r="CT395" s="174"/>
      <x:c r="CU395" s="176"/>
      <x:c r="CV395" s="176"/>
      <x:c r="CW395" s="176"/>
      <x:c r="CX395" s="176"/>
      <x:c r="CY395" s="176"/>
      <x:c r="CZ395" s="176"/>
      <x:c r="DA395" s="176"/>
      <x:c r="DB395" s="175" t="str">
        <x:f>IF(L395="","",IF(COUNT(CU395:DA395)&lt;7,"",SUM(CU395:DA395)))</x:f>
      </x:c>
      <x:c r="DC395" s="180" t="str">
        <x:f>IF(DB395="","",ROUND(DB395/14*10,1))</x:f>
      </x:c>
      <x:c r="DD395" s="174"/>
      <x:c r="DE395" s="175" t="str">
        <x:f>IF(L395="","",IF(DC395="","Pending",IF(DD395="Yes","CONDITIONAL — safety override",IF(DC395&gt;=8,"HIGH",IF(DC395&gt;=5,"CONDITIONAL","LOW")))))</x:f>
      </x:c>
      <x:c r="DF395" s="174"/>
      <x:c r="DG395" s="174"/>
      <x:c r="DH395" s="174"/>
      <x:c r="DI395" s="174"/>
      <x:c r="DJ395" s="174"/>
      <x:c r="DK395" s="174"/>
      <x:c r="DL395" s="174"/>
      <x:c r="DM395" s="174"/>
      <x:c r="DN395" s="174"/>
      <x:c r="DO395" s="174"/>
      <x:c r="DP395" s="174"/>
      <x:c r="DQ395" s="174"/>
      <x:c r="DR395" s="174"/>
      <x:c r="DS395" s="174"/>
      <x:c r="DT395" s="174"/>
      <x:c r="DU395" s="174"/>
      <x:c r="DV395" s="174"/>
      <x:c r="DW395" s="174"/>
      <x:c r="DX395" s="174"/>
      <x:c r="DY395" s="174"/>
      <x:c r="DZ395" s="174"/>
      <x:c r="EA395" s="174"/>
      <x:c r="EB395" s="175" t="str">
        <x:f>IF(L395="","",IF(AND(F395="Claim-ready",CJ395="Yes",CL395="Yes",DZ395&lt;&gt;""),"Yes","No / Pending"))</x:f>
      </x:c>
      <x:c r="EC395" s="174"/>
      <x:c r="ED395" s="174"/>
      <x:c r="EE395" s="174"/>
      <x:c r="EF395" s="174"/>
      <x:c r="EG395" s="174"/>
      <x:c r="EH395" s="177"/>
      <x:c r="EI395" s="174"/>
      <x:c r="EJ395" s="174"/>
      <x:c r="EK395" s="174"/>
      <x:c r="EL395" s="177"/>
      <x:c r="EM395" s="174"/>
      <x:c r="EN395" s="181" t="str">
        <x:f>IF(L395="","",(IF(N395&lt;&gt;"",1,0)+IF(O395&lt;&gt;"",1,0)+IF(AJ395&lt;&gt;"",1,0)+IF(AU395&lt;&gt;"",1,0)+IF(BE395&lt;&gt;"",1,0)+IF(CF395&lt;&gt;"",1,0)+IF(CJ395="Yes",1,0)+IF(CL395="Yes",1,0)+IF(DE395&lt;&gt;"Pending",1,0)+IF(F395&lt;&gt;"",1,0)+IF(DZ395&lt;&gt;"",1,0)+IF(EI395&lt;&gt;"",1,0))/12)</x:f>
      </x:c>
    </x:row>
    <x:row r="396">
      <x:c r="A396" s="175" t="str">
        <x:f>IF(L396="","","EV-"&amp;TEXT(ROW()-3,"0000"))</x:f>
      </x:c>
      <x:c r="B396" s="174"/>
      <x:c r="C396" s="175" t="str">
        <x:f>IF(L396="","",IF(OR(CM396="Retracted",CN396="Retracted",F396="Not used"),"🔴 Do not use for conclusion",IF(OR(R396="Official / Institutional",I396="Official / contextual"),"🔵 Official / contextual",IF(OR(I396="Definition",I396="Framework",I396="Paradigm shift"),"🟣 Conceptual key source",IF(AND(CJ396="Yes",CL396="Yes",OR(CG396="High",CG396="Moderate"),CH396&lt;&gt;"High",CH396&lt;&gt;"Critical",F396="Claim-ready"),"🟢 Claim-ready","🟡 Caution / context")))))</x:f>
      </x:c>
      <x:c r="D396" s="174"/>
      <x:c r="E396" s="174"/>
      <x:c r="F396" s="174"/>
      <x:c r="G396" s="174"/>
      <x:c r="H396" s="174"/>
      <x:c r="I396" s="174"/>
      <x:c r="J396" s="174"/>
      <x:c r="K396" s="174"/>
      <x:c r="L396" s="174"/>
      <x:c r="M396" s="174"/>
      <x:c r="N396" s="174"/>
      <x:c r="O396" s="176"/>
      <x:c r="P396" s="174"/>
      <x:c r="Q396" s="174"/>
      <x:c r="R396" s="174"/>
      <x:c r="S396" s="174"/>
      <x:c r="T396" s="174"/>
      <x:c r="U396" s="174"/>
      <x:c r="V396" s="174"/>
      <x:c r="W396" s="175" t="str">
        <x:f>IF(V396="","",LOWER(SUBSTITUTE(SUBSTITUTE(SUBSTITUTE(SUBSTITUTE(TRIM(V396),"https://doi.org/",""),"http://doi.org/",""),"https://dx.doi.org/",""),"doi:","")))</x:f>
      </x:c>
      <x:c r="X396" s="174"/>
      <x:c r="Y396" s="174"/>
      <x:c r="Z396" s="174"/>
      <x:c r="AA396" s="174"/>
      <x:c r="AB396" s="174"/>
      <x:c r="AC396" s="174"/>
      <x:c r="AD396" s="177"/>
      <x:c r="AE396" s="177"/>
      <x:c r="AF396" s="174"/>
      <x:c r="AG396" s="174"/>
      <x:c r="AH396" s="174"/>
      <x:c r="AI396" s="174"/>
      <x:c r="AJ396" s="174"/>
      <x:c r="AK396" s="175" t="str">
        <x:f>IF(AJ396="","",IF(OR(LOWER(AJ396)="brazil",LOWER(AJ396)="brasil"),"Yes","No"))</x:f>
      </x:c>
      <x:c r="AL396" s="174"/>
      <x:c r="AM396" s="174"/>
      <x:c r="AN396" s="174"/>
      <x:c r="AO396" s="178"/>
      <x:c r="AP396" s="174"/>
      <x:c r="AQ396" s="174"/>
      <x:c r="AR396" s="174"/>
      <x:c r="AS396" s="174"/>
      <x:c r="AT396" s="174"/>
      <x:c r="AU396" s="174"/>
      <x:c r="AV396" s="174"/>
      <x:c r="AW396" s="174"/>
      <x:c r="AX396" s="174"/>
      <x:c r="AY396" s="174"/>
      <x:c r="AZ396" s="174"/>
      <x:c r="BA396" s="174"/>
      <x:c r="BB396" s="174"/>
      <x:c r="BC396" s="174"/>
      <x:c r="BD396" s="174"/>
      <x:c r="BE396" s="174"/>
      <x:c r="BF396" s="174"/>
      <x:c r="BG396" s="174"/>
      <x:c r="BH396" s="174"/>
      <x:c r="BI396" s="174"/>
      <x:c r="BJ396" s="174"/>
      <x:c r="BK396" s="174"/>
      <x:c r="BL396" s="174"/>
      <x:c r="BM396" s="174"/>
      <x:c r="BN396" s="174"/>
      <x:c r="BO396" s="174"/>
      <x:c r="BP396" s="174"/>
      <x:c r="BQ396" s="174"/>
      <x:c r="BR396" s="174"/>
      <x:c r="BS396" s="174"/>
      <x:c r="BT396" s="174"/>
      <x:c r="BU396" s="174"/>
      <x:c r="BV396" s="174"/>
      <x:c r="BW396" s="174"/>
      <x:c r="BX396" s="174"/>
      <x:c r="BY396" s="174"/>
      <x:c r="BZ396" s="174"/>
      <x:c r="CA396" s="174"/>
      <x:c r="CB396" s="174"/>
      <x:c r="CC396" s="174"/>
      <x:c r="CD396" s="174"/>
      <x:c r="CE396" s="174"/>
      <x:c r="CF396" s="174"/>
      <x:c r="CG396" s="174"/>
      <x:c r="CH396" s="174"/>
      <x:c r="CI396" s="179"/>
      <x:c r="CJ396" s="174"/>
      <x:c r="CK396" s="174"/>
      <x:c r="CL396" s="174"/>
      <x:c r="CM396" s="174"/>
      <x:c r="CN396" s="174"/>
      <x:c r="CO396" s="177"/>
      <x:c r="CP396" s="174"/>
      <x:c r="CQ396" s="174"/>
      <x:c r="CR396" s="174"/>
      <x:c r="CS396" s="174"/>
      <x:c r="CT396" s="174"/>
      <x:c r="CU396" s="176"/>
      <x:c r="CV396" s="176"/>
      <x:c r="CW396" s="176"/>
      <x:c r="CX396" s="176"/>
      <x:c r="CY396" s="176"/>
      <x:c r="CZ396" s="176"/>
      <x:c r="DA396" s="176"/>
      <x:c r="DB396" s="175" t="str">
        <x:f>IF(L396="","",IF(COUNT(CU396:DA396)&lt;7,"",SUM(CU396:DA396)))</x:f>
      </x:c>
      <x:c r="DC396" s="180" t="str">
        <x:f>IF(DB396="","",ROUND(DB396/14*10,1))</x:f>
      </x:c>
      <x:c r="DD396" s="174"/>
      <x:c r="DE396" s="175" t="str">
        <x:f>IF(L396="","",IF(DC396="","Pending",IF(DD396="Yes","CONDITIONAL — safety override",IF(DC396&gt;=8,"HIGH",IF(DC396&gt;=5,"CONDITIONAL","LOW")))))</x:f>
      </x:c>
      <x:c r="DF396" s="174"/>
      <x:c r="DG396" s="174"/>
      <x:c r="DH396" s="174"/>
      <x:c r="DI396" s="174"/>
      <x:c r="DJ396" s="174"/>
      <x:c r="DK396" s="174"/>
      <x:c r="DL396" s="174"/>
      <x:c r="DM396" s="174"/>
      <x:c r="DN396" s="174"/>
      <x:c r="DO396" s="174"/>
      <x:c r="DP396" s="174"/>
      <x:c r="DQ396" s="174"/>
      <x:c r="DR396" s="174"/>
      <x:c r="DS396" s="174"/>
      <x:c r="DT396" s="174"/>
      <x:c r="DU396" s="174"/>
      <x:c r="DV396" s="174"/>
      <x:c r="DW396" s="174"/>
      <x:c r="DX396" s="174"/>
      <x:c r="DY396" s="174"/>
      <x:c r="DZ396" s="174"/>
      <x:c r="EA396" s="174"/>
      <x:c r="EB396" s="175" t="str">
        <x:f>IF(L396="","",IF(AND(F396="Claim-ready",CJ396="Yes",CL396="Yes",DZ396&lt;&gt;""),"Yes","No / Pending"))</x:f>
      </x:c>
      <x:c r="EC396" s="174"/>
      <x:c r="ED396" s="174"/>
      <x:c r="EE396" s="174"/>
      <x:c r="EF396" s="174"/>
      <x:c r="EG396" s="174"/>
      <x:c r="EH396" s="177"/>
      <x:c r="EI396" s="174"/>
      <x:c r="EJ396" s="174"/>
      <x:c r="EK396" s="174"/>
      <x:c r="EL396" s="177"/>
      <x:c r="EM396" s="174"/>
      <x:c r="EN396" s="181" t="str">
        <x:f>IF(L396="","",(IF(N396&lt;&gt;"",1,0)+IF(O396&lt;&gt;"",1,0)+IF(AJ396&lt;&gt;"",1,0)+IF(AU396&lt;&gt;"",1,0)+IF(BE396&lt;&gt;"",1,0)+IF(CF396&lt;&gt;"",1,0)+IF(CJ396="Yes",1,0)+IF(CL396="Yes",1,0)+IF(DE396&lt;&gt;"Pending",1,0)+IF(F396&lt;&gt;"",1,0)+IF(DZ396&lt;&gt;"",1,0)+IF(EI396&lt;&gt;"",1,0))/12)</x:f>
      </x:c>
    </x:row>
    <x:row r="397">
      <x:c r="A397" s="175" t="str">
        <x:f>IF(L397="","","EV-"&amp;TEXT(ROW()-3,"0000"))</x:f>
      </x:c>
      <x:c r="B397" s="174"/>
      <x:c r="C397" s="175" t="str">
        <x:f>IF(L397="","",IF(OR(CM397="Retracted",CN397="Retracted",F397="Not used"),"🔴 Do not use for conclusion",IF(OR(R397="Official / Institutional",I397="Official / contextual"),"🔵 Official / contextual",IF(OR(I397="Definition",I397="Framework",I397="Paradigm shift"),"🟣 Conceptual key source",IF(AND(CJ397="Yes",CL397="Yes",OR(CG397="High",CG397="Moderate"),CH397&lt;&gt;"High",CH397&lt;&gt;"Critical",F397="Claim-ready"),"🟢 Claim-ready","🟡 Caution / context")))))</x:f>
      </x:c>
      <x:c r="D397" s="174"/>
      <x:c r="E397" s="174"/>
      <x:c r="F397" s="174"/>
      <x:c r="G397" s="174"/>
      <x:c r="H397" s="174"/>
      <x:c r="I397" s="174"/>
      <x:c r="J397" s="174"/>
      <x:c r="K397" s="174"/>
      <x:c r="L397" s="174"/>
      <x:c r="M397" s="174"/>
      <x:c r="N397" s="174"/>
      <x:c r="O397" s="176"/>
      <x:c r="P397" s="174"/>
      <x:c r="Q397" s="174"/>
      <x:c r="R397" s="174"/>
      <x:c r="S397" s="174"/>
      <x:c r="T397" s="174"/>
      <x:c r="U397" s="174"/>
      <x:c r="V397" s="174"/>
      <x:c r="W397" s="175" t="str">
        <x:f>IF(V397="","",LOWER(SUBSTITUTE(SUBSTITUTE(SUBSTITUTE(SUBSTITUTE(TRIM(V397),"https://doi.org/",""),"http://doi.org/",""),"https://dx.doi.org/",""),"doi:","")))</x:f>
      </x:c>
      <x:c r="X397" s="174"/>
      <x:c r="Y397" s="174"/>
      <x:c r="Z397" s="174"/>
      <x:c r="AA397" s="174"/>
      <x:c r="AB397" s="174"/>
      <x:c r="AC397" s="174"/>
      <x:c r="AD397" s="177"/>
      <x:c r="AE397" s="177"/>
      <x:c r="AF397" s="174"/>
      <x:c r="AG397" s="174"/>
      <x:c r="AH397" s="174"/>
      <x:c r="AI397" s="174"/>
      <x:c r="AJ397" s="174"/>
      <x:c r="AK397" s="175" t="str">
        <x:f>IF(AJ397="","",IF(OR(LOWER(AJ397)="brazil",LOWER(AJ397)="brasil"),"Yes","No"))</x:f>
      </x:c>
      <x:c r="AL397" s="174"/>
      <x:c r="AM397" s="174"/>
      <x:c r="AN397" s="174"/>
      <x:c r="AO397" s="178"/>
      <x:c r="AP397" s="174"/>
      <x:c r="AQ397" s="174"/>
      <x:c r="AR397" s="174"/>
      <x:c r="AS397" s="174"/>
      <x:c r="AT397" s="174"/>
      <x:c r="AU397" s="174"/>
      <x:c r="AV397" s="174"/>
      <x:c r="AW397" s="174"/>
      <x:c r="AX397" s="174"/>
      <x:c r="AY397" s="174"/>
      <x:c r="AZ397" s="174"/>
      <x:c r="BA397" s="174"/>
      <x:c r="BB397" s="174"/>
      <x:c r="BC397" s="174"/>
      <x:c r="BD397" s="174"/>
      <x:c r="BE397" s="174"/>
      <x:c r="BF397" s="174"/>
      <x:c r="BG397" s="174"/>
      <x:c r="BH397" s="174"/>
      <x:c r="BI397" s="174"/>
      <x:c r="BJ397" s="174"/>
      <x:c r="BK397" s="174"/>
      <x:c r="BL397" s="174"/>
      <x:c r="BM397" s="174"/>
      <x:c r="BN397" s="174"/>
      <x:c r="BO397" s="174"/>
      <x:c r="BP397" s="174"/>
      <x:c r="BQ397" s="174"/>
      <x:c r="BR397" s="174"/>
      <x:c r="BS397" s="174"/>
      <x:c r="BT397" s="174"/>
      <x:c r="BU397" s="174"/>
      <x:c r="BV397" s="174"/>
      <x:c r="BW397" s="174"/>
      <x:c r="BX397" s="174"/>
      <x:c r="BY397" s="174"/>
      <x:c r="BZ397" s="174"/>
      <x:c r="CA397" s="174"/>
      <x:c r="CB397" s="174"/>
      <x:c r="CC397" s="174"/>
      <x:c r="CD397" s="174"/>
      <x:c r="CE397" s="174"/>
      <x:c r="CF397" s="174"/>
      <x:c r="CG397" s="174"/>
      <x:c r="CH397" s="174"/>
      <x:c r="CI397" s="179"/>
      <x:c r="CJ397" s="174"/>
      <x:c r="CK397" s="174"/>
      <x:c r="CL397" s="174"/>
      <x:c r="CM397" s="174"/>
      <x:c r="CN397" s="174"/>
      <x:c r="CO397" s="177"/>
      <x:c r="CP397" s="174"/>
      <x:c r="CQ397" s="174"/>
      <x:c r="CR397" s="174"/>
      <x:c r="CS397" s="174"/>
      <x:c r="CT397" s="174"/>
      <x:c r="CU397" s="176"/>
      <x:c r="CV397" s="176"/>
      <x:c r="CW397" s="176"/>
      <x:c r="CX397" s="176"/>
      <x:c r="CY397" s="176"/>
      <x:c r="CZ397" s="176"/>
      <x:c r="DA397" s="176"/>
      <x:c r="DB397" s="175" t="str">
        <x:f>IF(L397="","",IF(COUNT(CU397:DA397)&lt;7,"",SUM(CU397:DA397)))</x:f>
      </x:c>
      <x:c r="DC397" s="180" t="str">
        <x:f>IF(DB397="","",ROUND(DB397/14*10,1))</x:f>
      </x:c>
      <x:c r="DD397" s="174"/>
      <x:c r="DE397" s="175" t="str">
        <x:f>IF(L397="","",IF(DC397="","Pending",IF(DD397="Yes","CONDITIONAL — safety override",IF(DC397&gt;=8,"HIGH",IF(DC397&gt;=5,"CONDITIONAL","LOW")))))</x:f>
      </x:c>
      <x:c r="DF397" s="174"/>
      <x:c r="DG397" s="174"/>
      <x:c r="DH397" s="174"/>
      <x:c r="DI397" s="174"/>
      <x:c r="DJ397" s="174"/>
      <x:c r="DK397" s="174"/>
      <x:c r="DL397" s="174"/>
      <x:c r="DM397" s="174"/>
      <x:c r="DN397" s="174"/>
      <x:c r="DO397" s="174"/>
      <x:c r="DP397" s="174"/>
      <x:c r="DQ397" s="174"/>
      <x:c r="DR397" s="174"/>
      <x:c r="DS397" s="174"/>
      <x:c r="DT397" s="174"/>
      <x:c r="DU397" s="174"/>
      <x:c r="DV397" s="174"/>
      <x:c r="DW397" s="174"/>
      <x:c r="DX397" s="174"/>
      <x:c r="DY397" s="174"/>
      <x:c r="DZ397" s="174"/>
      <x:c r="EA397" s="174"/>
      <x:c r="EB397" s="175" t="str">
        <x:f>IF(L397="","",IF(AND(F397="Claim-ready",CJ397="Yes",CL397="Yes",DZ397&lt;&gt;""),"Yes","No / Pending"))</x:f>
      </x:c>
      <x:c r="EC397" s="174"/>
      <x:c r="ED397" s="174"/>
      <x:c r="EE397" s="174"/>
      <x:c r="EF397" s="174"/>
      <x:c r="EG397" s="174"/>
      <x:c r="EH397" s="177"/>
      <x:c r="EI397" s="174"/>
      <x:c r="EJ397" s="174"/>
      <x:c r="EK397" s="174"/>
      <x:c r="EL397" s="177"/>
      <x:c r="EM397" s="174"/>
      <x:c r="EN397" s="181" t="str">
        <x:f>IF(L397="","",(IF(N397&lt;&gt;"",1,0)+IF(O397&lt;&gt;"",1,0)+IF(AJ397&lt;&gt;"",1,0)+IF(AU397&lt;&gt;"",1,0)+IF(BE397&lt;&gt;"",1,0)+IF(CF397&lt;&gt;"",1,0)+IF(CJ397="Yes",1,0)+IF(CL397="Yes",1,0)+IF(DE397&lt;&gt;"Pending",1,0)+IF(F397&lt;&gt;"",1,0)+IF(DZ397&lt;&gt;"",1,0)+IF(EI397&lt;&gt;"",1,0))/12)</x:f>
      </x:c>
    </x:row>
    <x:row r="398">
      <x:c r="A398" s="175" t="str">
        <x:f>IF(L398="","","EV-"&amp;TEXT(ROW()-3,"0000"))</x:f>
      </x:c>
      <x:c r="B398" s="174"/>
      <x:c r="C398" s="175" t="str">
        <x:f>IF(L398="","",IF(OR(CM398="Retracted",CN398="Retracted",F398="Not used"),"🔴 Do not use for conclusion",IF(OR(R398="Official / Institutional",I398="Official / contextual"),"🔵 Official / contextual",IF(OR(I398="Definition",I398="Framework",I398="Paradigm shift"),"🟣 Conceptual key source",IF(AND(CJ398="Yes",CL398="Yes",OR(CG398="High",CG398="Moderate"),CH398&lt;&gt;"High",CH398&lt;&gt;"Critical",F398="Claim-ready"),"🟢 Claim-ready","🟡 Caution / context")))))</x:f>
      </x:c>
      <x:c r="D398" s="174"/>
      <x:c r="E398" s="174"/>
      <x:c r="F398" s="174"/>
      <x:c r="G398" s="174"/>
      <x:c r="H398" s="174"/>
      <x:c r="I398" s="174"/>
      <x:c r="J398" s="174"/>
      <x:c r="K398" s="174"/>
      <x:c r="L398" s="174"/>
      <x:c r="M398" s="174"/>
      <x:c r="N398" s="174"/>
      <x:c r="O398" s="176"/>
      <x:c r="P398" s="174"/>
      <x:c r="Q398" s="174"/>
      <x:c r="R398" s="174"/>
      <x:c r="S398" s="174"/>
      <x:c r="T398" s="174"/>
      <x:c r="U398" s="174"/>
      <x:c r="V398" s="174"/>
      <x:c r="W398" s="175" t="str">
        <x:f>IF(V398="","",LOWER(SUBSTITUTE(SUBSTITUTE(SUBSTITUTE(SUBSTITUTE(TRIM(V398),"https://doi.org/",""),"http://doi.org/",""),"https://dx.doi.org/",""),"doi:","")))</x:f>
      </x:c>
      <x:c r="X398" s="174"/>
      <x:c r="Y398" s="174"/>
      <x:c r="Z398" s="174"/>
      <x:c r="AA398" s="174"/>
      <x:c r="AB398" s="174"/>
      <x:c r="AC398" s="174"/>
      <x:c r="AD398" s="177"/>
      <x:c r="AE398" s="177"/>
      <x:c r="AF398" s="174"/>
      <x:c r="AG398" s="174"/>
      <x:c r="AH398" s="174"/>
      <x:c r="AI398" s="174"/>
      <x:c r="AJ398" s="174"/>
      <x:c r="AK398" s="175" t="str">
        <x:f>IF(AJ398="","",IF(OR(LOWER(AJ398)="brazil",LOWER(AJ398)="brasil"),"Yes","No"))</x:f>
      </x:c>
      <x:c r="AL398" s="174"/>
      <x:c r="AM398" s="174"/>
      <x:c r="AN398" s="174"/>
      <x:c r="AO398" s="178"/>
      <x:c r="AP398" s="174"/>
      <x:c r="AQ398" s="174"/>
      <x:c r="AR398" s="174"/>
      <x:c r="AS398" s="174"/>
      <x:c r="AT398" s="174"/>
      <x:c r="AU398" s="174"/>
      <x:c r="AV398" s="174"/>
      <x:c r="AW398" s="174"/>
      <x:c r="AX398" s="174"/>
      <x:c r="AY398" s="174"/>
      <x:c r="AZ398" s="174"/>
      <x:c r="BA398" s="174"/>
      <x:c r="BB398" s="174"/>
      <x:c r="BC398" s="174"/>
      <x:c r="BD398" s="174"/>
      <x:c r="BE398" s="174"/>
      <x:c r="BF398" s="174"/>
      <x:c r="BG398" s="174"/>
      <x:c r="BH398" s="174"/>
      <x:c r="BI398" s="174"/>
      <x:c r="BJ398" s="174"/>
      <x:c r="BK398" s="174"/>
      <x:c r="BL398" s="174"/>
      <x:c r="BM398" s="174"/>
      <x:c r="BN398" s="174"/>
      <x:c r="BO398" s="174"/>
      <x:c r="BP398" s="174"/>
      <x:c r="BQ398" s="174"/>
      <x:c r="BR398" s="174"/>
      <x:c r="BS398" s="174"/>
      <x:c r="BT398" s="174"/>
      <x:c r="BU398" s="174"/>
      <x:c r="BV398" s="174"/>
      <x:c r="BW398" s="174"/>
      <x:c r="BX398" s="174"/>
      <x:c r="BY398" s="174"/>
      <x:c r="BZ398" s="174"/>
      <x:c r="CA398" s="174"/>
      <x:c r="CB398" s="174"/>
      <x:c r="CC398" s="174"/>
      <x:c r="CD398" s="174"/>
      <x:c r="CE398" s="174"/>
      <x:c r="CF398" s="174"/>
      <x:c r="CG398" s="174"/>
      <x:c r="CH398" s="174"/>
      <x:c r="CI398" s="179"/>
      <x:c r="CJ398" s="174"/>
      <x:c r="CK398" s="174"/>
      <x:c r="CL398" s="174"/>
      <x:c r="CM398" s="174"/>
      <x:c r="CN398" s="174"/>
      <x:c r="CO398" s="177"/>
      <x:c r="CP398" s="174"/>
      <x:c r="CQ398" s="174"/>
      <x:c r="CR398" s="174"/>
      <x:c r="CS398" s="174"/>
      <x:c r="CT398" s="174"/>
      <x:c r="CU398" s="176"/>
      <x:c r="CV398" s="176"/>
      <x:c r="CW398" s="176"/>
      <x:c r="CX398" s="176"/>
      <x:c r="CY398" s="176"/>
      <x:c r="CZ398" s="176"/>
      <x:c r="DA398" s="176"/>
      <x:c r="DB398" s="175" t="str">
        <x:f>IF(L398="","",IF(COUNT(CU398:DA398)&lt;7,"",SUM(CU398:DA398)))</x:f>
      </x:c>
      <x:c r="DC398" s="180" t="str">
        <x:f>IF(DB398="","",ROUND(DB398/14*10,1))</x:f>
      </x:c>
      <x:c r="DD398" s="174"/>
      <x:c r="DE398" s="175" t="str">
        <x:f>IF(L398="","",IF(DC398="","Pending",IF(DD398="Yes","CONDITIONAL — safety override",IF(DC398&gt;=8,"HIGH",IF(DC398&gt;=5,"CONDITIONAL","LOW")))))</x:f>
      </x:c>
      <x:c r="DF398" s="174"/>
      <x:c r="DG398" s="174"/>
      <x:c r="DH398" s="174"/>
      <x:c r="DI398" s="174"/>
      <x:c r="DJ398" s="174"/>
      <x:c r="DK398" s="174"/>
      <x:c r="DL398" s="174"/>
      <x:c r="DM398" s="174"/>
      <x:c r="DN398" s="174"/>
      <x:c r="DO398" s="174"/>
      <x:c r="DP398" s="174"/>
      <x:c r="DQ398" s="174"/>
      <x:c r="DR398" s="174"/>
      <x:c r="DS398" s="174"/>
      <x:c r="DT398" s="174"/>
      <x:c r="DU398" s="174"/>
      <x:c r="DV398" s="174"/>
      <x:c r="DW398" s="174"/>
      <x:c r="DX398" s="174"/>
      <x:c r="DY398" s="174"/>
      <x:c r="DZ398" s="174"/>
      <x:c r="EA398" s="174"/>
      <x:c r="EB398" s="175" t="str">
        <x:f>IF(L398="","",IF(AND(F398="Claim-ready",CJ398="Yes",CL398="Yes",DZ398&lt;&gt;""),"Yes","No / Pending"))</x:f>
      </x:c>
      <x:c r="EC398" s="174"/>
      <x:c r="ED398" s="174"/>
      <x:c r="EE398" s="174"/>
      <x:c r="EF398" s="174"/>
      <x:c r="EG398" s="174"/>
      <x:c r="EH398" s="177"/>
      <x:c r="EI398" s="174"/>
      <x:c r="EJ398" s="174"/>
      <x:c r="EK398" s="174"/>
      <x:c r="EL398" s="177"/>
      <x:c r="EM398" s="174"/>
      <x:c r="EN398" s="181" t="str">
        <x:f>IF(L398="","",(IF(N398&lt;&gt;"",1,0)+IF(O398&lt;&gt;"",1,0)+IF(AJ398&lt;&gt;"",1,0)+IF(AU398&lt;&gt;"",1,0)+IF(BE398&lt;&gt;"",1,0)+IF(CF398&lt;&gt;"",1,0)+IF(CJ398="Yes",1,0)+IF(CL398="Yes",1,0)+IF(DE398&lt;&gt;"Pending",1,0)+IF(F398&lt;&gt;"",1,0)+IF(DZ398&lt;&gt;"",1,0)+IF(EI398&lt;&gt;"",1,0))/12)</x:f>
      </x:c>
    </x:row>
    <x:row r="399">
      <x:c r="A399" s="175" t="str">
        <x:f>IF(L399="","","EV-"&amp;TEXT(ROW()-3,"0000"))</x:f>
      </x:c>
      <x:c r="B399" s="174"/>
      <x:c r="C399" s="175" t="str">
        <x:f>IF(L399="","",IF(OR(CM399="Retracted",CN399="Retracted",F399="Not used"),"🔴 Do not use for conclusion",IF(OR(R399="Official / Institutional",I399="Official / contextual"),"🔵 Official / contextual",IF(OR(I399="Definition",I399="Framework",I399="Paradigm shift"),"🟣 Conceptual key source",IF(AND(CJ399="Yes",CL399="Yes",OR(CG399="High",CG399="Moderate"),CH399&lt;&gt;"High",CH399&lt;&gt;"Critical",F399="Claim-ready"),"🟢 Claim-ready","🟡 Caution / context")))))</x:f>
      </x:c>
      <x:c r="D399" s="174"/>
      <x:c r="E399" s="174"/>
      <x:c r="F399" s="174"/>
      <x:c r="G399" s="174"/>
      <x:c r="H399" s="174"/>
      <x:c r="I399" s="174"/>
      <x:c r="J399" s="174"/>
      <x:c r="K399" s="174"/>
      <x:c r="L399" s="174"/>
      <x:c r="M399" s="174"/>
      <x:c r="N399" s="174"/>
      <x:c r="O399" s="176"/>
      <x:c r="P399" s="174"/>
      <x:c r="Q399" s="174"/>
      <x:c r="R399" s="174"/>
      <x:c r="S399" s="174"/>
      <x:c r="T399" s="174"/>
      <x:c r="U399" s="174"/>
      <x:c r="V399" s="174"/>
      <x:c r="W399" s="175" t="str">
        <x:f>IF(V399="","",LOWER(SUBSTITUTE(SUBSTITUTE(SUBSTITUTE(SUBSTITUTE(TRIM(V399),"https://doi.org/",""),"http://doi.org/",""),"https://dx.doi.org/",""),"doi:","")))</x:f>
      </x:c>
      <x:c r="X399" s="174"/>
      <x:c r="Y399" s="174"/>
      <x:c r="Z399" s="174"/>
      <x:c r="AA399" s="174"/>
      <x:c r="AB399" s="174"/>
      <x:c r="AC399" s="174"/>
      <x:c r="AD399" s="177"/>
      <x:c r="AE399" s="177"/>
      <x:c r="AF399" s="174"/>
      <x:c r="AG399" s="174"/>
      <x:c r="AH399" s="174"/>
      <x:c r="AI399" s="174"/>
      <x:c r="AJ399" s="174"/>
      <x:c r="AK399" s="175" t="str">
        <x:f>IF(AJ399="","",IF(OR(LOWER(AJ399)="brazil",LOWER(AJ399)="brasil"),"Yes","No"))</x:f>
      </x:c>
      <x:c r="AL399" s="174"/>
      <x:c r="AM399" s="174"/>
      <x:c r="AN399" s="174"/>
      <x:c r="AO399" s="178"/>
      <x:c r="AP399" s="174"/>
      <x:c r="AQ399" s="174"/>
      <x:c r="AR399" s="174"/>
      <x:c r="AS399" s="174"/>
      <x:c r="AT399" s="174"/>
      <x:c r="AU399" s="174"/>
      <x:c r="AV399" s="174"/>
      <x:c r="AW399" s="174"/>
      <x:c r="AX399" s="174"/>
      <x:c r="AY399" s="174"/>
      <x:c r="AZ399" s="174"/>
      <x:c r="BA399" s="174"/>
      <x:c r="BB399" s="174"/>
      <x:c r="BC399" s="174"/>
      <x:c r="BD399" s="174"/>
      <x:c r="BE399" s="174"/>
      <x:c r="BF399" s="174"/>
      <x:c r="BG399" s="174"/>
      <x:c r="BH399" s="174"/>
      <x:c r="BI399" s="174"/>
      <x:c r="BJ399" s="174"/>
      <x:c r="BK399" s="174"/>
      <x:c r="BL399" s="174"/>
      <x:c r="BM399" s="174"/>
      <x:c r="BN399" s="174"/>
      <x:c r="BO399" s="174"/>
      <x:c r="BP399" s="174"/>
      <x:c r="BQ399" s="174"/>
      <x:c r="BR399" s="174"/>
      <x:c r="BS399" s="174"/>
      <x:c r="BT399" s="174"/>
      <x:c r="BU399" s="174"/>
      <x:c r="BV399" s="174"/>
      <x:c r="BW399" s="174"/>
      <x:c r="BX399" s="174"/>
      <x:c r="BY399" s="174"/>
      <x:c r="BZ399" s="174"/>
      <x:c r="CA399" s="174"/>
      <x:c r="CB399" s="174"/>
      <x:c r="CC399" s="174"/>
      <x:c r="CD399" s="174"/>
      <x:c r="CE399" s="174"/>
      <x:c r="CF399" s="174"/>
      <x:c r="CG399" s="174"/>
      <x:c r="CH399" s="174"/>
      <x:c r="CI399" s="179"/>
      <x:c r="CJ399" s="174"/>
      <x:c r="CK399" s="174"/>
      <x:c r="CL399" s="174"/>
      <x:c r="CM399" s="174"/>
      <x:c r="CN399" s="174"/>
      <x:c r="CO399" s="177"/>
      <x:c r="CP399" s="174"/>
      <x:c r="CQ399" s="174"/>
      <x:c r="CR399" s="174"/>
      <x:c r="CS399" s="174"/>
      <x:c r="CT399" s="174"/>
      <x:c r="CU399" s="176"/>
      <x:c r="CV399" s="176"/>
      <x:c r="CW399" s="176"/>
      <x:c r="CX399" s="176"/>
      <x:c r="CY399" s="176"/>
      <x:c r="CZ399" s="176"/>
      <x:c r="DA399" s="176"/>
      <x:c r="DB399" s="175" t="str">
        <x:f>IF(L399="","",IF(COUNT(CU399:DA399)&lt;7,"",SUM(CU399:DA399)))</x:f>
      </x:c>
      <x:c r="DC399" s="180" t="str">
        <x:f>IF(DB399="","",ROUND(DB399/14*10,1))</x:f>
      </x:c>
      <x:c r="DD399" s="174"/>
      <x:c r="DE399" s="175" t="str">
        <x:f>IF(L399="","",IF(DC399="","Pending",IF(DD399="Yes","CONDITIONAL — safety override",IF(DC399&gt;=8,"HIGH",IF(DC399&gt;=5,"CONDITIONAL","LOW")))))</x:f>
      </x:c>
      <x:c r="DF399" s="174"/>
      <x:c r="DG399" s="174"/>
      <x:c r="DH399" s="174"/>
      <x:c r="DI399" s="174"/>
      <x:c r="DJ399" s="174"/>
      <x:c r="DK399" s="174"/>
      <x:c r="DL399" s="174"/>
      <x:c r="DM399" s="174"/>
      <x:c r="DN399" s="174"/>
      <x:c r="DO399" s="174"/>
      <x:c r="DP399" s="174"/>
      <x:c r="DQ399" s="174"/>
      <x:c r="DR399" s="174"/>
      <x:c r="DS399" s="174"/>
      <x:c r="DT399" s="174"/>
      <x:c r="DU399" s="174"/>
      <x:c r="DV399" s="174"/>
      <x:c r="DW399" s="174"/>
      <x:c r="DX399" s="174"/>
      <x:c r="DY399" s="174"/>
      <x:c r="DZ399" s="174"/>
      <x:c r="EA399" s="174"/>
      <x:c r="EB399" s="175" t="str">
        <x:f>IF(L399="","",IF(AND(F399="Claim-ready",CJ399="Yes",CL399="Yes",DZ399&lt;&gt;""),"Yes","No / Pending"))</x:f>
      </x:c>
      <x:c r="EC399" s="174"/>
      <x:c r="ED399" s="174"/>
      <x:c r="EE399" s="174"/>
      <x:c r="EF399" s="174"/>
      <x:c r="EG399" s="174"/>
      <x:c r="EH399" s="177"/>
      <x:c r="EI399" s="174"/>
      <x:c r="EJ399" s="174"/>
      <x:c r="EK399" s="174"/>
      <x:c r="EL399" s="177"/>
      <x:c r="EM399" s="174"/>
      <x:c r="EN399" s="181" t="str">
        <x:f>IF(L399="","",(IF(N399&lt;&gt;"",1,0)+IF(O399&lt;&gt;"",1,0)+IF(AJ399&lt;&gt;"",1,0)+IF(AU399&lt;&gt;"",1,0)+IF(BE399&lt;&gt;"",1,0)+IF(CF399&lt;&gt;"",1,0)+IF(CJ399="Yes",1,0)+IF(CL399="Yes",1,0)+IF(DE399&lt;&gt;"Pending",1,0)+IF(F399&lt;&gt;"",1,0)+IF(DZ399&lt;&gt;"",1,0)+IF(EI399&lt;&gt;"",1,0))/12)</x:f>
      </x:c>
    </x:row>
    <x:row r="400">
      <x:c r="A400" s="175" t="str">
        <x:f>IF(L400="","","EV-"&amp;TEXT(ROW()-3,"0000"))</x:f>
      </x:c>
      <x:c r="B400" s="174"/>
      <x:c r="C400" s="175" t="str">
        <x:f>IF(L400="","",IF(OR(CM400="Retracted",CN400="Retracted",F400="Not used"),"🔴 Do not use for conclusion",IF(OR(R400="Official / Institutional",I400="Official / contextual"),"🔵 Official / contextual",IF(OR(I400="Definition",I400="Framework",I400="Paradigm shift"),"🟣 Conceptual key source",IF(AND(CJ400="Yes",CL400="Yes",OR(CG400="High",CG400="Moderate"),CH400&lt;&gt;"High",CH400&lt;&gt;"Critical",F400="Claim-ready"),"🟢 Claim-ready","🟡 Caution / context")))))</x:f>
      </x:c>
      <x:c r="D400" s="174"/>
      <x:c r="E400" s="174"/>
      <x:c r="F400" s="174"/>
      <x:c r="G400" s="174"/>
      <x:c r="H400" s="174"/>
      <x:c r="I400" s="174"/>
      <x:c r="J400" s="174"/>
      <x:c r="K400" s="174"/>
      <x:c r="L400" s="174"/>
      <x:c r="M400" s="174"/>
      <x:c r="N400" s="174"/>
      <x:c r="O400" s="176"/>
      <x:c r="P400" s="174"/>
      <x:c r="Q400" s="174"/>
      <x:c r="R400" s="174"/>
      <x:c r="S400" s="174"/>
      <x:c r="T400" s="174"/>
      <x:c r="U400" s="174"/>
      <x:c r="V400" s="174"/>
      <x:c r="W400" s="175" t="str">
        <x:f>IF(V400="","",LOWER(SUBSTITUTE(SUBSTITUTE(SUBSTITUTE(SUBSTITUTE(TRIM(V400),"https://doi.org/",""),"http://doi.org/",""),"https://dx.doi.org/",""),"doi:","")))</x:f>
      </x:c>
      <x:c r="X400" s="174"/>
      <x:c r="Y400" s="174"/>
      <x:c r="Z400" s="174"/>
      <x:c r="AA400" s="174"/>
      <x:c r="AB400" s="174"/>
      <x:c r="AC400" s="174"/>
      <x:c r="AD400" s="177"/>
      <x:c r="AE400" s="177"/>
      <x:c r="AF400" s="174"/>
      <x:c r="AG400" s="174"/>
      <x:c r="AH400" s="174"/>
      <x:c r="AI400" s="174"/>
      <x:c r="AJ400" s="174"/>
      <x:c r="AK400" s="175" t="str">
        <x:f>IF(AJ400="","",IF(OR(LOWER(AJ400)="brazil",LOWER(AJ400)="brasil"),"Yes","No"))</x:f>
      </x:c>
      <x:c r="AL400" s="174"/>
      <x:c r="AM400" s="174"/>
      <x:c r="AN400" s="174"/>
      <x:c r="AO400" s="178"/>
      <x:c r="AP400" s="174"/>
      <x:c r="AQ400" s="174"/>
      <x:c r="AR400" s="174"/>
      <x:c r="AS400" s="174"/>
      <x:c r="AT400" s="174"/>
      <x:c r="AU400" s="174"/>
      <x:c r="AV400" s="174"/>
      <x:c r="AW400" s="174"/>
      <x:c r="AX400" s="174"/>
      <x:c r="AY400" s="174"/>
      <x:c r="AZ400" s="174"/>
      <x:c r="BA400" s="174"/>
      <x:c r="BB400" s="174"/>
      <x:c r="BC400" s="174"/>
      <x:c r="BD400" s="174"/>
      <x:c r="BE400" s="174"/>
      <x:c r="BF400" s="174"/>
      <x:c r="BG400" s="174"/>
      <x:c r="BH400" s="174"/>
      <x:c r="BI400" s="174"/>
      <x:c r="BJ400" s="174"/>
      <x:c r="BK400" s="174"/>
      <x:c r="BL400" s="174"/>
      <x:c r="BM400" s="174"/>
      <x:c r="BN400" s="174"/>
      <x:c r="BO400" s="174"/>
      <x:c r="BP400" s="174"/>
      <x:c r="BQ400" s="174"/>
      <x:c r="BR400" s="174"/>
      <x:c r="BS400" s="174"/>
      <x:c r="BT400" s="174"/>
      <x:c r="BU400" s="174"/>
      <x:c r="BV400" s="174"/>
      <x:c r="BW400" s="174"/>
      <x:c r="BX400" s="174"/>
      <x:c r="BY400" s="174"/>
      <x:c r="BZ400" s="174"/>
      <x:c r="CA400" s="174"/>
      <x:c r="CB400" s="174"/>
      <x:c r="CC400" s="174"/>
      <x:c r="CD400" s="174"/>
      <x:c r="CE400" s="174"/>
      <x:c r="CF400" s="174"/>
      <x:c r="CG400" s="174"/>
      <x:c r="CH400" s="174"/>
      <x:c r="CI400" s="179"/>
      <x:c r="CJ400" s="174"/>
      <x:c r="CK400" s="174"/>
      <x:c r="CL400" s="174"/>
      <x:c r="CM400" s="174"/>
      <x:c r="CN400" s="174"/>
      <x:c r="CO400" s="177"/>
      <x:c r="CP400" s="174"/>
      <x:c r="CQ400" s="174"/>
      <x:c r="CR400" s="174"/>
      <x:c r="CS400" s="174"/>
      <x:c r="CT400" s="174"/>
      <x:c r="CU400" s="176"/>
      <x:c r="CV400" s="176"/>
      <x:c r="CW400" s="176"/>
      <x:c r="CX400" s="176"/>
      <x:c r="CY400" s="176"/>
      <x:c r="CZ400" s="176"/>
      <x:c r="DA400" s="176"/>
      <x:c r="DB400" s="175" t="str">
        <x:f>IF(L400="","",IF(COUNT(CU400:DA400)&lt;7,"",SUM(CU400:DA400)))</x:f>
      </x:c>
      <x:c r="DC400" s="180" t="str">
        <x:f>IF(DB400="","",ROUND(DB400/14*10,1))</x:f>
      </x:c>
      <x:c r="DD400" s="174"/>
      <x:c r="DE400" s="175" t="str">
        <x:f>IF(L400="","",IF(DC400="","Pending",IF(DD400="Yes","CONDITIONAL — safety override",IF(DC400&gt;=8,"HIGH",IF(DC400&gt;=5,"CONDITIONAL","LOW")))))</x:f>
      </x:c>
      <x:c r="DF400" s="174"/>
      <x:c r="DG400" s="174"/>
      <x:c r="DH400" s="174"/>
      <x:c r="DI400" s="174"/>
      <x:c r="DJ400" s="174"/>
      <x:c r="DK400" s="174"/>
      <x:c r="DL400" s="174"/>
      <x:c r="DM400" s="174"/>
      <x:c r="DN400" s="174"/>
      <x:c r="DO400" s="174"/>
      <x:c r="DP400" s="174"/>
      <x:c r="DQ400" s="174"/>
      <x:c r="DR400" s="174"/>
      <x:c r="DS400" s="174"/>
      <x:c r="DT400" s="174"/>
      <x:c r="DU400" s="174"/>
      <x:c r="DV400" s="174"/>
      <x:c r="DW400" s="174"/>
      <x:c r="DX400" s="174"/>
      <x:c r="DY400" s="174"/>
      <x:c r="DZ400" s="174"/>
      <x:c r="EA400" s="174"/>
      <x:c r="EB400" s="175" t="str">
        <x:f>IF(L400="","",IF(AND(F400="Claim-ready",CJ400="Yes",CL400="Yes",DZ400&lt;&gt;""),"Yes","No / Pending"))</x:f>
      </x:c>
      <x:c r="EC400" s="174"/>
      <x:c r="ED400" s="174"/>
      <x:c r="EE400" s="174"/>
      <x:c r="EF400" s="174"/>
      <x:c r="EG400" s="174"/>
      <x:c r="EH400" s="177"/>
      <x:c r="EI400" s="174"/>
      <x:c r="EJ400" s="174"/>
      <x:c r="EK400" s="174"/>
      <x:c r="EL400" s="177"/>
      <x:c r="EM400" s="174"/>
      <x:c r="EN400" s="181" t="str">
        <x:f>IF(L400="","",(IF(N400&lt;&gt;"",1,0)+IF(O400&lt;&gt;"",1,0)+IF(AJ400&lt;&gt;"",1,0)+IF(AU400&lt;&gt;"",1,0)+IF(BE400&lt;&gt;"",1,0)+IF(CF400&lt;&gt;"",1,0)+IF(CJ400="Yes",1,0)+IF(CL400="Yes",1,0)+IF(DE400&lt;&gt;"Pending",1,0)+IF(F400&lt;&gt;"",1,0)+IF(DZ400&lt;&gt;"",1,0)+IF(EI400&lt;&gt;"",1,0))/12)</x:f>
      </x:c>
    </x:row>
    <x:row r="401">
      <x:c r="A401" s="175" t="str">
        <x:f>IF(L401="","","EV-"&amp;TEXT(ROW()-3,"0000"))</x:f>
      </x:c>
      <x:c r="B401" s="174"/>
      <x:c r="C401" s="175" t="str">
        <x:f>IF(L401="","",IF(OR(CM401="Retracted",CN401="Retracted",F401="Not used"),"🔴 Do not use for conclusion",IF(OR(R401="Official / Institutional",I401="Official / contextual"),"🔵 Official / contextual",IF(OR(I401="Definition",I401="Framework",I401="Paradigm shift"),"🟣 Conceptual key source",IF(AND(CJ401="Yes",CL401="Yes",OR(CG401="High",CG401="Moderate"),CH401&lt;&gt;"High",CH401&lt;&gt;"Critical",F401="Claim-ready"),"🟢 Claim-ready","🟡 Caution / context")))))</x:f>
      </x:c>
      <x:c r="D401" s="174"/>
      <x:c r="E401" s="174"/>
      <x:c r="F401" s="174"/>
      <x:c r="G401" s="174"/>
      <x:c r="H401" s="174"/>
      <x:c r="I401" s="174"/>
      <x:c r="J401" s="174"/>
      <x:c r="K401" s="174"/>
      <x:c r="L401" s="174"/>
      <x:c r="M401" s="174"/>
      <x:c r="N401" s="174"/>
      <x:c r="O401" s="176"/>
      <x:c r="P401" s="174"/>
      <x:c r="Q401" s="174"/>
      <x:c r="R401" s="174"/>
      <x:c r="S401" s="174"/>
      <x:c r="T401" s="174"/>
      <x:c r="U401" s="174"/>
      <x:c r="V401" s="174"/>
      <x:c r="W401" s="175" t="str">
        <x:f>IF(V401="","",LOWER(SUBSTITUTE(SUBSTITUTE(SUBSTITUTE(SUBSTITUTE(TRIM(V401),"https://doi.org/",""),"http://doi.org/",""),"https://dx.doi.org/",""),"doi:","")))</x:f>
      </x:c>
      <x:c r="X401" s="174"/>
      <x:c r="Y401" s="174"/>
      <x:c r="Z401" s="174"/>
      <x:c r="AA401" s="174"/>
      <x:c r="AB401" s="174"/>
      <x:c r="AC401" s="174"/>
      <x:c r="AD401" s="177"/>
      <x:c r="AE401" s="177"/>
      <x:c r="AF401" s="174"/>
      <x:c r="AG401" s="174"/>
      <x:c r="AH401" s="174"/>
      <x:c r="AI401" s="174"/>
      <x:c r="AJ401" s="174"/>
      <x:c r="AK401" s="175" t="str">
        <x:f>IF(AJ401="","",IF(OR(LOWER(AJ401)="brazil",LOWER(AJ401)="brasil"),"Yes","No"))</x:f>
      </x:c>
      <x:c r="AL401" s="174"/>
      <x:c r="AM401" s="174"/>
      <x:c r="AN401" s="174"/>
      <x:c r="AO401" s="178"/>
      <x:c r="AP401" s="174"/>
      <x:c r="AQ401" s="174"/>
      <x:c r="AR401" s="174"/>
      <x:c r="AS401" s="174"/>
      <x:c r="AT401" s="174"/>
      <x:c r="AU401" s="174"/>
      <x:c r="AV401" s="174"/>
      <x:c r="AW401" s="174"/>
      <x:c r="AX401" s="174"/>
      <x:c r="AY401" s="174"/>
      <x:c r="AZ401" s="174"/>
      <x:c r="BA401" s="174"/>
      <x:c r="BB401" s="174"/>
      <x:c r="BC401" s="174"/>
      <x:c r="BD401" s="174"/>
      <x:c r="BE401" s="174"/>
      <x:c r="BF401" s="174"/>
      <x:c r="BG401" s="174"/>
      <x:c r="BH401" s="174"/>
      <x:c r="BI401" s="174"/>
      <x:c r="BJ401" s="174"/>
      <x:c r="BK401" s="174"/>
      <x:c r="BL401" s="174"/>
      <x:c r="BM401" s="174"/>
      <x:c r="BN401" s="174"/>
      <x:c r="BO401" s="174"/>
      <x:c r="BP401" s="174"/>
      <x:c r="BQ401" s="174"/>
      <x:c r="BR401" s="174"/>
      <x:c r="BS401" s="174"/>
      <x:c r="BT401" s="174"/>
      <x:c r="BU401" s="174"/>
      <x:c r="BV401" s="174"/>
      <x:c r="BW401" s="174"/>
      <x:c r="BX401" s="174"/>
      <x:c r="BY401" s="174"/>
      <x:c r="BZ401" s="174"/>
      <x:c r="CA401" s="174"/>
      <x:c r="CB401" s="174"/>
      <x:c r="CC401" s="174"/>
      <x:c r="CD401" s="174"/>
      <x:c r="CE401" s="174"/>
      <x:c r="CF401" s="174"/>
      <x:c r="CG401" s="174"/>
      <x:c r="CH401" s="174"/>
      <x:c r="CI401" s="179"/>
      <x:c r="CJ401" s="174"/>
      <x:c r="CK401" s="174"/>
      <x:c r="CL401" s="174"/>
      <x:c r="CM401" s="174"/>
      <x:c r="CN401" s="174"/>
      <x:c r="CO401" s="177"/>
      <x:c r="CP401" s="174"/>
      <x:c r="CQ401" s="174"/>
      <x:c r="CR401" s="174"/>
      <x:c r="CS401" s="174"/>
      <x:c r="CT401" s="174"/>
      <x:c r="CU401" s="176"/>
      <x:c r="CV401" s="176"/>
      <x:c r="CW401" s="176"/>
      <x:c r="CX401" s="176"/>
      <x:c r="CY401" s="176"/>
      <x:c r="CZ401" s="176"/>
      <x:c r="DA401" s="176"/>
      <x:c r="DB401" s="175" t="str">
        <x:f>IF(L401="","",IF(COUNT(CU401:DA401)&lt;7,"",SUM(CU401:DA401)))</x:f>
      </x:c>
      <x:c r="DC401" s="180" t="str">
        <x:f>IF(DB401="","",ROUND(DB401/14*10,1))</x:f>
      </x:c>
      <x:c r="DD401" s="174"/>
      <x:c r="DE401" s="175" t="str">
        <x:f>IF(L401="","",IF(DC401="","Pending",IF(DD401="Yes","CONDITIONAL — safety override",IF(DC401&gt;=8,"HIGH",IF(DC401&gt;=5,"CONDITIONAL","LOW")))))</x:f>
      </x:c>
      <x:c r="DF401" s="174"/>
      <x:c r="DG401" s="174"/>
      <x:c r="DH401" s="174"/>
      <x:c r="DI401" s="174"/>
      <x:c r="DJ401" s="174"/>
      <x:c r="DK401" s="174"/>
      <x:c r="DL401" s="174"/>
      <x:c r="DM401" s="174"/>
      <x:c r="DN401" s="174"/>
      <x:c r="DO401" s="174"/>
      <x:c r="DP401" s="174"/>
      <x:c r="DQ401" s="174"/>
      <x:c r="DR401" s="174"/>
      <x:c r="DS401" s="174"/>
      <x:c r="DT401" s="174"/>
      <x:c r="DU401" s="174"/>
      <x:c r="DV401" s="174"/>
      <x:c r="DW401" s="174"/>
      <x:c r="DX401" s="174"/>
      <x:c r="DY401" s="174"/>
      <x:c r="DZ401" s="174"/>
      <x:c r="EA401" s="174"/>
      <x:c r="EB401" s="175" t="str">
        <x:f>IF(L401="","",IF(AND(F401="Claim-ready",CJ401="Yes",CL401="Yes",DZ401&lt;&gt;""),"Yes","No / Pending"))</x:f>
      </x:c>
      <x:c r="EC401" s="174"/>
      <x:c r="ED401" s="174"/>
      <x:c r="EE401" s="174"/>
      <x:c r="EF401" s="174"/>
      <x:c r="EG401" s="174"/>
      <x:c r="EH401" s="177"/>
      <x:c r="EI401" s="174"/>
      <x:c r="EJ401" s="174"/>
      <x:c r="EK401" s="174"/>
      <x:c r="EL401" s="177"/>
      <x:c r="EM401" s="174"/>
      <x:c r="EN401" s="181" t="str">
        <x:f>IF(L401="","",(IF(N401&lt;&gt;"",1,0)+IF(O401&lt;&gt;"",1,0)+IF(AJ401&lt;&gt;"",1,0)+IF(AU401&lt;&gt;"",1,0)+IF(BE401&lt;&gt;"",1,0)+IF(CF401&lt;&gt;"",1,0)+IF(CJ401="Yes",1,0)+IF(CL401="Yes",1,0)+IF(DE401&lt;&gt;"Pending",1,0)+IF(F401&lt;&gt;"",1,0)+IF(DZ401&lt;&gt;"",1,0)+IF(EI401&lt;&gt;"",1,0))/12)</x:f>
      </x:c>
    </x:row>
    <x:row r="402">
      <x:c r="A402" s="175" t="str">
        <x:f>IF(L402="","","EV-"&amp;TEXT(ROW()-3,"0000"))</x:f>
      </x:c>
      <x:c r="B402" s="174"/>
      <x:c r="C402" s="175" t="str">
        <x:f>IF(L402="","",IF(OR(CM402="Retracted",CN402="Retracted",F402="Not used"),"🔴 Do not use for conclusion",IF(OR(R402="Official / Institutional",I402="Official / contextual"),"🔵 Official / contextual",IF(OR(I402="Definition",I402="Framework",I402="Paradigm shift"),"🟣 Conceptual key source",IF(AND(CJ402="Yes",CL402="Yes",OR(CG402="High",CG402="Moderate"),CH402&lt;&gt;"High",CH402&lt;&gt;"Critical",F402="Claim-ready"),"🟢 Claim-ready","🟡 Caution / context")))))</x:f>
      </x:c>
      <x:c r="D402" s="174"/>
      <x:c r="E402" s="174"/>
      <x:c r="F402" s="174"/>
      <x:c r="G402" s="174"/>
      <x:c r="H402" s="174"/>
      <x:c r="I402" s="174"/>
      <x:c r="J402" s="174"/>
      <x:c r="K402" s="174"/>
      <x:c r="L402" s="174"/>
      <x:c r="M402" s="174"/>
      <x:c r="N402" s="174"/>
      <x:c r="O402" s="176"/>
      <x:c r="P402" s="174"/>
      <x:c r="Q402" s="174"/>
      <x:c r="R402" s="174"/>
      <x:c r="S402" s="174"/>
      <x:c r="T402" s="174"/>
      <x:c r="U402" s="174"/>
      <x:c r="V402" s="174"/>
      <x:c r="W402" s="175" t="str">
        <x:f>IF(V402="","",LOWER(SUBSTITUTE(SUBSTITUTE(SUBSTITUTE(SUBSTITUTE(TRIM(V402),"https://doi.org/",""),"http://doi.org/",""),"https://dx.doi.org/",""),"doi:","")))</x:f>
      </x:c>
      <x:c r="X402" s="174"/>
      <x:c r="Y402" s="174"/>
      <x:c r="Z402" s="174"/>
      <x:c r="AA402" s="174"/>
      <x:c r="AB402" s="174"/>
      <x:c r="AC402" s="174"/>
      <x:c r="AD402" s="177"/>
      <x:c r="AE402" s="177"/>
      <x:c r="AF402" s="174"/>
      <x:c r="AG402" s="174"/>
      <x:c r="AH402" s="174"/>
      <x:c r="AI402" s="174"/>
      <x:c r="AJ402" s="174"/>
      <x:c r="AK402" s="175" t="str">
        <x:f>IF(AJ402="","",IF(OR(LOWER(AJ402)="brazil",LOWER(AJ402)="brasil"),"Yes","No"))</x:f>
      </x:c>
      <x:c r="AL402" s="174"/>
      <x:c r="AM402" s="174"/>
      <x:c r="AN402" s="174"/>
      <x:c r="AO402" s="178"/>
      <x:c r="AP402" s="174"/>
      <x:c r="AQ402" s="174"/>
      <x:c r="AR402" s="174"/>
      <x:c r="AS402" s="174"/>
      <x:c r="AT402" s="174"/>
      <x:c r="AU402" s="174"/>
      <x:c r="AV402" s="174"/>
      <x:c r="AW402" s="174"/>
      <x:c r="AX402" s="174"/>
      <x:c r="AY402" s="174"/>
      <x:c r="AZ402" s="174"/>
      <x:c r="BA402" s="174"/>
      <x:c r="BB402" s="174"/>
      <x:c r="BC402" s="174"/>
      <x:c r="BD402" s="174"/>
      <x:c r="BE402" s="174"/>
      <x:c r="BF402" s="174"/>
      <x:c r="BG402" s="174"/>
      <x:c r="BH402" s="174"/>
      <x:c r="BI402" s="174"/>
      <x:c r="BJ402" s="174"/>
      <x:c r="BK402" s="174"/>
      <x:c r="BL402" s="174"/>
      <x:c r="BM402" s="174"/>
      <x:c r="BN402" s="174"/>
      <x:c r="BO402" s="174"/>
      <x:c r="BP402" s="174"/>
      <x:c r="BQ402" s="174"/>
      <x:c r="BR402" s="174"/>
      <x:c r="BS402" s="174"/>
      <x:c r="BT402" s="174"/>
      <x:c r="BU402" s="174"/>
      <x:c r="BV402" s="174"/>
      <x:c r="BW402" s="174"/>
      <x:c r="BX402" s="174"/>
      <x:c r="BY402" s="174"/>
      <x:c r="BZ402" s="174"/>
      <x:c r="CA402" s="174"/>
      <x:c r="CB402" s="174"/>
      <x:c r="CC402" s="174"/>
      <x:c r="CD402" s="174"/>
      <x:c r="CE402" s="174"/>
      <x:c r="CF402" s="174"/>
      <x:c r="CG402" s="174"/>
      <x:c r="CH402" s="174"/>
      <x:c r="CI402" s="179"/>
      <x:c r="CJ402" s="174"/>
      <x:c r="CK402" s="174"/>
      <x:c r="CL402" s="174"/>
      <x:c r="CM402" s="174"/>
      <x:c r="CN402" s="174"/>
      <x:c r="CO402" s="177"/>
      <x:c r="CP402" s="174"/>
      <x:c r="CQ402" s="174"/>
      <x:c r="CR402" s="174"/>
      <x:c r="CS402" s="174"/>
      <x:c r="CT402" s="174"/>
      <x:c r="CU402" s="176"/>
      <x:c r="CV402" s="176"/>
      <x:c r="CW402" s="176"/>
      <x:c r="CX402" s="176"/>
      <x:c r="CY402" s="176"/>
      <x:c r="CZ402" s="176"/>
      <x:c r="DA402" s="176"/>
      <x:c r="DB402" s="175" t="str">
        <x:f>IF(L402="","",IF(COUNT(CU402:DA402)&lt;7,"",SUM(CU402:DA402)))</x:f>
      </x:c>
      <x:c r="DC402" s="180" t="str">
        <x:f>IF(DB402="","",ROUND(DB402/14*10,1))</x:f>
      </x:c>
      <x:c r="DD402" s="174"/>
      <x:c r="DE402" s="175" t="str">
        <x:f>IF(L402="","",IF(DC402="","Pending",IF(DD402="Yes","CONDITIONAL — safety override",IF(DC402&gt;=8,"HIGH",IF(DC402&gt;=5,"CONDITIONAL","LOW")))))</x:f>
      </x:c>
      <x:c r="DF402" s="174"/>
      <x:c r="DG402" s="174"/>
      <x:c r="DH402" s="174"/>
      <x:c r="DI402" s="174"/>
      <x:c r="DJ402" s="174"/>
      <x:c r="DK402" s="174"/>
      <x:c r="DL402" s="174"/>
      <x:c r="DM402" s="174"/>
      <x:c r="DN402" s="174"/>
      <x:c r="DO402" s="174"/>
      <x:c r="DP402" s="174"/>
      <x:c r="DQ402" s="174"/>
      <x:c r="DR402" s="174"/>
      <x:c r="DS402" s="174"/>
      <x:c r="DT402" s="174"/>
      <x:c r="DU402" s="174"/>
      <x:c r="DV402" s="174"/>
      <x:c r="DW402" s="174"/>
      <x:c r="DX402" s="174"/>
      <x:c r="DY402" s="174"/>
      <x:c r="DZ402" s="174"/>
      <x:c r="EA402" s="174"/>
      <x:c r="EB402" s="175" t="str">
        <x:f>IF(L402="","",IF(AND(F402="Claim-ready",CJ402="Yes",CL402="Yes",DZ402&lt;&gt;""),"Yes","No / Pending"))</x:f>
      </x:c>
      <x:c r="EC402" s="174"/>
      <x:c r="ED402" s="174"/>
      <x:c r="EE402" s="174"/>
      <x:c r="EF402" s="174"/>
      <x:c r="EG402" s="174"/>
      <x:c r="EH402" s="177"/>
      <x:c r="EI402" s="174"/>
      <x:c r="EJ402" s="174"/>
      <x:c r="EK402" s="174"/>
      <x:c r="EL402" s="177"/>
      <x:c r="EM402" s="174"/>
      <x:c r="EN402" s="181" t="str">
        <x:f>IF(L402="","",(IF(N402&lt;&gt;"",1,0)+IF(O402&lt;&gt;"",1,0)+IF(AJ402&lt;&gt;"",1,0)+IF(AU402&lt;&gt;"",1,0)+IF(BE402&lt;&gt;"",1,0)+IF(CF402&lt;&gt;"",1,0)+IF(CJ402="Yes",1,0)+IF(CL402="Yes",1,0)+IF(DE402&lt;&gt;"Pending",1,0)+IF(F402&lt;&gt;"",1,0)+IF(DZ402&lt;&gt;"",1,0)+IF(EI402&lt;&gt;"",1,0))/12)</x:f>
      </x:c>
    </x:row>
    <x:row r="403">
      <x:c r="A403" s="175" t="str">
        <x:f>IF(L403="","","EV-"&amp;TEXT(ROW()-3,"0000"))</x:f>
      </x:c>
      <x:c r="B403" s="174"/>
      <x:c r="C403" s="175" t="str">
        <x:f>IF(L403="","",IF(OR(CM403="Retracted",CN403="Retracted",F403="Not used"),"🔴 Do not use for conclusion",IF(OR(R403="Official / Institutional",I403="Official / contextual"),"🔵 Official / contextual",IF(OR(I403="Definition",I403="Framework",I403="Paradigm shift"),"🟣 Conceptual key source",IF(AND(CJ403="Yes",CL403="Yes",OR(CG403="High",CG403="Moderate"),CH403&lt;&gt;"High",CH403&lt;&gt;"Critical",F403="Claim-ready"),"🟢 Claim-ready","🟡 Caution / context")))))</x:f>
      </x:c>
      <x:c r="D403" s="174"/>
      <x:c r="E403" s="174"/>
      <x:c r="F403" s="174"/>
      <x:c r="G403" s="174"/>
      <x:c r="H403" s="174"/>
      <x:c r="I403" s="174"/>
      <x:c r="J403" s="174"/>
      <x:c r="K403" s="174"/>
      <x:c r="L403" s="174"/>
      <x:c r="M403" s="174"/>
      <x:c r="N403" s="174"/>
      <x:c r="O403" s="176"/>
      <x:c r="P403" s="174"/>
      <x:c r="Q403" s="174"/>
      <x:c r="R403" s="174"/>
      <x:c r="S403" s="174"/>
      <x:c r="T403" s="174"/>
      <x:c r="U403" s="174"/>
      <x:c r="V403" s="174"/>
      <x:c r="W403" s="175" t="str">
        <x:f>IF(V403="","",LOWER(SUBSTITUTE(SUBSTITUTE(SUBSTITUTE(SUBSTITUTE(TRIM(V403),"https://doi.org/",""),"http://doi.org/",""),"https://dx.doi.org/",""),"doi:","")))</x:f>
      </x:c>
      <x:c r="X403" s="174"/>
      <x:c r="Y403" s="174"/>
      <x:c r="Z403" s="174"/>
      <x:c r="AA403" s="174"/>
      <x:c r="AB403" s="174"/>
      <x:c r="AC403" s="174"/>
      <x:c r="AD403" s="177"/>
      <x:c r="AE403" s="177"/>
      <x:c r="AF403" s="174"/>
      <x:c r="AG403" s="174"/>
      <x:c r="AH403" s="174"/>
      <x:c r="AI403" s="174"/>
      <x:c r="AJ403" s="174"/>
      <x:c r="AK403" s="175" t="str">
        <x:f>IF(AJ403="","",IF(OR(LOWER(AJ403)="brazil",LOWER(AJ403)="brasil"),"Yes","No"))</x:f>
      </x:c>
      <x:c r="AL403" s="174"/>
      <x:c r="AM403" s="174"/>
      <x:c r="AN403" s="174"/>
      <x:c r="AO403" s="178"/>
      <x:c r="AP403" s="174"/>
      <x:c r="AQ403" s="174"/>
      <x:c r="AR403" s="174"/>
      <x:c r="AS403" s="174"/>
      <x:c r="AT403" s="174"/>
      <x:c r="AU403" s="174"/>
      <x:c r="AV403" s="174"/>
      <x:c r="AW403" s="174"/>
      <x:c r="AX403" s="174"/>
      <x:c r="AY403" s="174"/>
      <x:c r="AZ403" s="174"/>
      <x:c r="BA403" s="174"/>
      <x:c r="BB403" s="174"/>
      <x:c r="BC403" s="174"/>
      <x:c r="BD403" s="174"/>
      <x:c r="BE403" s="174"/>
      <x:c r="BF403" s="174"/>
      <x:c r="BG403" s="174"/>
      <x:c r="BH403" s="174"/>
      <x:c r="BI403" s="174"/>
      <x:c r="BJ403" s="174"/>
      <x:c r="BK403" s="174"/>
      <x:c r="BL403" s="174"/>
      <x:c r="BM403" s="174"/>
      <x:c r="BN403" s="174"/>
      <x:c r="BO403" s="174"/>
      <x:c r="BP403" s="174"/>
      <x:c r="BQ403" s="174"/>
      <x:c r="BR403" s="174"/>
      <x:c r="BS403" s="174"/>
      <x:c r="BT403" s="174"/>
      <x:c r="BU403" s="174"/>
      <x:c r="BV403" s="174"/>
      <x:c r="BW403" s="174"/>
      <x:c r="BX403" s="174"/>
      <x:c r="BY403" s="174"/>
      <x:c r="BZ403" s="174"/>
      <x:c r="CA403" s="174"/>
      <x:c r="CB403" s="174"/>
      <x:c r="CC403" s="174"/>
      <x:c r="CD403" s="174"/>
      <x:c r="CE403" s="174"/>
      <x:c r="CF403" s="174"/>
      <x:c r="CG403" s="174"/>
      <x:c r="CH403" s="174"/>
      <x:c r="CI403" s="179"/>
      <x:c r="CJ403" s="174"/>
      <x:c r="CK403" s="174"/>
      <x:c r="CL403" s="174"/>
      <x:c r="CM403" s="174"/>
      <x:c r="CN403" s="174"/>
      <x:c r="CO403" s="177"/>
      <x:c r="CP403" s="174"/>
      <x:c r="CQ403" s="174"/>
      <x:c r="CR403" s="174"/>
      <x:c r="CS403" s="174"/>
      <x:c r="CT403" s="174"/>
      <x:c r="CU403" s="176"/>
      <x:c r="CV403" s="176"/>
      <x:c r="CW403" s="176"/>
      <x:c r="CX403" s="176"/>
      <x:c r="CY403" s="176"/>
      <x:c r="CZ403" s="176"/>
      <x:c r="DA403" s="176"/>
      <x:c r="DB403" s="175" t="str">
        <x:f>IF(L403="","",IF(COUNT(CU403:DA403)&lt;7,"",SUM(CU403:DA403)))</x:f>
      </x:c>
      <x:c r="DC403" s="180" t="str">
        <x:f>IF(DB403="","",ROUND(DB403/14*10,1))</x:f>
      </x:c>
      <x:c r="DD403" s="174"/>
      <x:c r="DE403" s="175" t="str">
        <x:f>IF(L403="","",IF(DC403="","Pending",IF(DD403="Yes","CONDITIONAL — safety override",IF(DC403&gt;=8,"HIGH",IF(DC403&gt;=5,"CONDITIONAL","LOW")))))</x:f>
      </x:c>
      <x:c r="DF403" s="174"/>
      <x:c r="DG403" s="174"/>
      <x:c r="DH403" s="174"/>
      <x:c r="DI403" s="174"/>
      <x:c r="DJ403" s="174"/>
      <x:c r="DK403" s="174"/>
      <x:c r="DL403" s="174"/>
      <x:c r="DM403" s="174"/>
      <x:c r="DN403" s="174"/>
      <x:c r="DO403" s="174"/>
      <x:c r="DP403" s="174"/>
      <x:c r="DQ403" s="174"/>
      <x:c r="DR403" s="174"/>
      <x:c r="DS403" s="174"/>
      <x:c r="DT403" s="174"/>
      <x:c r="DU403" s="174"/>
      <x:c r="DV403" s="174"/>
      <x:c r="DW403" s="174"/>
      <x:c r="DX403" s="174"/>
      <x:c r="DY403" s="174"/>
      <x:c r="DZ403" s="174"/>
      <x:c r="EA403" s="174"/>
      <x:c r="EB403" s="175" t="str">
        <x:f>IF(L403="","",IF(AND(F403="Claim-ready",CJ403="Yes",CL403="Yes",DZ403&lt;&gt;""),"Yes","No / Pending"))</x:f>
      </x:c>
      <x:c r="EC403" s="174"/>
      <x:c r="ED403" s="174"/>
      <x:c r="EE403" s="174"/>
      <x:c r="EF403" s="174"/>
      <x:c r="EG403" s="174"/>
      <x:c r="EH403" s="177"/>
      <x:c r="EI403" s="174"/>
      <x:c r="EJ403" s="174"/>
      <x:c r="EK403" s="174"/>
      <x:c r="EL403" s="177"/>
      <x:c r="EM403" s="174"/>
      <x:c r="EN403" s="181" t="str">
        <x:f>IF(L403="","",(IF(N403&lt;&gt;"",1,0)+IF(O403&lt;&gt;"",1,0)+IF(AJ403&lt;&gt;"",1,0)+IF(AU403&lt;&gt;"",1,0)+IF(BE403&lt;&gt;"",1,0)+IF(CF403&lt;&gt;"",1,0)+IF(CJ403="Yes",1,0)+IF(CL403="Yes",1,0)+IF(DE403&lt;&gt;"Pending",1,0)+IF(F403&lt;&gt;"",1,0)+IF(DZ403&lt;&gt;"",1,0)+IF(EI403&lt;&gt;"",1,0))/12)</x:f>
      </x:c>
    </x:row>
    <x:row r="404">
      <x:c r="A404" s="175" t="str">
        <x:f>IF(L404="","","EV-"&amp;TEXT(ROW()-3,"0000"))</x:f>
      </x:c>
      <x:c r="B404" s="174"/>
      <x:c r="C404" s="175" t="str">
        <x:f>IF(L404="","",IF(OR(CM404="Retracted",CN404="Retracted",F404="Not used"),"🔴 Do not use for conclusion",IF(OR(R404="Official / Institutional",I404="Official / contextual"),"🔵 Official / contextual",IF(OR(I404="Definition",I404="Framework",I404="Paradigm shift"),"🟣 Conceptual key source",IF(AND(CJ404="Yes",CL404="Yes",OR(CG404="High",CG404="Moderate"),CH404&lt;&gt;"High",CH404&lt;&gt;"Critical",F404="Claim-ready"),"🟢 Claim-ready","🟡 Caution / context")))))</x:f>
      </x:c>
      <x:c r="D404" s="174"/>
      <x:c r="E404" s="174"/>
      <x:c r="F404" s="174"/>
      <x:c r="G404" s="174"/>
      <x:c r="H404" s="174"/>
      <x:c r="I404" s="174"/>
      <x:c r="J404" s="174"/>
      <x:c r="K404" s="174"/>
      <x:c r="L404" s="174"/>
      <x:c r="M404" s="174"/>
      <x:c r="N404" s="174"/>
      <x:c r="O404" s="176"/>
      <x:c r="P404" s="174"/>
      <x:c r="Q404" s="174"/>
      <x:c r="R404" s="174"/>
      <x:c r="S404" s="174"/>
      <x:c r="T404" s="174"/>
      <x:c r="U404" s="174"/>
      <x:c r="V404" s="174"/>
      <x:c r="W404" s="175" t="str">
        <x:f>IF(V404="","",LOWER(SUBSTITUTE(SUBSTITUTE(SUBSTITUTE(SUBSTITUTE(TRIM(V404),"https://doi.org/",""),"http://doi.org/",""),"https://dx.doi.org/",""),"doi:","")))</x:f>
      </x:c>
      <x:c r="X404" s="174"/>
      <x:c r="Y404" s="174"/>
      <x:c r="Z404" s="174"/>
      <x:c r="AA404" s="174"/>
      <x:c r="AB404" s="174"/>
      <x:c r="AC404" s="174"/>
      <x:c r="AD404" s="177"/>
      <x:c r="AE404" s="177"/>
      <x:c r="AF404" s="174"/>
      <x:c r="AG404" s="174"/>
      <x:c r="AH404" s="174"/>
      <x:c r="AI404" s="174"/>
      <x:c r="AJ404" s="174"/>
      <x:c r="AK404" s="175" t="str">
        <x:f>IF(AJ404="","",IF(OR(LOWER(AJ404)="brazil",LOWER(AJ404)="brasil"),"Yes","No"))</x:f>
      </x:c>
      <x:c r="AL404" s="174"/>
      <x:c r="AM404" s="174"/>
      <x:c r="AN404" s="174"/>
      <x:c r="AO404" s="178"/>
      <x:c r="AP404" s="174"/>
      <x:c r="AQ404" s="174"/>
      <x:c r="AR404" s="174"/>
      <x:c r="AS404" s="174"/>
      <x:c r="AT404" s="174"/>
      <x:c r="AU404" s="174"/>
      <x:c r="AV404" s="174"/>
      <x:c r="AW404" s="174"/>
      <x:c r="AX404" s="174"/>
      <x:c r="AY404" s="174"/>
      <x:c r="AZ404" s="174"/>
      <x:c r="BA404" s="174"/>
      <x:c r="BB404" s="174"/>
      <x:c r="BC404" s="174"/>
      <x:c r="BD404" s="174"/>
      <x:c r="BE404" s="174"/>
      <x:c r="BF404" s="174"/>
      <x:c r="BG404" s="174"/>
      <x:c r="BH404" s="174"/>
      <x:c r="BI404" s="174"/>
      <x:c r="BJ404" s="174"/>
      <x:c r="BK404" s="174"/>
      <x:c r="BL404" s="174"/>
      <x:c r="BM404" s="174"/>
      <x:c r="BN404" s="174"/>
      <x:c r="BO404" s="174"/>
      <x:c r="BP404" s="174"/>
      <x:c r="BQ404" s="174"/>
      <x:c r="BR404" s="174"/>
      <x:c r="BS404" s="174"/>
      <x:c r="BT404" s="174"/>
      <x:c r="BU404" s="174"/>
      <x:c r="BV404" s="174"/>
      <x:c r="BW404" s="174"/>
      <x:c r="BX404" s="174"/>
      <x:c r="BY404" s="174"/>
      <x:c r="BZ404" s="174"/>
      <x:c r="CA404" s="174"/>
      <x:c r="CB404" s="174"/>
      <x:c r="CC404" s="174"/>
      <x:c r="CD404" s="174"/>
      <x:c r="CE404" s="174"/>
      <x:c r="CF404" s="174"/>
      <x:c r="CG404" s="174"/>
      <x:c r="CH404" s="174"/>
      <x:c r="CI404" s="179"/>
      <x:c r="CJ404" s="174"/>
      <x:c r="CK404" s="174"/>
      <x:c r="CL404" s="174"/>
      <x:c r="CM404" s="174"/>
      <x:c r="CN404" s="174"/>
      <x:c r="CO404" s="177"/>
      <x:c r="CP404" s="174"/>
      <x:c r="CQ404" s="174"/>
      <x:c r="CR404" s="174"/>
      <x:c r="CS404" s="174"/>
      <x:c r="CT404" s="174"/>
      <x:c r="CU404" s="176"/>
      <x:c r="CV404" s="176"/>
      <x:c r="CW404" s="176"/>
      <x:c r="CX404" s="176"/>
      <x:c r="CY404" s="176"/>
      <x:c r="CZ404" s="176"/>
      <x:c r="DA404" s="176"/>
      <x:c r="DB404" s="175" t="str">
        <x:f>IF(L404="","",IF(COUNT(CU404:DA404)&lt;7,"",SUM(CU404:DA404)))</x:f>
      </x:c>
      <x:c r="DC404" s="180" t="str">
        <x:f>IF(DB404="","",ROUND(DB404/14*10,1))</x:f>
      </x:c>
      <x:c r="DD404" s="174"/>
      <x:c r="DE404" s="175" t="str">
        <x:f>IF(L404="","",IF(DC404="","Pending",IF(DD404="Yes","CONDITIONAL — safety override",IF(DC404&gt;=8,"HIGH",IF(DC404&gt;=5,"CONDITIONAL","LOW")))))</x:f>
      </x:c>
      <x:c r="DF404" s="174"/>
      <x:c r="DG404" s="174"/>
      <x:c r="DH404" s="174"/>
      <x:c r="DI404" s="174"/>
      <x:c r="DJ404" s="174"/>
      <x:c r="DK404" s="174"/>
      <x:c r="DL404" s="174"/>
      <x:c r="DM404" s="174"/>
      <x:c r="DN404" s="174"/>
      <x:c r="DO404" s="174"/>
      <x:c r="DP404" s="174"/>
      <x:c r="DQ404" s="174"/>
      <x:c r="DR404" s="174"/>
      <x:c r="DS404" s="174"/>
      <x:c r="DT404" s="174"/>
      <x:c r="DU404" s="174"/>
      <x:c r="DV404" s="174"/>
      <x:c r="DW404" s="174"/>
      <x:c r="DX404" s="174"/>
      <x:c r="DY404" s="174"/>
      <x:c r="DZ404" s="174"/>
      <x:c r="EA404" s="174"/>
      <x:c r="EB404" s="175" t="str">
        <x:f>IF(L404="","",IF(AND(F404="Claim-ready",CJ404="Yes",CL404="Yes",DZ404&lt;&gt;""),"Yes","No / Pending"))</x:f>
      </x:c>
      <x:c r="EC404" s="174"/>
      <x:c r="ED404" s="174"/>
      <x:c r="EE404" s="174"/>
      <x:c r="EF404" s="174"/>
      <x:c r="EG404" s="174"/>
      <x:c r="EH404" s="177"/>
      <x:c r="EI404" s="174"/>
      <x:c r="EJ404" s="174"/>
      <x:c r="EK404" s="174"/>
      <x:c r="EL404" s="177"/>
      <x:c r="EM404" s="174"/>
      <x:c r="EN404" s="181" t="str">
        <x:f>IF(L404="","",(IF(N404&lt;&gt;"",1,0)+IF(O404&lt;&gt;"",1,0)+IF(AJ404&lt;&gt;"",1,0)+IF(AU404&lt;&gt;"",1,0)+IF(BE404&lt;&gt;"",1,0)+IF(CF404&lt;&gt;"",1,0)+IF(CJ404="Yes",1,0)+IF(CL404="Yes",1,0)+IF(DE404&lt;&gt;"Pending",1,0)+IF(F404&lt;&gt;"",1,0)+IF(DZ404&lt;&gt;"",1,0)+IF(EI404&lt;&gt;"",1,0))/12)</x:f>
      </x:c>
    </x:row>
    <x:row r="405">
      <x:c r="A405" s="175" t="str">
        <x:f>IF(L405="","","EV-"&amp;TEXT(ROW()-3,"0000"))</x:f>
      </x:c>
      <x:c r="B405" s="174"/>
      <x:c r="C405" s="175" t="str">
        <x:f>IF(L405="","",IF(OR(CM405="Retracted",CN405="Retracted",F405="Not used"),"🔴 Do not use for conclusion",IF(OR(R405="Official / Institutional",I405="Official / contextual"),"🔵 Official / contextual",IF(OR(I405="Definition",I405="Framework",I405="Paradigm shift"),"🟣 Conceptual key source",IF(AND(CJ405="Yes",CL405="Yes",OR(CG405="High",CG405="Moderate"),CH405&lt;&gt;"High",CH405&lt;&gt;"Critical",F405="Claim-ready"),"🟢 Claim-ready","🟡 Caution / context")))))</x:f>
      </x:c>
      <x:c r="D405" s="174"/>
      <x:c r="E405" s="174"/>
      <x:c r="F405" s="174"/>
      <x:c r="G405" s="174"/>
      <x:c r="H405" s="174"/>
      <x:c r="I405" s="174"/>
      <x:c r="J405" s="174"/>
      <x:c r="K405" s="174"/>
      <x:c r="L405" s="174"/>
      <x:c r="M405" s="174"/>
      <x:c r="N405" s="174"/>
      <x:c r="O405" s="176"/>
      <x:c r="P405" s="174"/>
      <x:c r="Q405" s="174"/>
      <x:c r="R405" s="174"/>
      <x:c r="S405" s="174"/>
      <x:c r="T405" s="174"/>
      <x:c r="U405" s="174"/>
      <x:c r="V405" s="174"/>
      <x:c r="W405" s="175" t="str">
        <x:f>IF(V405="","",LOWER(SUBSTITUTE(SUBSTITUTE(SUBSTITUTE(SUBSTITUTE(TRIM(V405),"https://doi.org/",""),"http://doi.org/",""),"https://dx.doi.org/",""),"doi:","")))</x:f>
      </x:c>
      <x:c r="X405" s="174"/>
      <x:c r="Y405" s="174"/>
      <x:c r="Z405" s="174"/>
      <x:c r="AA405" s="174"/>
      <x:c r="AB405" s="174"/>
      <x:c r="AC405" s="174"/>
      <x:c r="AD405" s="177"/>
      <x:c r="AE405" s="177"/>
      <x:c r="AF405" s="174"/>
      <x:c r="AG405" s="174"/>
      <x:c r="AH405" s="174"/>
      <x:c r="AI405" s="174"/>
      <x:c r="AJ405" s="174"/>
      <x:c r="AK405" s="175" t="str">
        <x:f>IF(AJ405="","",IF(OR(LOWER(AJ405)="brazil",LOWER(AJ405)="brasil"),"Yes","No"))</x:f>
      </x:c>
      <x:c r="AL405" s="174"/>
      <x:c r="AM405" s="174"/>
      <x:c r="AN405" s="174"/>
      <x:c r="AO405" s="178"/>
      <x:c r="AP405" s="174"/>
      <x:c r="AQ405" s="174"/>
      <x:c r="AR405" s="174"/>
      <x:c r="AS405" s="174"/>
      <x:c r="AT405" s="174"/>
      <x:c r="AU405" s="174"/>
      <x:c r="AV405" s="174"/>
      <x:c r="AW405" s="174"/>
      <x:c r="AX405" s="174"/>
      <x:c r="AY405" s="174"/>
      <x:c r="AZ405" s="174"/>
      <x:c r="BA405" s="174"/>
      <x:c r="BB405" s="174"/>
      <x:c r="BC405" s="174"/>
      <x:c r="BD405" s="174"/>
      <x:c r="BE405" s="174"/>
      <x:c r="BF405" s="174"/>
      <x:c r="BG405" s="174"/>
      <x:c r="BH405" s="174"/>
      <x:c r="BI405" s="174"/>
      <x:c r="BJ405" s="174"/>
      <x:c r="BK405" s="174"/>
      <x:c r="BL405" s="174"/>
      <x:c r="BM405" s="174"/>
      <x:c r="BN405" s="174"/>
      <x:c r="BO405" s="174"/>
      <x:c r="BP405" s="174"/>
      <x:c r="BQ405" s="174"/>
      <x:c r="BR405" s="174"/>
      <x:c r="BS405" s="174"/>
      <x:c r="BT405" s="174"/>
      <x:c r="BU405" s="174"/>
      <x:c r="BV405" s="174"/>
      <x:c r="BW405" s="174"/>
      <x:c r="BX405" s="174"/>
      <x:c r="BY405" s="174"/>
      <x:c r="BZ405" s="174"/>
      <x:c r="CA405" s="174"/>
      <x:c r="CB405" s="174"/>
      <x:c r="CC405" s="174"/>
      <x:c r="CD405" s="174"/>
      <x:c r="CE405" s="174"/>
      <x:c r="CF405" s="174"/>
      <x:c r="CG405" s="174"/>
      <x:c r="CH405" s="174"/>
      <x:c r="CI405" s="179"/>
      <x:c r="CJ405" s="174"/>
      <x:c r="CK405" s="174"/>
      <x:c r="CL405" s="174"/>
      <x:c r="CM405" s="174"/>
      <x:c r="CN405" s="174"/>
      <x:c r="CO405" s="177"/>
      <x:c r="CP405" s="174"/>
      <x:c r="CQ405" s="174"/>
      <x:c r="CR405" s="174"/>
      <x:c r="CS405" s="174"/>
      <x:c r="CT405" s="174"/>
      <x:c r="CU405" s="176"/>
      <x:c r="CV405" s="176"/>
      <x:c r="CW405" s="176"/>
      <x:c r="CX405" s="176"/>
      <x:c r="CY405" s="176"/>
      <x:c r="CZ405" s="176"/>
      <x:c r="DA405" s="176"/>
      <x:c r="DB405" s="175" t="str">
        <x:f>IF(L405="","",IF(COUNT(CU405:DA405)&lt;7,"",SUM(CU405:DA405)))</x:f>
      </x:c>
      <x:c r="DC405" s="180" t="str">
        <x:f>IF(DB405="","",ROUND(DB405/14*10,1))</x:f>
      </x:c>
      <x:c r="DD405" s="174"/>
      <x:c r="DE405" s="175" t="str">
        <x:f>IF(L405="","",IF(DC405="","Pending",IF(DD405="Yes","CONDITIONAL — safety override",IF(DC405&gt;=8,"HIGH",IF(DC405&gt;=5,"CONDITIONAL","LOW")))))</x:f>
      </x:c>
      <x:c r="DF405" s="174"/>
      <x:c r="DG405" s="174"/>
      <x:c r="DH405" s="174"/>
      <x:c r="DI405" s="174"/>
      <x:c r="DJ405" s="174"/>
      <x:c r="DK405" s="174"/>
      <x:c r="DL405" s="174"/>
      <x:c r="DM405" s="174"/>
      <x:c r="DN405" s="174"/>
      <x:c r="DO405" s="174"/>
      <x:c r="DP405" s="174"/>
      <x:c r="DQ405" s="174"/>
      <x:c r="DR405" s="174"/>
      <x:c r="DS405" s="174"/>
      <x:c r="DT405" s="174"/>
      <x:c r="DU405" s="174"/>
      <x:c r="DV405" s="174"/>
      <x:c r="DW405" s="174"/>
      <x:c r="DX405" s="174"/>
      <x:c r="DY405" s="174"/>
      <x:c r="DZ405" s="174"/>
      <x:c r="EA405" s="174"/>
      <x:c r="EB405" s="175" t="str">
        <x:f>IF(L405="","",IF(AND(F405="Claim-ready",CJ405="Yes",CL405="Yes",DZ405&lt;&gt;""),"Yes","No / Pending"))</x:f>
      </x:c>
      <x:c r="EC405" s="174"/>
      <x:c r="ED405" s="174"/>
      <x:c r="EE405" s="174"/>
      <x:c r="EF405" s="174"/>
      <x:c r="EG405" s="174"/>
      <x:c r="EH405" s="177"/>
      <x:c r="EI405" s="174"/>
      <x:c r="EJ405" s="174"/>
      <x:c r="EK405" s="174"/>
      <x:c r="EL405" s="177"/>
      <x:c r="EM405" s="174"/>
      <x:c r="EN405" s="181" t="str">
        <x:f>IF(L405="","",(IF(N405&lt;&gt;"",1,0)+IF(O405&lt;&gt;"",1,0)+IF(AJ405&lt;&gt;"",1,0)+IF(AU405&lt;&gt;"",1,0)+IF(BE405&lt;&gt;"",1,0)+IF(CF405&lt;&gt;"",1,0)+IF(CJ405="Yes",1,0)+IF(CL405="Yes",1,0)+IF(DE405&lt;&gt;"Pending",1,0)+IF(F405&lt;&gt;"",1,0)+IF(DZ405&lt;&gt;"",1,0)+IF(EI405&lt;&gt;"",1,0))/12)</x:f>
      </x:c>
    </x:row>
    <x:row r="406">
      <x:c r="A406" s="175" t="str">
        <x:f>IF(L406="","","EV-"&amp;TEXT(ROW()-3,"0000"))</x:f>
      </x:c>
      <x:c r="B406" s="174"/>
      <x:c r="C406" s="175" t="str">
        <x:f>IF(L406="","",IF(OR(CM406="Retracted",CN406="Retracted",F406="Not used"),"🔴 Do not use for conclusion",IF(OR(R406="Official / Institutional",I406="Official / contextual"),"🔵 Official / contextual",IF(OR(I406="Definition",I406="Framework",I406="Paradigm shift"),"🟣 Conceptual key source",IF(AND(CJ406="Yes",CL406="Yes",OR(CG406="High",CG406="Moderate"),CH406&lt;&gt;"High",CH406&lt;&gt;"Critical",F406="Claim-ready"),"🟢 Claim-ready","🟡 Caution / context")))))</x:f>
      </x:c>
      <x:c r="D406" s="174"/>
      <x:c r="E406" s="174"/>
      <x:c r="F406" s="174"/>
      <x:c r="G406" s="174"/>
      <x:c r="H406" s="174"/>
      <x:c r="I406" s="174"/>
      <x:c r="J406" s="174"/>
      <x:c r="K406" s="174"/>
      <x:c r="L406" s="174"/>
      <x:c r="M406" s="174"/>
      <x:c r="N406" s="174"/>
      <x:c r="O406" s="176"/>
      <x:c r="P406" s="174"/>
      <x:c r="Q406" s="174"/>
      <x:c r="R406" s="174"/>
      <x:c r="S406" s="174"/>
      <x:c r="T406" s="174"/>
      <x:c r="U406" s="174"/>
      <x:c r="V406" s="174"/>
      <x:c r="W406" s="175" t="str">
        <x:f>IF(V406="","",LOWER(SUBSTITUTE(SUBSTITUTE(SUBSTITUTE(SUBSTITUTE(TRIM(V406),"https://doi.org/",""),"http://doi.org/",""),"https://dx.doi.org/",""),"doi:","")))</x:f>
      </x:c>
      <x:c r="X406" s="174"/>
      <x:c r="Y406" s="174"/>
      <x:c r="Z406" s="174"/>
      <x:c r="AA406" s="174"/>
      <x:c r="AB406" s="174"/>
      <x:c r="AC406" s="174"/>
      <x:c r="AD406" s="177"/>
      <x:c r="AE406" s="177"/>
      <x:c r="AF406" s="174"/>
      <x:c r="AG406" s="174"/>
      <x:c r="AH406" s="174"/>
      <x:c r="AI406" s="174"/>
      <x:c r="AJ406" s="174"/>
      <x:c r="AK406" s="175" t="str">
        <x:f>IF(AJ406="","",IF(OR(LOWER(AJ406)="brazil",LOWER(AJ406)="brasil"),"Yes","No"))</x:f>
      </x:c>
      <x:c r="AL406" s="174"/>
      <x:c r="AM406" s="174"/>
      <x:c r="AN406" s="174"/>
      <x:c r="AO406" s="178"/>
      <x:c r="AP406" s="174"/>
      <x:c r="AQ406" s="174"/>
      <x:c r="AR406" s="174"/>
      <x:c r="AS406" s="174"/>
      <x:c r="AT406" s="174"/>
      <x:c r="AU406" s="174"/>
      <x:c r="AV406" s="174"/>
      <x:c r="AW406" s="174"/>
      <x:c r="AX406" s="174"/>
      <x:c r="AY406" s="174"/>
      <x:c r="AZ406" s="174"/>
      <x:c r="BA406" s="174"/>
      <x:c r="BB406" s="174"/>
      <x:c r="BC406" s="174"/>
      <x:c r="BD406" s="174"/>
      <x:c r="BE406" s="174"/>
      <x:c r="BF406" s="174"/>
      <x:c r="BG406" s="174"/>
      <x:c r="BH406" s="174"/>
      <x:c r="BI406" s="174"/>
      <x:c r="BJ406" s="174"/>
      <x:c r="BK406" s="174"/>
      <x:c r="BL406" s="174"/>
      <x:c r="BM406" s="174"/>
      <x:c r="BN406" s="174"/>
      <x:c r="BO406" s="174"/>
      <x:c r="BP406" s="174"/>
      <x:c r="BQ406" s="174"/>
      <x:c r="BR406" s="174"/>
      <x:c r="BS406" s="174"/>
      <x:c r="BT406" s="174"/>
      <x:c r="BU406" s="174"/>
      <x:c r="BV406" s="174"/>
      <x:c r="BW406" s="174"/>
      <x:c r="BX406" s="174"/>
      <x:c r="BY406" s="174"/>
      <x:c r="BZ406" s="174"/>
      <x:c r="CA406" s="174"/>
      <x:c r="CB406" s="174"/>
      <x:c r="CC406" s="174"/>
      <x:c r="CD406" s="174"/>
      <x:c r="CE406" s="174"/>
      <x:c r="CF406" s="174"/>
      <x:c r="CG406" s="174"/>
      <x:c r="CH406" s="174"/>
      <x:c r="CI406" s="179"/>
      <x:c r="CJ406" s="174"/>
      <x:c r="CK406" s="174"/>
      <x:c r="CL406" s="174"/>
      <x:c r="CM406" s="174"/>
      <x:c r="CN406" s="174"/>
      <x:c r="CO406" s="177"/>
      <x:c r="CP406" s="174"/>
      <x:c r="CQ406" s="174"/>
      <x:c r="CR406" s="174"/>
      <x:c r="CS406" s="174"/>
      <x:c r="CT406" s="174"/>
      <x:c r="CU406" s="176"/>
      <x:c r="CV406" s="176"/>
      <x:c r="CW406" s="176"/>
      <x:c r="CX406" s="176"/>
      <x:c r="CY406" s="176"/>
      <x:c r="CZ406" s="176"/>
      <x:c r="DA406" s="176"/>
      <x:c r="DB406" s="175" t="str">
        <x:f>IF(L406="","",IF(COUNT(CU406:DA406)&lt;7,"",SUM(CU406:DA406)))</x:f>
      </x:c>
      <x:c r="DC406" s="180" t="str">
        <x:f>IF(DB406="","",ROUND(DB406/14*10,1))</x:f>
      </x:c>
      <x:c r="DD406" s="174"/>
      <x:c r="DE406" s="175" t="str">
        <x:f>IF(L406="","",IF(DC406="","Pending",IF(DD406="Yes","CONDITIONAL — safety override",IF(DC406&gt;=8,"HIGH",IF(DC406&gt;=5,"CONDITIONAL","LOW")))))</x:f>
      </x:c>
      <x:c r="DF406" s="174"/>
      <x:c r="DG406" s="174"/>
      <x:c r="DH406" s="174"/>
      <x:c r="DI406" s="174"/>
      <x:c r="DJ406" s="174"/>
      <x:c r="DK406" s="174"/>
      <x:c r="DL406" s="174"/>
      <x:c r="DM406" s="174"/>
      <x:c r="DN406" s="174"/>
      <x:c r="DO406" s="174"/>
      <x:c r="DP406" s="174"/>
      <x:c r="DQ406" s="174"/>
      <x:c r="DR406" s="174"/>
      <x:c r="DS406" s="174"/>
      <x:c r="DT406" s="174"/>
      <x:c r="DU406" s="174"/>
      <x:c r="DV406" s="174"/>
      <x:c r="DW406" s="174"/>
      <x:c r="DX406" s="174"/>
      <x:c r="DY406" s="174"/>
      <x:c r="DZ406" s="174"/>
      <x:c r="EA406" s="174"/>
      <x:c r="EB406" s="175" t="str">
        <x:f>IF(L406="","",IF(AND(F406="Claim-ready",CJ406="Yes",CL406="Yes",DZ406&lt;&gt;""),"Yes","No / Pending"))</x:f>
      </x:c>
      <x:c r="EC406" s="174"/>
      <x:c r="ED406" s="174"/>
      <x:c r="EE406" s="174"/>
      <x:c r="EF406" s="174"/>
      <x:c r="EG406" s="174"/>
      <x:c r="EH406" s="177"/>
      <x:c r="EI406" s="174"/>
      <x:c r="EJ406" s="174"/>
      <x:c r="EK406" s="174"/>
      <x:c r="EL406" s="177"/>
      <x:c r="EM406" s="174"/>
      <x:c r="EN406" s="181" t="str">
        <x:f>IF(L406="","",(IF(N406&lt;&gt;"",1,0)+IF(O406&lt;&gt;"",1,0)+IF(AJ406&lt;&gt;"",1,0)+IF(AU406&lt;&gt;"",1,0)+IF(BE406&lt;&gt;"",1,0)+IF(CF406&lt;&gt;"",1,0)+IF(CJ406="Yes",1,0)+IF(CL406="Yes",1,0)+IF(DE406&lt;&gt;"Pending",1,0)+IF(F406&lt;&gt;"",1,0)+IF(DZ406&lt;&gt;"",1,0)+IF(EI406&lt;&gt;"",1,0))/12)</x:f>
      </x:c>
    </x:row>
    <x:row r="407">
      <x:c r="A407" s="175" t="str">
        <x:f>IF(L407="","","EV-"&amp;TEXT(ROW()-3,"0000"))</x:f>
      </x:c>
      <x:c r="B407" s="174"/>
      <x:c r="C407" s="175" t="str">
        <x:f>IF(L407="","",IF(OR(CM407="Retracted",CN407="Retracted",F407="Not used"),"🔴 Do not use for conclusion",IF(OR(R407="Official / Institutional",I407="Official / contextual"),"🔵 Official / contextual",IF(OR(I407="Definition",I407="Framework",I407="Paradigm shift"),"🟣 Conceptual key source",IF(AND(CJ407="Yes",CL407="Yes",OR(CG407="High",CG407="Moderate"),CH407&lt;&gt;"High",CH407&lt;&gt;"Critical",F407="Claim-ready"),"🟢 Claim-ready","🟡 Caution / context")))))</x:f>
      </x:c>
      <x:c r="D407" s="174"/>
      <x:c r="E407" s="174"/>
      <x:c r="F407" s="174"/>
      <x:c r="G407" s="174"/>
      <x:c r="H407" s="174"/>
      <x:c r="I407" s="174"/>
      <x:c r="J407" s="174"/>
      <x:c r="K407" s="174"/>
      <x:c r="L407" s="174"/>
      <x:c r="M407" s="174"/>
      <x:c r="N407" s="174"/>
      <x:c r="O407" s="176"/>
      <x:c r="P407" s="174"/>
      <x:c r="Q407" s="174"/>
      <x:c r="R407" s="174"/>
      <x:c r="S407" s="174"/>
      <x:c r="T407" s="174"/>
      <x:c r="U407" s="174"/>
      <x:c r="V407" s="174"/>
      <x:c r="W407" s="175" t="str">
        <x:f>IF(V407="","",LOWER(SUBSTITUTE(SUBSTITUTE(SUBSTITUTE(SUBSTITUTE(TRIM(V407),"https://doi.org/",""),"http://doi.org/",""),"https://dx.doi.org/",""),"doi:","")))</x:f>
      </x:c>
      <x:c r="X407" s="174"/>
      <x:c r="Y407" s="174"/>
      <x:c r="Z407" s="174"/>
      <x:c r="AA407" s="174"/>
      <x:c r="AB407" s="174"/>
      <x:c r="AC407" s="174"/>
      <x:c r="AD407" s="177"/>
      <x:c r="AE407" s="177"/>
      <x:c r="AF407" s="174"/>
      <x:c r="AG407" s="174"/>
      <x:c r="AH407" s="174"/>
      <x:c r="AI407" s="174"/>
      <x:c r="AJ407" s="174"/>
      <x:c r="AK407" s="175" t="str">
        <x:f>IF(AJ407="","",IF(OR(LOWER(AJ407)="brazil",LOWER(AJ407)="brasil"),"Yes","No"))</x:f>
      </x:c>
      <x:c r="AL407" s="174"/>
      <x:c r="AM407" s="174"/>
      <x:c r="AN407" s="174"/>
      <x:c r="AO407" s="178"/>
      <x:c r="AP407" s="174"/>
      <x:c r="AQ407" s="174"/>
      <x:c r="AR407" s="174"/>
      <x:c r="AS407" s="174"/>
      <x:c r="AT407" s="174"/>
      <x:c r="AU407" s="174"/>
      <x:c r="AV407" s="174"/>
      <x:c r="AW407" s="174"/>
      <x:c r="AX407" s="174"/>
      <x:c r="AY407" s="174"/>
      <x:c r="AZ407" s="174"/>
      <x:c r="BA407" s="174"/>
      <x:c r="BB407" s="174"/>
      <x:c r="BC407" s="174"/>
      <x:c r="BD407" s="174"/>
      <x:c r="BE407" s="174"/>
      <x:c r="BF407" s="174"/>
      <x:c r="BG407" s="174"/>
      <x:c r="BH407" s="174"/>
      <x:c r="BI407" s="174"/>
      <x:c r="BJ407" s="174"/>
      <x:c r="BK407" s="174"/>
      <x:c r="BL407" s="174"/>
      <x:c r="BM407" s="174"/>
      <x:c r="BN407" s="174"/>
      <x:c r="BO407" s="174"/>
      <x:c r="BP407" s="174"/>
      <x:c r="BQ407" s="174"/>
      <x:c r="BR407" s="174"/>
      <x:c r="BS407" s="174"/>
      <x:c r="BT407" s="174"/>
      <x:c r="BU407" s="174"/>
      <x:c r="BV407" s="174"/>
      <x:c r="BW407" s="174"/>
      <x:c r="BX407" s="174"/>
      <x:c r="BY407" s="174"/>
      <x:c r="BZ407" s="174"/>
      <x:c r="CA407" s="174"/>
      <x:c r="CB407" s="174"/>
      <x:c r="CC407" s="174"/>
      <x:c r="CD407" s="174"/>
      <x:c r="CE407" s="174"/>
      <x:c r="CF407" s="174"/>
      <x:c r="CG407" s="174"/>
      <x:c r="CH407" s="174"/>
      <x:c r="CI407" s="179"/>
      <x:c r="CJ407" s="174"/>
      <x:c r="CK407" s="174"/>
      <x:c r="CL407" s="174"/>
      <x:c r="CM407" s="174"/>
      <x:c r="CN407" s="174"/>
      <x:c r="CO407" s="177"/>
      <x:c r="CP407" s="174"/>
      <x:c r="CQ407" s="174"/>
      <x:c r="CR407" s="174"/>
      <x:c r="CS407" s="174"/>
      <x:c r="CT407" s="174"/>
      <x:c r="CU407" s="176"/>
      <x:c r="CV407" s="176"/>
      <x:c r="CW407" s="176"/>
      <x:c r="CX407" s="176"/>
      <x:c r="CY407" s="176"/>
      <x:c r="CZ407" s="176"/>
      <x:c r="DA407" s="176"/>
      <x:c r="DB407" s="175" t="str">
        <x:f>IF(L407="","",IF(COUNT(CU407:DA407)&lt;7,"",SUM(CU407:DA407)))</x:f>
      </x:c>
      <x:c r="DC407" s="180" t="str">
        <x:f>IF(DB407="","",ROUND(DB407/14*10,1))</x:f>
      </x:c>
      <x:c r="DD407" s="174"/>
      <x:c r="DE407" s="175" t="str">
        <x:f>IF(L407="","",IF(DC407="","Pending",IF(DD407="Yes","CONDITIONAL — safety override",IF(DC407&gt;=8,"HIGH",IF(DC407&gt;=5,"CONDITIONAL","LOW")))))</x:f>
      </x:c>
      <x:c r="DF407" s="174"/>
      <x:c r="DG407" s="174"/>
      <x:c r="DH407" s="174"/>
      <x:c r="DI407" s="174"/>
      <x:c r="DJ407" s="174"/>
      <x:c r="DK407" s="174"/>
      <x:c r="DL407" s="174"/>
      <x:c r="DM407" s="174"/>
      <x:c r="DN407" s="174"/>
      <x:c r="DO407" s="174"/>
      <x:c r="DP407" s="174"/>
      <x:c r="DQ407" s="174"/>
      <x:c r="DR407" s="174"/>
      <x:c r="DS407" s="174"/>
      <x:c r="DT407" s="174"/>
      <x:c r="DU407" s="174"/>
      <x:c r="DV407" s="174"/>
      <x:c r="DW407" s="174"/>
      <x:c r="DX407" s="174"/>
      <x:c r="DY407" s="174"/>
      <x:c r="DZ407" s="174"/>
      <x:c r="EA407" s="174"/>
      <x:c r="EB407" s="175" t="str">
        <x:f>IF(L407="","",IF(AND(F407="Claim-ready",CJ407="Yes",CL407="Yes",DZ407&lt;&gt;""),"Yes","No / Pending"))</x:f>
      </x:c>
      <x:c r="EC407" s="174"/>
      <x:c r="ED407" s="174"/>
      <x:c r="EE407" s="174"/>
      <x:c r="EF407" s="174"/>
      <x:c r="EG407" s="174"/>
      <x:c r="EH407" s="177"/>
      <x:c r="EI407" s="174"/>
      <x:c r="EJ407" s="174"/>
      <x:c r="EK407" s="174"/>
      <x:c r="EL407" s="177"/>
      <x:c r="EM407" s="174"/>
      <x:c r="EN407" s="181" t="str">
        <x:f>IF(L407="","",(IF(N407&lt;&gt;"",1,0)+IF(O407&lt;&gt;"",1,0)+IF(AJ407&lt;&gt;"",1,0)+IF(AU407&lt;&gt;"",1,0)+IF(BE407&lt;&gt;"",1,0)+IF(CF407&lt;&gt;"",1,0)+IF(CJ407="Yes",1,0)+IF(CL407="Yes",1,0)+IF(DE407&lt;&gt;"Pending",1,0)+IF(F407&lt;&gt;"",1,0)+IF(DZ407&lt;&gt;"",1,0)+IF(EI407&lt;&gt;"",1,0))/12)</x:f>
      </x:c>
    </x:row>
    <x:row r="408">
      <x:c r="A408" s="175" t="str">
        <x:f>IF(L408="","","EV-"&amp;TEXT(ROW()-3,"0000"))</x:f>
      </x:c>
      <x:c r="B408" s="174"/>
      <x:c r="C408" s="175" t="str">
        <x:f>IF(L408="","",IF(OR(CM408="Retracted",CN408="Retracted",F408="Not used"),"🔴 Do not use for conclusion",IF(OR(R408="Official / Institutional",I408="Official / contextual"),"🔵 Official / contextual",IF(OR(I408="Definition",I408="Framework",I408="Paradigm shift"),"🟣 Conceptual key source",IF(AND(CJ408="Yes",CL408="Yes",OR(CG408="High",CG408="Moderate"),CH408&lt;&gt;"High",CH408&lt;&gt;"Critical",F408="Claim-ready"),"🟢 Claim-ready","🟡 Caution / context")))))</x:f>
      </x:c>
      <x:c r="D408" s="174"/>
      <x:c r="E408" s="174"/>
      <x:c r="F408" s="174"/>
      <x:c r="G408" s="174"/>
      <x:c r="H408" s="174"/>
      <x:c r="I408" s="174"/>
      <x:c r="J408" s="174"/>
      <x:c r="K408" s="174"/>
      <x:c r="L408" s="174"/>
      <x:c r="M408" s="174"/>
      <x:c r="N408" s="174"/>
      <x:c r="O408" s="176"/>
      <x:c r="P408" s="174"/>
      <x:c r="Q408" s="174"/>
      <x:c r="R408" s="174"/>
      <x:c r="S408" s="174"/>
      <x:c r="T408" s="174"/>
      <x:c r="U408" s="174"/>
      <x:c r="V408" s="174"/>
      <x:c r="W408" s="175" t="str">
        <x:f>IF(V408="","",LOWER(SUBSTITUTE(SUBSTITUTE(SUBSTITUTE(SUBSTITUTE(TRIM(V408),"https://doi.org/",""),"http://doi.org/",""),"https://dx.doi.org/",""),"doi:","")))</x:f>
      </x:c>
      <x:c r="X408" s="174"/>
      <x:c r="Y408" s="174"/>
      <x:c r="Z408" s="174"/>
      <x:c r="AA408" s="174"/>
      <x:c r="AB408" s="174"/>
      <x:c r="AC408" s="174"/>
      <x:c r="AD408" s="177"/>
      <x:c r="AE408" s="177"/>
      <x:c r="AF408" s="174"/>
      <x:c r="AG408" s="174"/>
      <x:c r="AH408" s="174"/>
      <x:c r="AI408" s="174"/>
      <x:c r="AJ408" s="174"/>
      <x:c r="AK408" s="175" t="str">
        <x:f>IF(AJ408="","",IF(OR(LOWER(AJ408)="brazil",LOWER(AJ408)="brasil"),"Yes","No"))</x:f>
      </x:c>
      <x:c r="AL408" s="174"/>
      <x:c r="AM408" s="174"/>
      <x:c r="AN408" s="174"/>
      <x:c r="AO408" s="178"/>
      <x:c r="AP408" s="174"/>
      <x:c r="AQ408" s="174"/>
      <x:c r="AR408" s="174"/>
      <x:c r="AS408" s="174"/>
      <x:c r="AT408" s="174"/>
      <x:c r="AU408" s="174"/>
      <x:c r="AV408" s="174"/>
      <x:c r="AW408" s="174"/>
      <x:c r="AX408" s="174"/>
      <x:c r="AY408" s="174"/>
      <x:c r="AZ408" s="174"/>
      <x:c r="BA408" s="174"/>
      <x:c r="BB408" s="174"/>
      <x:c r="BC408" s="174"/>
      <x:c r="BD408" s="174"/>
      <x:c r="BE408" s="174"/>
      <x:c r="BF408" s="174"/>
      <x:c r="BG408" s="174"/>
      <x:c r="BH408" s="174"/>
      <x:c r="BI408" s="174"/>
      <x:c r="BJ408" s="174"/>
      <x:c r="BK408" s="174"/>
      <x:c r="BL408" s="174"/>
      <x:c r="BM408" s="174"/>
      <x:c r="BN408" s="174"/>
      <x:c r="BO408" s="174"/>
      <x:c r="BP408" s="174"/>
      <x:c r="BQ408" s="174"/>
      <x:c r="BR408" s="174"/>
      <x:c r="BS408" s="174"/>
      <x:c r="BT408" s="174"/>
      <x:c r="BU408" s="174"/>
      <x:c r="BV408" s="174"/>
      <x:c r="BW408" s="174"/>
      <x:c r="BX408" s="174"/>
      <x:c r="BY408" s="174"/>
      <x:c r="BZ408" s="174"/>
      <x:c r="CA408" s="174"/>
      <x:c r="CB408" s="174"/>
      <x:c r="CC408" s="174"/>
      <x:c r="CD408" s="174"/>
      <x:c r="CE408" s="174"/>
      <x:c r="CF408" s="174"/>
      <x:c r="CG408" s="174"/>
      <x:c r="CH408" s="174"/>
      <x:c r="CI408" s="179"/>
      <x:c r="CJ408" s="174"/>
      <x:c r="CK408" s="174"/>
      <x:c r="CL408" s="174"/>
      <x:c r="CM408" s="174"/>
      <x:c r="CN408" s="174"/>
      <x:c r="CO408" s="177"/>
      <x:c r="CP408" s="174"/>
      <x:c r="CQ408" s="174"/>
      <x:c r="CR408" s="174"/>
      <x:c r="CS408" s="174"/>
      <x:c r="CT408" s="174"/>
      <x:c r="CU408" s="176"/>
      <x:c r="CV408" s="176"/>
      <x:c r="CW408" s="176"/>
      <x:c r="CX408" s="176"/>
      <x:c r="CY408" s="176"/>
      <x:c r="CZ408" s="176"/>
      <x:c r="DA408" s="176"/>
      <x:c r="DB408" s="175" t="str">
        <x:f>IF(L408="","",IF(COUNT(CU408:DA408)&lt;7,"",SUM(CU408:DA408)))</x:f>
      </x:c>
      <x:c r="DC408" s="180" t="str">
        <x:f>IF(DB408="","",ROUND(DB408/14*10,1))</x:f>
      </x:c>
      <x:c r="DD408" s="174"/>
      <x:c r="DE408" s="175" t="str">
        <x:f>IF(L408="","",IF(DC408="","Pending",IF(DD408="Yes","CONDITIONAL — safety override",IF(DC408&gt;=8,"HIGH",IF(DC408&gt;=5,"CONDITIONAL","LOW")))))</x:f>
      </x:c>
      <x:c r="DF408" s="174"/>
      <x:c r="DG408" s="174"/>
      <x:c r="DH408" s="174"/>
      <x:c r="DI408" s="174"/>
      <x:c r="DJ408" s="174"/>
      <x:c r="DK408" s="174"/>
      <x:c r="DL408" s="174"/>
      <x:c r="DM408" s="174"/>
      <x:c r="DN408" s="174"/>
      <x:c r="DO408" s="174"/>
      <x:c r="DP408" s="174"/>
      <x:c r="DQ408" s="174"/>
      <x:c r="DR408" s="174"/>
      <x:c r="DS408" s="174"/>
      <x:c r="DT408" s="174"/>
      <x:c r="DU408" s="174"/>
      <x:c r="DV408" s="174"/>
      <x:c r="DW408" s="174"/>
      <x:c r="DX408" s="174"/>
      <x:c r="DY408" s="174"/>
      <x:c r="DZ408" s="174"/>
      <x:c r="EA408" s="174"/>
      <x:c r="EB408" s="175" t="str">
        <x:f>IF(L408="","",IF(AND(F408="Claim-ready",CJ408="Yes",CL408="Yes",DZ408&lt;&gt;""),"Yes","No / Pending"))</x:f>
      </x:c>
      <x:c r="EC408" s="174"/>
      <x:c r="ED408" s="174"/>
      <x:c r="EE408" s="174"/>
      <x:c r="EF408" s="174"/>
      <x:c r="EG408" s="174"/>
      <x:c r="EH408" s="177"/>
      <x:c r="EI408" s="174"/>
      <x:c r="EJ408" s="174"/>
      <x:c r="EK408" s="174"/>
      <x:c r="EL408" s="177"/>
      <x:c r="EM408" s="174"/>
      <x:c r="EN408" s="181" t="str">
        <x:f>IF(L408="","",(IF(N408&lt;&gt;"",1,0)+IF(O408&lt;&gt;"",1,0)+IF(AJ408&lt;&gt;"",1,0)+IF(AU408&lt;&gt;"",1,0)+IF(BE408&lt;&gt;"",1,0)+IF(CF408&lt;&gt;"",1,0)+IF(CJ408="Yes",1,0)+IF(CL408="Yes",1,0)+IF(DE408&lt;&gt;"Pending",1,0)+IF(F408&lt;&gt;"",1,0)+IF(DZ408&lt;&gt;"",1,0)+IF(EI408&lt;&gt;"",1,0))/12)</x:f>
      </x:c>
    </x:row>
    <x:row r="409">
      <x:c r="A409" s="175" t="str">
        <x:f>IF(L409="","","EV-"&amp;TEXT(ROW()-3,"0000"))</x:f>
      </x:c>
      <x:c r="B409" s="174"/>
      <x:c r="C409" s="175" t="str">
        <x:f>IF(L409="","",IF(OR(CM409="Retracted",CN409="Retracted",F409="Not used"),"🔴 Do not use for conclusion",IF(OR(R409="Official / Institutional",I409="Official / contextual"),"🔵 Official / contextual",IF(OR(I409="Definition",I409="Framework",I409="Paradigm shift"),"🟣 Conceptual key source",IF(AND(CJ409="Yes",CL409="Yes",OR(CG409="High",CG409="Moderate"),CH409&lt;&gt;"High",CH409&lt;&gt;"Critical",F409="Claim-ready"),"🟢 Claim-ready","🟡 Caution / context")))))</x:f>
      </x:c>
      <x:c r="D409" s="174"/>
      <x:c r="E409" s="174"/>
      <x:c r="F409" s="174"/>
      <x:c r="G409" s="174"/>
      <x:c r="H409" s="174"/>
      <x:c r="I409" s="174"/>
      <x:c r="J409" s="174"/>
      <x:c r="K409" s="174"/>
      <x:c r="L409" s="174"/>
      <x:c r="M409" s="174"/>
      <x:c r="N409" s="174"/>
      <x:c r="O409" s="176"/>
      <x:c r="P409" s="174"/>
      <x:c r="Q409" s="174"/>
      <x:c r="R409" s="174"/>
      <x:c r="S409" s="174"/>
      <x:c r="T409" s="174"/>
      <x:c r="U409" s="174"/>
      <x:c r="V409" s="174"/>
      <x:c r="W409" s="175" t="str">
        <x:f>IF(V409="","",LOWER(SUBSTITUTE(SUBSTITUTE(SUBSTITUTE(SUBSTITUTE(TRIM(V409),"https://doi.org/",""),"http://doi.org/",""),"https://dx.doi.org/",""),"doi:","")))</x:f>
      </x:c>
      <x:c r="X409" s="174"/>
      <x:c r="Y409" s="174"/>
      <x:c r="Z409" s="174"/>
      <x:c r="AA409" s="174"/>
      <x:c r="AB409" s="174"/>
      <x:c r="AC409" s="174"/>
      <x:c r="AD409" s="177"/>
      <x:c r="AE409" s="177"/>
      <x:c r="AF409" s="174"/>
      <x:c r="AG409" s="174"/>
      <x:c r="AH409" s="174"/>
      <x:c r="AI409" s="174"/>
      <x:c r="AJ409" s="174"/>
      <x:c r="AK409" s="175" t="str">
        <x:f>IF(AJ409="","",IF(OR(LOWER(AJ409)="brazil",LOWER(AJ409)="brasil"),"Yes","No"))</x:f>
      </x:c>
      <x:c r="AL409" s="174"/>
      <x:c r="AM409" s="174"/>
      <x:c r="AN409" s="174"/>
      <x:c r="AO409" s="178"/>
      <x:c r="AP409" s="174"/>
      <x:c r="AQ409" s="174"/>
      <x:c r="AR409" s="174"/>
      <x:c r="AS409" s="174"/>
      <x:c r="AT409" s="174"/>
      <x:c r="AU409" s="174"/>
      <x:c r="AV409" s="174"/>
      <x:c r="AW409" s="174"/>
      <x:c r="AX409" s="174"/>
      <x:c r="AY409" s="174"/>
      <x:c r="AZ409" s="174"/>
      <x:c r="BA409" s="174"/>
      <x:c r="BB409" s="174"/>
      <x:c r="BC409" s="174"/>
      <x:c r="BD409" s="174"/>
      <x:c r="BE409" s="174"/>
      <x:c r="BF409" s="174"/>
      <x:c r="BG409" s="174"/>
      <x:c r="BH409" s="174"/>
      <x:c r="BI409" s="174"/>
      <x:c r="BJ409" s="174"/>
      <x:c r="BK409" s="174"/>
      <x:c r="BL409" s="174"/>
      <x:c r="BM409" s="174"/>
      <x:c r="BN409" s="174"/>
      <x:c r="BO409" s="174"/>
      <x:c r="BP409" s="174"/>
      <x:c r="BQ409" s="174"/>
      <x:c r="BR409" s="174"/>
      <x:c r="BS409" s="174"/>
      <x:c r="BT409" s="174"/>
      <x:c r="BU409" s="174"/>
      <x:c r="BV409" s="174"/>
      <x:c r="BW409" s="174"/>
      <x:c r="BX409" s="174"/>
      <x:c r="BY409" s="174"/>
      <x:c r="BZ409" s="174"/>
      <x:c r="CA409" s="174"/>
      <x:c r="CB409" s="174"/>
      <x:c r="CC409" s="174"/>
      <x:c r="CD409" s="174"/>
      <x:c r="CE409" s="174"/>
      <x:c r="CF409" s="174"/>
      <x:c r="CG409" s="174"/>
      <x:c r="CH409" s="174"/>
      <x:c r="CI409" s="179"/>
      <x:c r="CJ409" s="174"/>
      <x:c r="CK409" s="174"/>
      <x:c r="CL409" s="174"/>
      <x:c r="CM409" s="174"/>
      <x:c r="CN409" s="174"/>
      <x:c r="CO409" s="177"/>
      <x:c r="CP409" s="174"/>
      <x:c r="CQ409" s="174"/>
      <x:c r="CR409" s="174"/>
      <x:c r="CS409" s="174"/>
      <x:c r="CT409" s="174"/>
      <x:c r="CU409" s="176"/>
      <x:c r="CV409" s="176"/>
      <x:c r="CW409" s="176"/>
      <x:c r="CX409" s="176"/>
      <x:c r="CY409" s="176"/>
      <x:c r="CZ409" s="176"/>
      <x:c r="DA409" s="176"/>
      <x:c r="DB409" s="175" t="str">
        <x:f>IF(L409="","",IF(COUNT(CU409:DA409)&lt;7,"",SUM(CU409:DA409)))</x:f>
      </x:c>
      <x:c r="DC409" s="180" t="str">
        <x:f>IF(DB409="","",ROUND(DB409/14*10,1))</x:f>
      </x:c>
      <x:c r="DD409" s="174"/>
      <x:c r="DE409" s="175" t="str">
        <x:f>IF(L409="","",IF(DC409="","Pending",IF(DD409="Yes","CONDITIONAL — safety override",IF(DC409&gt;=8,"HIGH",IF(DC409&gt;=5,"CONDITIONAL","LOW")))))</x:f>
      </x:c>
      <x:c r="DF409" s="174"/>
      <x:c r="DG409" s="174"/>
      <x:c r="DH409" s="174"/>
      <x:c r="DI409" s="174"/>
      <x:c r="DJ409" s="174"/>
      <x:c r="DK409" s="174"/>
      <x:c r="DL409" s="174"/>
      <x:c r="DM409" s="174"/>
      <x:c r="DN409" s="174"/>
      <x:c r="DO409" s="174"/>
      <x:c r="DP409" s="174"/>
      <x:c r="DQ409" s="174"/>
      <x:c r="DR409" s="174"/>
      <x:c r="DS409" s="174"/>
      <x:c r="DT409" s="174"/>
      <x:c r="DU409" s="174"/>
      <x:c r="DV409" s="174"/>
      <x:c r="DW409" s="174"/>
      <x:c r="DX409" s="174"/>
      <x:c r="DY409" s="174"/>
      <x:c r="DZ409" s="174"/>
      <x:c r="EA409" s="174"/>
      <x:c r="EB409" s="175" t="str">
        <x:f>IF(L409="","",IF(AND(F409="Claim-ready",CJ409="Yes",CL409="Yes",DZ409&lt;&gt;""),"Yes","No / Pending"))</x:f>
      </x:c>
      <x:c r="EC409" s="174"/>
      <x:c r="ED409" s="174"/>
      <x:c r="EE409" s="174"/>
      <x:c r="EF409" s="174"/>
      <x:c r="EG409" s="174"/>
      <x:c r="EH409" s="177"/>
      <x:c r="EI409" s="174"/>
      <x:c r="EJ409" s="174"/>
      <x:c r="EK409" s="174"/>
      <x:c r="EL409" s="177"/>
      <x:c r="EM409" s="174"/>
      <x:c r="EN409" s="181" t="str">
        <x:f>IF(L409="","",(IF(N409&lt;&gt;"",1,0)+IF(O409&lt;&gt;"",1,0)+IF(AJ409&lt;&gt;"",1,0)+IF(AU409&lt;&gt;"",1,0)+IF(BE409&lt;&gt;"",1,0)+IF(CF409&lt;&gt;"",1,0)+IF(CJ409="Yes",1,0)+IF(CL409="Yes",1,0)+IF(DE409&lt;&gt;"Pending",1,0)+IF(F409&lt;&gt;"",1,0)+IF(DZ409&lt;&gt;"",1,0)+IF(EI409&lt;&gt;"",1,0))/12)</x:f>
      </x:c>
    </x:row>
    <x:row r="410">
      <x:c r="A410" s="175" t="str">
        <x:f>IF(L410="","","EV-"&amp;TEXT(ROW()-3,"0000"))</x:f>
      </x:c>
      <x:c r="B410" s="174"/>
      <x:c r="C410" s="175" t="str">
        <x:f>IF(L410="","",IF(OR(CM410="Retracted",CN410="Retracted",F410="Not used"),"🔴 Do not use for conclusion",IF(OR(R410="Official / Institutional",I410="Official / contextual"),"🔵 Official / contextual",IF(OR(I410="Definition",I410="Framework",I410="Paradigm shift"),"🟣 Conceptual key source",IF(AND(CJ410="Yes",CL410="Yes",OR(CG410="High",CG410="Moderate"),CH410&lt;&gt;"High",CH410&lt;&gt;"Critical",F410="Claim-ready"),"🟢 Claim-ready","🟡 Caution / context")))))</x:f>
      </x:c>
      <x:c r="D410" s="174"/>
      <x:c r="E410" s="174"/>
      <x:c r="F410" s="174"/>
      <x:c r="G410" s="174"/>
      <x:c r="H410" s="174"/>
      <x:c r="I410" s="174"/>
      <x:c r="J410" s="174"/>
      <x:c r="K410" s="174"/>
      <x:c r="L410" s="174"/>
      <x:c r="M410" s="174"/>
      <x:c r="N410" s="174"/>
      <x:c r="O410" s="176"/>
      <x:c r="P410" s="174"/>
      <x:c r="Q410" s="174"/>
      <x:c r="R410" s="174"/>
      <x:c r="S410" s="174"/>
      <x:c r="T410" s="174"/>
      <x:c r="U410" s="174"/>
      <x:c r="V410" s="174"/>
      <x:c r="W410" s="175" t="str">
        <x:f>IF(V410="","",LOWER(SUBSTITUTE(SUBSTITUTE(SUBSTITUTE(SUBSTITUTE(TRIM(V410),"https://doi.org/",""),"http://doi.org/",""),"https://dx.doi.org/",""),"doi:","")))</x:f>
      </x:c>
      <x:c r="X410" s="174"/>
      <x:c r="Y410" s="174"/>
      <x:c r="Z410" s="174"/>
      <x:c r="AA410" s="174"/>
      <x:c r="AB410" s="174"/>
      <x:c r="AC410" s="174"/>
      <x:c r="AD410" s="177"/>
      <x:c r="AE410" s="177"/>
      <x:c r="AF410" s="174"/>
      <x:c r="AG410" s="174"/>
      <x:c r="AH410" s="174"/>
      <x:c r="AI410" s="174"/>
      <x:c r="AJ410" s="174"/>
      <x:c r="AK410" s="175" t="str">
        <x:f>IF(AJ410="","",IF(OR(LOWER(AJ410)="brazil",LOWER(AJ410)="brasil"),"Yes","No"))</x:f>
      </x:c>
      <x:c r="AL410" s="174"/>
      <x:c r="AM410" s="174"/>
      <x:c r="AN410" s="174"/>
      <x:c r="AO410" s="178"/>
      <x:c r="AP410" s="174"/>
      <x:c r="AQ410" s="174"/>
      <x:c r="AR410" s="174"/>
      <x:c r="AS410" s="174"/>
      <x:c r="AT410" s="174"/>
      <x:c r="AU410" s="174"/>
      <x:c r="AV410" s="174"/>
      <x:c r="AW410" s="174"/>
      <x:c r="AX410" s="174"/>
      <x:c r="AY410" s="174"/>
      <x:c r="AZ410" s="174"/>
      <x:c r="BA410" s="174"/>
      <x:c r="BB410" s="174"/>
      <x:c r="BC410" s="174"/>
      <x:c r="BD410" s="174"/>
      <x:c r="BE410" s="174"/>
      <x:c r="BF410" s="174"/>
      <x:c r="BG410" s="174"/>
      <x:c r="BH410" s="174"/>
      <x:c r="BI410" s="174"/>
      <x:c r="BJ410" s="174"/>
      <x:c r="BK410" s="174"/>
      <x:c r="BL410" s="174"/>
      <x:c r="BM410" s="174"/>
      <x:c r="BN410" s="174"/>
      <x:c r="BO410" s="174"/>
      <x:c r="BP410" s="174"/>
      <x:c r="BQ410" s="174"/>
      <x:c r="BR410" s="174"/>
      <x:c r="BS410" s="174"/>
      <x:c r="BT410" s="174"/>
      <x:c r="BU410" s="174"/>
      <x:c r="BV410" s="174"/>
      <x:c r="BW410" s="174"/>
      <x:c r="BX410" s="174"/>
      <x:c r="BY410" s="174"/>
      <x:c r="BZ410" s="174"/>
      <x:c r="CA410" s="174"/>
      <x:c r="CB410" s="174"/>
      <x:c r="CC410" s="174"/>
      <x:c r="CD410" s="174"/>
      <x:c r="CE410" s="174"/>
      <x:c r="CF410" s="174"/>
      <x:c r="CG410" s="174"/>
      <x:c r="CH410" s="174"/>
      <x:c r="CI410" s="179"/>
      <x:c r="CJ410" s="174"/>
      <x:c r="CK410" s="174"/>
      <x:c r="CL410" s="174"/>
      <x:c r="CM410" s="174"/>
      <x:c r="CN410" s="174"/>
      <x:c r="CO410" s="177"/>
      <x:c r="CP410" s="174"/>
      <x:c r="CQ410" s="174"/>
      <x:c r="CR410" s="174"/>
      <x:c r="CS410" s="174"/>
      <x:c r="CT410" s="174"/>
      <x:c r="CU410" s="176"/>
      <x:c r="CV410" s="176"/>
      <x:c r="CW410" s="176"/>
      <x:c r="CX410" s="176"/>
      <x:c r="CY410" s="176"/>
      <x:c r="CZ410" s="176"/>
      <x:c r="DA410" s="176"/>
      <x:c r="DB410" s="175" t="str">
        <x:f>IF(L410="","",IF(COUNT(CU410:DA410)&lt;7,"",SUM(CU410:DA410)))</x:f>
      </x:c>
      <x:c r="DC410" s="180" t="str">
        <x:f>IF(DB410="","",ROUND(DB410/14*10,1))</x:f>
      </x:c>
      <x:c r="DD410" s="174"/>
      <x:c r="DE410" s="175" t="str">
        <x:f>IF(L410="","",IF(DC410="","Pending",IF(DD410="Yes","CONDITIONAL — safety override",IF(DC410&gt;=8,"HIGH",IF(DC410&gt;=5,"CONDITIONAL","LOW")))))</x:f>
      </x:c>
      <x:c r="DF410" s="174"/>
      <x:c r="DG410" s="174"/>
      <x:c r="DH410" s="174"/>
      <x:c r="DI410" s="174"/>
      <x:c r="DJ410" s="174"/>
      <x:c r="DK410" s="174"/>
      <x:c r="DL410" s="174"/>
      <x:c r="DM410" s="174"/>
      <x:c r="DN410" s="174"/>
      <x:c r="DO410" s="174"/>
      <x:c r="DP410" s="174"/>
      <x:c r="DQ410" s="174"/>
      <x:c r="DR410" s="174"/>
      <x:c r="DS410" s="174"/>
      <x:c r="DT410" s="174"/>
      <x:c r="DU410" s="174"/>
      <x:c r="DV410" s="174"/>
      <x:c r="DW410" s="174"/>
      <x:c r="DX410" s="174"/>
      <x:c r="DY410" s="174"/>
      <x:c r="DZ410" s="174"/>
      <x:c r="EA410" s="174"/>
      <x:c r="EB410" s="175" t="str">
        <x:f>IF(L410="","",IF(AND(F410="Claim-ready",CJ410="Yes",CL410="Yes",DZ410&lt;&gt;""),"Yes","No / Pending"))</x:f>
      </x:c>
      <x:c r="EC410" s="174"/>
      <x:c r="ED410" s="174"/>
      <x:c r="EE410" s="174"/>
      <x:c r="EF410" s="174"/>
      <x:c r="EG410" s="174"/>
      <x:c r="EH410" s="177"/>
      <x:c r="EI410" s="174"/>
      <x:c r="EJ410" s="174"/>
      <x:c r="EK410" s="174"/>
      <x:c r="EL410" s="177"/>
      <x:c r="EM410" s="174"/>
      <x:c r="EN410" s="181" t="str">
        <x:f>IF(L410="","",(IF(N410&lt;&gt;"",1,0)+IF(O410&lt;&gt;"",1,0)+IF(AJ410&lt;&gt;"",1,0)+IF(AU410&lt;&gt;"",1,0)+IF(BE410&lt;&gt;"",1,0)+IF(CF410&lt;&gt;"",1,0)+IF(CJ410="Yes",1,0)+IF(CL410="Yes",1,0)+IF(DE410&lt;&gt;"Pending",1,0)+IF(F410&lt;&gt;"",1,0)+IF(DZ410&lt;&gt;"",1,0)+IF(EI410&lt;&gt;"",1,0))/12)</x:f>
      </x:c>
    </x:row>
    <x:row r="411">
      <x:c r="A411" s="175" t="str">
        <x:f>IF(L411="","","EV-"&amp;TEXT(ROW()-3,"0000"))</x:f>
      </x:c>
      <x:c r="B411" s="174"/>
      <x:c r="C411" s="175" t="str">
        <x:f>IF(L411="","",IF(OR(CM411="Retracted",CN411="Retracted",F411="Not used"),"🔴 Do not use for conclusion",IF(OR(R411="Official / Institutional",I411="Official / contextual"),"🔵 Official / contextual",IF(OR(I411="Definition",I411="Framework",I411="Paradigm shift"),"🟣 Conceptual key source",IF(AND(CJ411="Yes",CL411="Yes",OR(CG411="High",CG411="Moderate"),CH411&lt;&gt;"High",CH411&lt;&gt;"Critical",F411="Claim-ready"),"🟢 Claim-ready","🟡 Caution / context")))))</x:f>
      </x:c>
      <x:c r="D411" s="174"/>
      <x:c r="E411" s="174"/>
      <x:c r="F411" s="174"/>
      <x:c r="G411" s="174"/>
      <x:c r="H411" s="174"/>
      <x:c r="I411" s="174"/>
      <x:c r="J411" s="174"/>
      <x:c r="K411" s="174"/>
      <x:c r="L411" s="174"/>
      <x:c r="M411" s="174"/>
      <x:c r="N411" s="174"/>
      <x:c r="O411" s="176"/>
      <x:c r="P411" s="174"/>
      <x:c r="Q411" s="174"/>
      <x:c r="R411" s="174"/>
      <x:c r="S411" s="174"/>
      <x:c r="T411" s="174"/>
      <x:c r="U411" s="174"/>
      <x:c r="V411" s="174"/>
      <x:c r="W411" s="175" t="str">
        <x:f>IF(V411="","",LOWER(SUBSTITUTE(SUBSTITUTE(SUBSTITUTE(SUBSTITUTE(TRIM(V411),"https://doi.org/",""),"http://doi.org/",""),"https://dx.doi.org/",""),"doi:","")))</x:f>
      </x:c>
      <x:c r="X411" s="174"/>
      <x:c r="Y411" s="174"/>
      <x:c r="Z411" s="174"/>
      <x:c r="AA411" s="174"/>
      <x:c r="AB411" s="174"/>
      <x:c r="AC411" s="174"/>
      <x:c r="AD411" s="177"/>
      <x:c r="AE411" s="177"/>
      <x:c r="AF411" s="174"/>
      <x:c r="AG411" s="174"/>
      <x:c r="AH411" s="174"/>
      <x:c r="AI411" s="174"/>
      <x:c r="AJ411" s="174"/>
      <x:c r="AK411" s="175" t="str">
        <x:f>IF(AJ411="","",IF(OR(LOWER(AJ411)="brazil",LOWER(AJ411)="brasil"),"Yes","No"))</x:f>
      </x:c>
      <x:c r="AL411" s="174"/>
      <x:c r="AM411" s="174"/>
      <x:c r="AN411" s="174"/>
      <x:c r="AO411" s="178"/>
      <x:c r="AP411" s="174"/>
      <x:c r="AQ411" s="174"/>
      <x:c r="AR411" s="174"/>
      <x:c r="AS411" s="174"/>
      <x:c r="AT411" s="174"/>
      <x:c r="AU411" s="174"/>
      <x:c r="AV411" s="174"/>
      <x:c r="AW411" s="174"/>
      <x:c r="AX411" s="174"/>
      <x:c r="AY411" s="174"/>
      <x:c r="AZ411" s="174"/>
      <x:c r="BA411" s="174"/>
      <x:c r="BB411" s="174"/>
      <x:c r="BC411" s="174"/>
      <x:c r="BD411" s="174"/>
      <x:c r="BE411" s="174"/>
      <x:c r="BF411" s="174"/>
      <x:c r="BG411" s="174"/>
      <x:c r="BH411" s="174"/>
      <x:c r="BI411" s="174"/>
      <x:c r="BJ411" s="174"/>
      <x:c r="BK411" s="174"/>
      <x:c r="BL411" s="174"/>
      <x:c r="BM411" s="174"/>
      <x:c r="BN411" s="174"/>
      <x:c r="BO411" s="174"/>
      <x:c r="BP411" s="174"/>
      <x:c r="BQ411" s="174"/>
      <x:c r="BR411" s="174"/>
      <x:c r="BS411" s="174"/>
      <x:c r="BT411" s="174"/>
      <x:c r="BU411" s="174"/>
      <x:c r="BV411" s="174"/>
      <x:c r="BW411" s="174"/>
      <x:c r="BX411" s="174"/>
      <x:c r="BY411" s="174"/>
      <x:c r="BZ411" s="174"/>
      <x:c r="CA411" s="174"/>
      <x:c r="CB411" s="174"/>
      <x:c r="CC411" s="174"/>
      <x:c r="CD411" s="174"/>
      <x:c r="CE411" s="174"/>
      <x:c r="CF411" s="174"/>
      <x:c r="CG411" s="174"/>
      <x:c r="CH411" s="174"/>
      <x:c r="CI411" s="179"/>
      <x:c r="CJ411" s="174"/>
      <x:c r="CK411" s="174"/>
      <x:c r="CL411" s="174"/>
      <x:c r="CM411" s="174"/>
      <x:c r="CN411" s="174"/>
      <x:c r="CO411" s="177"/>
      <x:c r="CP411" s="174"/>
      <x:c r="CQ411" s="174"/>
      <x:c r="CR411" s="174"/>
      <x:c r="CS411" s="174"/>
      <x:c r="CT411" s="174"/>
      <x:c r="CU411" s="176"/>
      <x:c r="CV411" s="176"/>
      <x:c r="CW411" s="176"/>
      <x:c r="CX411" s="176"/>
      <x:c r="CY411" s="176"/>
      <x:c r="CZ411" s="176"/>
      <x:c r="DA411" s="176"/>
      <x:c r="DB411" s="175" t="str">
        <x:f>IF(L411="","",IF(COUNT(CU411:DA411)&lt;7,"",SUM(CU411:DA411)))</x:f>
      </x:c>
      <x:c r="DC411" s="180" t="str">
        <x:f>IF(DB411="","",ROUND(DB411/14*10,1))</x:f>
      </x:c>
      <x:c r="DD411" s="174"/>
      <x:c r="DE411" s="175" t="str">
        <x:f>IF(L411="","",IF(DC411="","Pending",IF(DD411="Yes","CONDITIONAL — safety override",IF(DC411&gt;=8,"HIGH",IF(DC411&gt;=5,"CONDITIONAL","LOW")))))</x:f>
      </x:c>
      <x:c r="DF411" s="174"/>
      <x:c r="DG411" s="174"/>
      <x:c r="DH411" s="174"/>
      <x:c r="DI411" s="174"/>
      <x:c r="DJ411" s="174"/>
      <x:c r="DK411" s="174"/>
      <x:c r="DL411" s="174"/>
      <x:c r="DM411" s="174"/>
      <x:c r="DN411" s="174"/>
      <x:c r="DO411" s="174"/>
      <x:c r="DP411" s="174"/>
      <x:c r="DQ411" s="174"/>
      <x:c r="DR411" s="174"/>
      <x:c r="DS411" s="174"/>
      <x:c r="DT411" s="174"/>
      <x:c r="DU411" s="174"/>
      <x:c r="DV411" s="174"/>
      <x:c r="DW411" s="174"/>
      <x:c r="DX411" s="174"/>
      <x:c r="DY411" s="174"/>
      <x:c r="DZ411" s="174"/>
      <x:c r="EA411" s="174"/>
      <x:c r="EB411" s="175" t="str">
        <x:f>IF(L411="","",IF(AND(F411="Claim-ready",CJ411="Yes",CL411="Yes",DZ411&lt;&gt;""),"Yes","No / Pending"))</x:f>
      </x:c>
      <x:c r="EC411" s="174"/>
      <x:c r="ED411" s="174"/>
      <x:c r="EE411" s="174"/>
      <x:c r="EF411" s="174"/>
      <x:c r="EG411" s="174"/>
      <x:c r="EH411" s="177"/>
      <x:c r="EI411" s="174"/>
      <x:c r="EJ411" s="174"/>
      <x:c r="EK411" s="174"/>
      <x:c r="EL411" s="177"/>
      <x:c r="EM411" s="174"/>
      <x:c r="EN411" s="181" t="str">
        <x:f>IF(L411="","",(IF(N411&lt;&gt;"",1,0)+IF(O411&lt;&gt;"",1,0)+IF(AJ411&lt;&gt;"",1,0)+IF(AU411&lt;&gt;"",1,0)+IF(BE411&lt;&gt;"",1,0)+IF(CF411&lt;&gt;"",1,0)+IF(CJ411="Yes",1,0)+IF(CL411="Yes",1,0)+IF(DE411&lt;&gt;"Pending",1,0)+IF(F411&lt;&gt;"",1,0)+IF(DZ411&lt;&gt;"",1,0)+IF(EI411&lt;&gt;"",1,0))/12)</x:f>
      </x:c>
    </x:row>
    <x:row r="412">
      <x:c r="A412" s="175" t="str">
        <x:f>IF(L412="","","EV-"&amp;TEXT(ROW()-3,"0000"))</x:f>
      </x:c>
      <x:c r="B412" s="174"/>
      <x:c r="C412" s="175" t="str">
        <x:f>IF(L412="","",IF(OR(CM412="Retracted",CN412="Retracted",F412="Not used"),"🔴 Do not use for conclusion",IF(OR(R412="Official / Institutional",I412="Official / contextual"),"🔵 Official / contextual",IF(OR(I412="Definition",I412="Framework",I412="Paradigm shift"),"🟣 Conceptual key source",IF(AND(CJ412="Yes",CL412="Yes",OR(CG412="High",CG412="Moderate"),CH412&lt;&gt;"High",CH412&lt;&gt;"Critical",F412="Claim-ready"),"🟢 Claim-ready","🟡 Caution / context")))))</x:f>
      </x:c>
      <x:c r="D412" s="174"/>
      <x:c r="E412" s="174"/>
      <x:c r="F412" s="174"/>
      <x:c r="G412" s="174"/>
      <x:c r="H412" s="174"/>
      <x:c r="I412" s="174"/>
      <x:c r="J412" s="174"/>
      <x:c r="K412" s="174"/>
      <x:c r="L412" s="174"/>
      <x:c r="M412" s="174"/>
      <x:c r="N412" s="174"/>
      <x:c r="O412" s="176"/>
      <x:c r="P412" s="174"/>
      <x:c r="Q412" s="174"/>
      <x:c r="R412" s="174"/>
      <x:c r="S412" s="174"/>
      <x:c r="T412" s="174"/>
      <x:c r="U412" s="174"/>
      <x:c r="V412" s="174"/>
      <x:c r="W412" s="175" t="str">
        <x:f>IF(V412="","",LOWER(SUBSTITUTE(SUBSTITUTE(SUBSTITUTE(SUBSTITUTE(TRIM(V412),"https://doi.org/",""),"http://doi.org/",""),"https://dx.doi.org/",""),"doi:","")))</x:f>
      </x:c>
      <x:c r="X412" s="174"/>
      <x:c r="Y412" s="174"/>
      <x:c r="Z412" s="174"/>
      <x:c r="AA412" s="174"/>
      <x:c r="AB412" s="174"/>
      <x:c r="AC412" s="174"/>
      <x:c r="AD412" s="177"/>
      <x:c r="AE412" s="177"/>
      <x:c r="AF412" s="174"/>
      <x:c r="AG412" s="174"/>
      <x:c r="AH412" s="174"/>
      <x:c r="AI412" s="174"/>
      <x:c r="AJ412" s="174"/>
      <x:c r="AK412" s="175" t="str">
        <x:f>IF(AJ412="","",IF(OR(LOWER(AJ412)="brazil",LOWER(AJ412)="brasil"),"Yes","No"))</x:f>
      </x:c>
      <x:c r="AL412" s="174"/>
      <x:c r="AM412" s="174"/>
      <x:c r="AN412" s="174"/>
      <x:c r="AO412" s="178"/>
      <x:c r="AP412" s="174"/>
      <x:c r="AQ412" s="174"/>
      <x:c r="AR412" s="174"/>
      <x:c r="AS412" s="174"/>
      <x:c r="AT412" s="174"/>
      <x:c r="AU412" s="174"/>
      <x:c r="AV412" s="174"/>
      <x:c r="AW412" s="174"/>
      <x:c r="AX412" s="174"/>
      <x:c r="AY412" s="174"/>
      <x:c r="AZ412" s="174"/>
      <x:c r="BA412" s="174"/>
      <x:c r="BB412" s="174"/>
      <x:c r="BC412" s="174"/>
      <x:c r="BD412" s="174"/>
      <x:c r="BE412" s="174"/>
      <x:c r="BF412" s="174"/>
      <x:c r="BG412" s="174"/>
      <x:c r="BH412" s="174"/>
      <x:c r="BI412" s="174"/>
      <x:c r="BJ412" s="174"/>
      <x:c r="BK412" s="174"/>
      <x:c r="BL412" s="174"/>
      <x:c r="BM412" s="174"/>
      <x:c r="BN412" s="174"/>
      <x:c r="BO412" s="174"/>
      <x:c r="BP412" s="174"/>
      <x:c r="BQ412" s="174"/>
      <x:c r="BR412" s="174"/>
      <x:c r="BS412" s="174"/>
      <x:c r="BT412" s="174"/>
      <x:c r="BU412" s="174"/>
      <x:c r="BV412" s="174"/>
      <x:c r="BW412" s="174"/>
      <x:c r="BX412" s="174"/>
      <x:c r="BY412" s="174"/>
      <x:c r="BZ412" s="174"/>
      <x:c r="CA412" s="174"/>
      <x:c r="CB412" s="174"/>
      <x:c r="CC412" s="174"/>
      <x:c r="CD412" s="174"/>
      <x:c r="CE412" s="174"/>
      <x:c r="CF412" s="174"/>
      <x:c r="CG412" s="174"/>
      <x:c r="CH412" s="174"/>
      <x:c r="CI412" s="179"/>
      <x:c r="CJ412" s="174"/>
      <x:c r="CK412" s="174"/>
      <x:c r="CL412" s="174"/>
      <x:c r="CM412" s="174"/>
      <x:c r="CN412" s="174"/>
      <x:c r="CO412" s="177"/>
      <x:c r="CP412" s="174"/>
      <x:c r="CQ412" s="174"/>
      <x:c r="CR412" s="174"/>
      <x:c r="CS412" s="174"/>
      <x:c r="CT412" s="174"/>
      <x:c r="CU412" s="176"/>
      <x:c r="CV412" s="176"/>
      <x:c r="CW412" s="176"/>
      <x:c r="CX412" s="176"/>
      <x:c r="CY412" s="176"/>
      <x:c r="CZ412" s="176"/>
      <x:c r="DA412" s="176"/>
      <x:c r="DB412" s="175" t="str">
        <x:f>IF(L412="","",IF(COUNT(CU412:DA412)&lt;7,"",SUM(CU412:DA412)))</x:f>
      </x:c>
      <x:c r="DC412" s="180" t="str">
        <x:f>IF(DB412="","",ROUND(DB412/14*10,1))</x:f>
      </x:c>
      <x:c r="DD412" s="174"/>
      <x:c r="DE412" s="175" t="str">
        <x:f>IF(L412="","",IF(DC412="","Pending",IF(DD412="Yes","CONDITIONAL — safety override",IF(DC412&gt;=8,"HIGH",IF(DC412&gt;=5,"CONDITIONAL","LOW")))))</x:f>
      </x:c>
      <x:c r="DF412" s="174"/>
      <x:c r="DG412" s="174"/>
      <x:c r="DH412" s="174"/>
      <x:c r="DI412" s="174"/>
      <x:c r="DJ412" s="174"/>
      <x:c r="DK412" s="174"/>
      <x:c r="DL412" s="174"/>
      <x:c r="DM412" s="174"/>
      <x:c r="DN412" s="174"/>
      <x:c r="DO412" s="174"/>
      <x:c r="DP412" s="174"/>
      <x:c r="DQ412" s="174"/>
      <x:c r="DR412" s="174"/>
      <x:c r="DS412" s="174"/>
      <x:c r="DT412" s="174"/>
      <x:c r="DU412" s="174"/>
      <x:c r="DV412" s="174"/>
      <x:c r="DW412" s="174"/>
      <x:c r="DX412" s="174"/>
      <x:c r="DY412" s="174"/>
      <x:c r="DZ412" s="174"/>
      <x:c r="EA412" s="174"/>
      <x:c r="EB412" s="175" t="str">
        <x:f>IF(L412="","",IF(AND(F412="Claim-ready",CJ412="Yes",CL412="Yes",DZ412&lt;&gt;""),"Yes","No / Pending"))</x:f>
      </x:c>
      <x:c r="EC412" s="174"/>
      <x:c r="ED412" s="174"/>
      <x:c r="EE412" s="174"/>
      <x:c r="EF412" s="174"/>
      <x:c r="EG412" s="174"/>
      <x:c r="EH412" s="177"/>
      <x:c r="EI412" s="174"/>
      <x:c r="EJ412" s="174"/>
      <x:c r="EK412" s="174"/>
      <x:c r="EL412" s="177"/>
      <x:c r="EM412" s="174"/>
      <x:c r="EN412" s="181" t="str">
        <x:f>IF(L412="","",(IF(N412&lt;&gt;"",1,0)+IF(O412&lt;&gt;"",1,0)+IF(AJ412&lt;&gt;"",1,0)+IF(AU412&lt;&gt;"",1,0)+IF(BE412&lt;&gt;"",1,0)+IF(CF412&lt;&gt;"",1,0)+IF(CJ412="Yes",1,0)+IF(CL412="Yes",1,0)+IF(DE412&lt;&gt;"Pending",1,0)+IF(F412&lt;&gt;"",1,0)+IF(DZ412&lt;&gt;"",1,0)+IF(EI412&lt;&gt;"",1,0))/12)</x:f>
      </x:c>
    </x:row>
    <x:row r="413">
      <x:c r="A413" s="175" t="str">
        <x:f>IF(L413="","","EV-"&amp;TEXT(ROW()-3,"0000"))</x:f>
      </x:c>
      <x:c r="B413" s="174"/>
      <x:c r="C413" s="175" t="str">
        <x:f>IF(L413="","",IF(OR(CM413="Retracted",CN413="Retracted",F413="Not used"),"🔴 Do not use for conclusion",IF(OR(R413="Official / Institutional",I413="Official / contextual"),"🔵 Official / contextual",IF(OR(I413="Definition",I413="Framework",I413="Paradigm shift"),"🟣 Conceptual key source",IF(AND(CJ413="Yes",CL413="Yes",OR(CG413="High",CG413="Moderate"),CH413&lt;&gt;"High",CH413&lt;&gt;"Critical",F413="Claim-ready"),"🟢 Claim-ready","🟡 Caution / context")))))</x:f>
      </x:c>
      <x:c r="D413" s="174"/>
      <x:c r="E413" s="174"/>
      <x:c r="F413" s="174"/>
      <x:c r="G413" s="174"/>
      <x:c r="H413" s="174"/>
      <x:c r="I413" s="174"/>
      <x:c r="J413" s="174"/>
      <x:c r="K413" s="174"/>
      <x:c r="L413" s="174"/>
      <x:c r="M413" s="174"/>
      <x:c r="N413" s="174"/>
      <x:c r="O413" s="176"/>
      <x:c r="P413" s="174"/>
      <x:c r="Q413" s="174"/>
      <x:c r="R413" s="174"/>
      <x:c r="S413" s="174"/>
      <x:c r="T413" s="174"/>
      <x:c r="U413" s="174"/>
      <x:c r="V413" s="174"/>
      <x:c r="W413" s="175" t="str">
        <x:f>IF(V413="","",LOWER(SUBSTITUTE(SUBSTITUTE(SUBSTITUTE(SUBSTITUTE(TRIM(V413),"https://doi.org/",""),"http://doi.org/",""),"https://dx.doi.org/",""),"doi:","")))</x:f>
      </x:c>
      <x:c r="X413" s="174"/>
      <x:c r="Y413" s="174"/>
      <x:c r="Z413" s="174"/>
      <x:c r="AA413" s="174"/>
      <x:c r="AB413" s="174"/>
      <x:c r="AC413" s="174"/>
      <x:c r="AD413" s="177"/>
      <x:c r="AE413" s="177"/>
      <x:c r="AF413" s="174"/>
      <x:c r="AG413" s="174"/>
      <x:c r="AH413" s="174"/>
      <x:c r="AI413" s="174"/>
      <x:c r="AJ413" s="174"/>
      <x:c r="AK413" s="175" t="str">
        <x:f>IF(AJ413="","",IF(OR(LOWER(AJ413)="brazil",LOWER(AJ413)="brasil"),"Yes","No"))</x:f>
      </x:c>
      <x:c r="AL413" s="174"/>
      <x:c r="AM413" s="174"/>
      <x:c r="AN413" s="174"/>
      <x:c r="AO413" s="178"/>
      <x:c r="AP413" s="174"/>
      <x:c r="AQ413" s="174"/>
      <x:c r="AR413" s="174"/>
      <x:c r="AS413" s="174"/>
      <x:c r="AT413" s="174"/>
      <x:c r="AU413" s="174"/>
      <x:c r="AV413" s="174"/>
      <x:c r="AW413" s="174"/>
      <x:c r="AX413" s="174"/>
      <x:c r="AY413" s="174"/>
      <x:c r="AZ413" s="174"/>
      <x:c r="BA413" s="174"/>
      <x:c r="BB413" s="174"/>
      <x:c r="BC413" s="174"/>
      <x:c r="BD413" s="174"/>
      <x:c r="BE413" s="174"/>
      <x:c r="BF413" s="174"/>
      <x:c r="BG413" s="174"/>
      <x:c r="BH413" s="174"/>
      <x:c r="BI413" s="174"/>
      <x:c r="BJ413" s="174"/>
      <x:c r="BK413" s="174"/>
      <x:c r="BL413" s="174"/>
      <x:c r="BM413" s="174"/>
      <x:c r="BN413" s="174"/>
      <x:c r="BO413" s="174"/>
      <x:c r="BP413" s="174"/>
      <x:c r="BQ413" s="174"/>
      <x:c r="BR413" s="174"/>
      <x:c r="BS413" s="174"/>
      <x:c r="BT413" s="174"/>
      <x:c r="BU413" s="174"/>
      <x:c r="BV413" s="174"/>
      <x:c r="BW413" s="174"/>
      <x:c r="BX413" s="174"/>
      <x:c r="BY413" s="174"/>
      <x:c r="BZ413" s="174"/>
      <x:c r="CA413" s="174"/>
      <x:c r="CB413" s="174"/>
      <x:c r="CC413" s="174"/>
      <x:c r="CD413" s="174"/>
      <x:c r="CE413" s="174"/>
      <x:c r="CF413" s="174"/>
      <x:c r="CG413" s="174"/>
      <x:c r="CH413" s="174"/>
      <x:c r="CI413" s="179"/>
      <x:c r="CJ413" s="174"/>
      <x:c r="CK413" s="174"/>
      <x:c r="CL413" s="174"/>
      <x:c r="CM413" s="174"/>
      <x:c r="CN413" s="174"/>
      <x:c r="CO413" s="177"/>
      <x:c r="CP413" s="174"/>
      <x:c r="CQ413" s="174"/>
      <x:c r="CR413" s="174"/>
      <x:c r="CS413" s="174"/>
      <x:c r="CT413" s="174"/>
      <x:c r="CU413" s="176"/>
      <x:c r="CV413" s="176"/>
      <x:c r="CW413" s="176"/>
      <x:c r="CX413" s="176"/>
      <x:c r="CY413" s="176"/>
      <x:c r="CZ413" s="176"/>
      <x:c r="DA413" s="176"/>
      <x:c r="DB413" s="175" t="str">
        <x:f>IF(L413="","",IF(COUNT(CU413:DA413)&lt;7,"",SUM(CU413:DA413)))</x:f>
      </x:c>
      <x:c r="DC413" s="180" t="str">
        <x:f>IF(DB413="","",ROUND(DB413/14*10,1))</x:f>
      </x:c>
      <x:c r="DD413" s="174"/>
      <x:c r="DE413" s="175" t="str">
        <x:f>IF(L413="","",IF(DC413="","Pending",IF(DD413="Yes","CONDITIONAL — safety override",IF(DC413&gt;=8,"HIGH",IF(DC413&gt;=5,"CONDITIONAL","LOW")))))</x:f>
      </x:c>
      <x:c r="DF413" s="174"/>
      <x:c r="DG413" s="174"/>
      <x:c r="DH413" s="174"/>
      <x:c r="DI413" s="174"/>
      <x:c r="DJ413" s="174"/>
      <x:c r="DK413" s="174"/>
      <x:c r="DL413" s="174"/>
      <x:c r="DM413" s="174"/>
      <x:c r="DN413" s="174"/>
      <x:c r="DO413" s="174"/>
      <x:c r="DP413" s="174"/>
      <x:c r="DQ413" s="174"/>
      <x:c r="DR413" s="174"/>
      <x:c r="DS413" s="174"/>
      <x:c r="DT413" s="174"/>
      <x:c r="DU413" s="174"/>
      <x:c r="DV413" s="174"/>
      <x:c r="DW413" s="174"/>
      <x:c r="DX413" s="174"/>
      <x:c r="DY413" s="174"/>
      <x:c r="DZ413" s="174"/>
      <x:c r="EA413" s="174"/>
      <x:c r="EB413" s="175" t="str">
        <x:f>IF(L413="","",IF(AND(F413="Claim-ready",CJ413="Yes",CL413="Yes",DZ413&lt;&gt;""),"Yes","No / Pending"))</x:f>
      </x:c>
      <x:c r="EC413" s="174"/>
      <x:c r="ED413" s="174"/>
      <x:c r="EE413" s="174"/>
      <x:c r="EF413" s="174"/>
      <x:c r="EG413" s="174"/>
      <x:c r="EH413" s="177"/>
      <x:c r="EI413" s="174"/>
      <x:c r="EJ413" s="174"/>
      <x:c r="EK413" s="174"/>
      <x:c r="EL413" s="177"/>
      <x:c r="EM413" s="174"/>
      <x:c r="EN413" s="181" t="str">
        <x:f>IF(L413="","",(IF(N413&lt;&gt;"",1,0)+IF(O413&lt;&gt;"",1,0)+IF(AJ413&lt;&gt;"",1,0)+IF(AU413&lt;&gt;"",1,0)+IF(BE413&lt;&gt;"",1,0)+IF(CF413&lt;&gt;"",1,0)+IF(CJ413="Yes",1,0)+IF(CL413="Yes",1,0)+IF(DE413&lt;&gt;"Pending",1,0)+IF(F413&lt;&gt;"",1,0)+IF(DZ413&lt;&gt;"",1,0)+IF(EI413&lt;&gt;"",1,0))/12)</x:f>
      </x:c>
    </x:row>
    <x:row r="414">
      <x:c r="A414" s="175" t="str">
        <x:f>IF(L414="","","EV-"&amp;TEXT(ROW()-3,"0000"))</x:f>
      </x:c>
      <x:c r="B414" s="174"/>
      <x:c r="C414" s="175" t="str">
        <x:f>IF(L414="","",IF(OR(CM414="Retracted",CN414="Retracted",F414="Not used"),"🔴 Do not use for conclusion",IF(OR(R414="Official / Institutional",I414="Official / contextual"),"🔵 Official / contextual",IF(OR(I414="Definition",I414="Framework",I414="Paradigm shift"),"🟣 Conceptual key source",IF(AND(CJ414="Yes",CL414="Yes",OR(CG414="High",CG414="Moderate"),CH414&lt;&gt;"High",CH414&lt;&gt;"Critical",F414="Claim-ready"),"🟢 Claim-ready","🟡 Caution / context")))))</x:f>
      </x:c>
      <x:c r="D414" s="174"/>
      <x:c r="E414" s="174"/>
      <x:c r="F414" s="174"/>
      <x:c r="G414" s="174"/>
      <x:c r="H414" s="174"/>
      <x:c r="I414" s="174"/>
      <x:c r="J414" s="174"/>
      <x:c r="K414" s="174"/>
      <x:c r="L414" s="174"/>
      <x:c r="M414" s="174"/>
      <x:c r="N414" s="174"/>
      <x:c r="O414" s="176"/>
      <x:c r="P414" s="174"/>
      <x:c r="Q414" s="174"/>
      <x:c r="R414" s="174"/>
      <x:c r="S414" s="174"/>
      <x:c r="T414" s="174"/>
      <x:c r="U414" s="174"/>
      <x:c r="V414" s="174"/>
      <x:c r="W414" s="175" t="str">
        <x:f>IF(V414="","",LOWER(SUBSTITUTE(SUBSTITUTE(SUBSTITUTE(SUBSTITUTE(TRIM(V414),"https://doi.org/",""),"http://doi.org/",""),"https://dx.doi.org/",""),"doi:","")))</x:f>
      </x:c>
      <x:c r="X414" s="174"/>
      <x:c r="Y414" s="174"/>
      <x:c r="Z414" s="174"/>
      <x:c r="AA414" s="174"/>
      <x:c r="AB414" s="174"/>
      <x:c r="AC414" s="174"/>
      <x:c r="AD414" s="177"/>
      <x:c r="AE414" s="177"/>
      <x:c r="AF414" s="174"/>
      <x:c r="AG414" s="174"/>
      <x:c r="AH414" s="174"/>
      <x:c r="AI414" s="174"/>
      <x:c r="AJ414" s="174"/>
      <x:c r="AK414" s="175" t="str">
        <x:f>IF(AJ414="","",IF(OR(LOWER(AJ414)="brazil",LOWER(AJ414)="brasil"),"Yes","No"))</x:f>
      </x:c>
      <x:c r="AL414" s="174"/>
      <x:c r="AM414" s="174"/>
      <x:c r="AN414" s="174"/>
      <x:c r="AO414" s="178"/>
      <x:c r="AP414" s="174"/>
      <x:c r="AQ414" s="174"/>
      <x:c r="AR414" s="174"/>
      <x:c r="AS414" s="174"/>
      <x:c r="AT414" s="174"/>
      <x:c r="AU414" s="174"/>
      <x:c r="AV414" s="174"/>
      <x:c r="AW414" s="174"/>
      <x:c r="AX414" s="174"/>
      <x:c r="AY414" s="174"/>
      <x:c r="AZ414" s="174"/>
      <x:c r="BA414" s="174"/>
      <x:c r="BB414" s="174"/>
      <x:c r="BC414" s="174"/>
      <x:c r="BD414" s="174"/>
      <x:c r="BE414" s="174"/>
      <x:c r="BF414" s="174"/>
      <x:c r="BG414" s="174"/>
      <x:c r="BH414" s="174"/>
      <x:c r="BI414" s="174"/>
      <x:c r="BJ414" s="174"/>
      <x:c r="BK414" s="174"/>
      <x:c r="BL414" s="174"/>
      <x:c r="BM414" s="174"/>
      <x:c r="BN414" s="174"/>
      <x:c r="BO414" s="174"/>
      <x:c r="BP414" s="174"/>
      <x:c r="BQ414" s="174"/>
      <x:c r="BR414" s="174"/>
      <x:c r="BS414" s="174"/>
      <x:c r="BT414" s="174"/>
      <x:c r="BU414" s="174"/>
      <x:c r="BV414" s="174"/>
      <x:c r="BW414" s="174"/>
      <x:c r="BX414" s="174"/>
      <x:c r="BY414" s="174"/>
      <x:c r="BZ414" s="174"/>
      <x:c r="CA414" s="174"/>
      <x:c r="CB414" s="174"/>
      <x:c r="CC414" s="174"/>
      <x:c r="CD414" s="174"/>
      <x:c r="CE414" s="174"/>
      <x:c r="CF414" s="174"/>
      <x:c r="CG414" s="174"/>
      <x:c r="CH414" s="174"/>
      <x:c r="CI414" s="179"/>
      <x:c r="CJ414" s="174"/>
      <x:c r="CK414" s="174"/>
      <x:c r="CL414" s="174"/>
      <x:c r="CM414" s="174"/>
      <x:c r="CN414" s="174"/>
      <x:c r="CO414" s="177"/>
      <x:c r="CP414" s="174"/>
      <x:c r="CQ414" s="174"/>
      <x:c r="CR414" s="174"/>
      <x:c r="CS414" s="174"/>
      <x:c r="CT414" s="174"/>
      <x:c r="CU414" s="176"/>
      <x:c r="CV414" s="176"/>
      <x:c r="CW414" s="176"/>
      <x:c r="CX414" s="176"/>
      <x:c r="CY414" s="176"/>
      <x:c r="CZ414" s="176"/>
      <x:c r="DA414" s="176"/>
      <x:c r="DB414" s="175" t="str">
        <x:f>IF(L414="","",IF(COUNT(CU414:DA414)&lt;7,"",SUM(CU414:DA414)))</x:f>
      </x:c>
      <x:c r="DC414" s="180" t="str">
        <x:f>IF(DB414="","",ROUND(DB414/14*10,1))</x:f>
      </x:c>
      <x:c r="DD414" s="174"/>
      <x:c r="DE414" s="175" t="str">
        <x:f>IF(L414="","",IF(DC414="","Pending",IF(DD414="Yes","CONDITIONAL — safety override",IF(DC414&gt;=8,"HIGH",IF(DC414&gt;=5,"CONDITIONAL","LOW")))))</x:f>
      </x:c>
      <x:c r="DF414" s="174"/>
      <x:c r="DG414" s="174"/>
      <x:c r="DH414" s="174"/>
      <x:c r="DI414" s="174"/>
      <x:c r="DJ414" s="174"/>
      <x:c r="DK414" s="174"/>
      <x:c r="DL414" s="174"/>
      <x:c r="DM414" s="174"/>
      <x:c r="DN414" s="174"/>
      <x:c r="DO414" s="174"/>
      <x:c r="DP414" s="174"/>
      <x:c r="DQ414" s="174"/>
      <x:c r="DR414" s="174"/>
      <x:c r="DS414" s="174"/>
      <x:c r="DT414" s="174"/>
      <x:c r="DU414" s="174"/>
      <x:c r="DV414" s="174"/>
      <x:c r="DW414" s="174"/>
      <x:c r="DX414" s="174"/>
      <x:c r="DY414" s="174"/>
      <x:c r="DZ414" s="174"/>
      <x:c r="EA414" s="174"/>
      <x:c r="EB414" s="175" t="str">
        <x:f>IF(L414="","",IF(AND(F414="Claim-ready",CJ414="Yes",CL414="Yes",DZ414&lt;&gt;""),"Yes","No / Pending"))</x:f>
      </x:c>
      <x:c r="EC414" s="174"/>
      <x:c r="ED414" s="174"/>
      <x:c r="EE414" s="174"/>
      <x:c r="EF414" s="174"/>
      <x:c r="EG414" s="174"/>
      <x:c r="EH414" s="177"/>
      <x:c r="EI414" s="174"/>
      <x:c r="EJ414" s="174"/>
      <x:c r="EK414" s="174"/>
      <x:c r="EL414" s="177"/>
      <x:c r="EM414" s="174"/>
      <x:c r="EN414" s="181" t="str">
        <x:f>IF(L414="","",(IF(N414&lt;&gt;"",1,0)+IF(O414&lt;&gt;"",1,0)+IF(AJ414&lt;&gt;"",1,0)+IF(AU414&lt;&gt;"",1,0)+IF(BE414&lt;&gt;"",1,0)+IF(CF414&lt;&gt;"",1,0)+IF(CJ414="Yes",1,0)+IF(CL414="Yes",1,0)+IF(DE414&lt;&gt;"Pending",1,0)+IF(F414&lt;&gt;"",1,0)+IF(DZ414&lt;&gt;"",1,0)+IF(EI414&lt;&gt;"",1,0))/12)</x:f>
      </x:c>
    </x:row>
    <x:row r="415">
      <x:c r="A415" s="175" t="str">
        <x:f>IF(L415="","","EV-"&amp;TEXT(ROW()-3,"0000"))</x:f>
      </x:c>
      <x:c r="B415" s="174"/>
      <x:c r="C415" s="175" t="str">
        <x:f>IF(L415="","",IF(OR(CM415="Retracted",CN415="Retracted",F415="Not used"),"🔴 Do not use for conclusion",IF(OR(R415="Official / Institutional",I415="Official / contextual"),"🔵 Official / contextual",IF(OR(I415="Definition",I415="Framework",I415="Paradigm shift"),"🟣 Conceptual key source",IF(AND(CJ415="Yes",CL415="Yes",OR(CG415="High",CG415="Moderate"),CH415&lt;&gt;"High",CH415&lt;&gt;"Critical",F415="Claim-ready"),"🟢 Claim-ready","🟡 Caution / context")))))</x:f>
      </x:c>
      <x:c r="D415" s="174"/>
      <x:c r="E415" s="174"/>
      <x:c r="F415" s="174"/>
      <x:c r="G415" s="174"/>
      <x:c r="H415" s="174"/>
      <x:c r="I415" s="174"/>
      <x:c r="J415" s="174"/>
      <x:c r="K415" s="174"/>
      <x:c r="L415" s="174"/>
      <x:c r="M415" s="174"/>
      <x:c r="N415" s="174"/>
      <x:c r="O415" s="176"/>
      <x:c r="P415" s="174"/>
      <x:c r="Q415" s="174"/>
      <x:c r="R415" s="174"/>
      <x:c r="S415" s="174"/>
      <x:c r="T415" s="174"/>
      <x:c r="U415" s="174"/>
      <x:c r="V415" s="174"/>
      <x:c r="W415" s="175" t="str">
        <x:f>IF(V415="","",LOWER(SUBSTITUTE(SUBSTITUTE(SUBSTITUTE(SUBSTITUTE(TRIM(V415),"https://doi.org/",""),"http://doi.org/",""),"https://dx.doi.org/",""),"doi:","")))</x:f>
      </x:c>
      <x:c r="X415" s="174"/>
      <x:c r="Y415" s="174"/>
      <x:c r="Z415" s="174"/>
      <x:c r="AA415" s="174"/>
      <x:c r="AB415" s="174"/>
      <x:c r="AC415" s="174"/>
      <x:c r="AD415" s="177"/>
      <x:c r="AE415" s="177"/>
      <x:c r="AF415" s="174"/>
      <x:c r="AG415" s="174"/>
      <x:c r="AH415" s="174"/>
      <x:c r="AI415" s="174"/>
      <x:c r="AJ415" s="174"/>
      <x:c r="AK415" s="175" t="str">
        <x:f>IF(AJ415="","",IF(OR(LOWER(AJ415)="brazil",LOWER(AJ415)="brasil"),"Yes","No"))</x:f>
      </x:c>
      <x:c r="AL415" s="174"/>
      <x:c r="AM415" s="174"/>
      <x:c r="AN415" s="174"/>
      <x:c r="AO415" s="178"/>
      <x:c r="AP415" s="174"/>
      <x:c r="AQ415" s="174"/>
      <x:c r="AR415" s="174"/>
      <x:c r="AS415" s="174"/>
      <x:c r="AT415" s="174"/>
      <x:c r="AU415" s="174"/>
      <x:c r="AV415" s="174"/>
      <x:c r="AW415" s="174"/>
      <x:c r="AX415" s="174"/>
      <x:c r="AY415" s="174"/>
      <x:c r="AZ415" s="174"/>
      <x:c r="BA415" s="174"/>
      <x:c r="BB415" s="174"/>
      <x:c r="BC415" s="174"/>
      <x:c r="BD415" s="174"/>
      <x:c r="BE415" s="174"/>
      <x:c r="BF415" s="174"/>
      <x:c r="BG415" s="174"/>
      <x:c r="BH415" s="174"/>
      <x:c r="BI415" s="174"/>
      <x:c r="BJ415" s="174"/>
      <x:c r="BK415" s="174"/>
      <x:c r="BL415" s="174"/>
      <x:c r="BM415" s="174"/>
      <x:c r="BN415" s="174"/>
      <x:c r="BO415" s="174"/>
      <x:c r="BP415" s="174"/>
      <x:c r="BQ415" s="174"/>
      <x:c r="BR415" s="174"/>
      <x:c r="BS415" s="174"/>
      <x:c r="BT415" s="174"/>
      <x:c r="BU415" s="174"/>
      <x:c r="BV415" s="174"/>
      <x:c r="BW415" s="174"/>
      <x:c r="BX415" s="174"/>
      <x:c r="BY415" s="174"/>
      <x:c r="BZ415" s="174"/>
      <x:c r="CA415" s="174"/>
      <x:c r="CB415" s="174"/>
      <x:c r="CC415" s="174"/>
      <x:c r="CD415" s="174"/>
      <x:c r="CE415" s="174"/>
      <x:c r="CF415" s="174"/>
      <x:c r="CG415" s="174"/>
      <x:c r="CH415" s="174"/>
      <x:c r="CI415" s="179"/>
      <x:c r="CJ415" s="174"/>
      <x:c r="CK415" s="174"/>
      <x:c r="CL415" s="174"/>
      <x:c r="CM415" s="174"/>
      <x:c r="CN415" s="174"/>
      <x:c r="CO415" s="177"/>
      <x:c r="CP415" s="174"/>
      <x:c r="CQ415" s="174"/>
      <x:c r="CR415" s="174"/>
      <x:c r="CS415" s="174"/>
      <x:c r="CT415" s="174"/>
      <x:c r="CU415" s="176"/>
      <x:c r="CV415" s="176"/>
      <x:c r="CW415" s="176"/>
      <x:c r="CX415" s="176"/>
      <x:c r="CY415" s="176"/>
      <x:c r="CZ415" s="176"/>
      <x:c r="DA415" s="176"/>
      <x:c r="DB415" s="175" t="str">
        <x:f>IF(L415="","",IF(COUNT(CU415:DA415)&lt;7,"",SUM(CU415:DA415)))</x:f>
      </x:c>
      <x:c r="DC415" s="180" t="str">
        <x:f>IF(DB415="","",ROUND(DB415/14*10,1))</x:f>
      </x:c>
      <x:c r="DD415" s="174"/>
      <x:c r="DE415" s="175" t="str">
        <x:f>IF(L415="","",IF(DC415="","Pending",IF(DD415="Yes","CONDITIONAL — safety override",IF(DC415&gt;=8,"HIGH",IF(DC415&gt;=5,"CONDITIONAL","LOW")))))</x:f>
      </x:c>
      <x:c r="DF415" s="174"/>
      <x:c r="DG415" s="174"/>
      <x:c r="DH415" s="174"/>
      <x:c r="DI415" s="174"/>
      <x:c r="DJ415" s="174"/>
      <x:c r="DK415" s="174"/>
      <x:c r="DL415" s="174"/>
      <x:c r="DM415" s="174"/>
      <x:c r="DN415" s="174"/>
      <x:c r="DO415" s="174"/>
      <x:c r="DP415" s="174"/>
      <x:c r="DQ415" s="174"/>
      <x:c r="DR415" s="174"/>
      <x:c r="DS415" s="174"/>
      <x:c r="DT415" s="174"/>
      <x:c r="DU415" s="174"/>
      <x:c r="DV415" s="174"/>
      <x:c r="DW415" s="174"/>
      <x:c r="DX415" s="174"/>
      <x:c r="DY415" s="174"/>
      <x:c r="DZ415" s="174"/>
      <x:c r="EA415" s="174"/>
      <x:c r="EB415" s="175" t="str">
        <x:f>IF(L415="","",IF(AND(F415="Claim-ready",CJ415="Yes",CL415="Yes",DZ415&lt;&gt;""),"Yes","No / Pending"))</x:f>
      </x:c>
      <x:c r="EC415" s="174"/>
      <x:c r="ED415" s="174"/>
      <x:c r="EE415" s="174"/>
      <x:c r="EF415" s="174"/>
      <x:c r="EG415" s="174"/>
      <x:c r="EH415" s="177"/>
      <x:c r="EI415" s="174"/>
      <x:c r="EJ415" s="174"/>
      <x:c r="EK415" s="174"/>
      <x:c r="EL415" s="177"/>
      <x:c r="EM415" s="174"/>
      <x:c r="EN415" s="181" t="str">
        <x:f>IF(L415="","",(IF(N415&lt;&gt;"",1,0)+IF(O415&lt;&gt;"",1,0)+IF(AJ415&lt;&gt;"",1,0)+IF(AU415&lt;&gt;"",1,0)+IF(BE415&lt;&gt;"",1,0)+IF(CF415&lt;&gt;"",1,0)+IF(CJ415="Yes",1,0)+IF(CL415="Yes",1,0)+IF(DE415&lt;&gt;"Pending",1,0)+IF(F415&lt;&gt;"",1,0)+IF(DZ415&lt;&gt;"",1,0)+IF(EI415&lt;&gt;"",1,0))/12)</x:f>
      </x:c>
    </x:row>
    <x:row r="416">
      <x:c r="A416" s="175" t="str">
        <x:f>IF(L416="","","EV-"&amp;TEXT(ROW()-3,"0000"))</x:f>
      </x:c>
      <x:c r="B416" s="174"/>
      <x:c r="C416" s="175" t="str">
        <x:f>IF(L416="","",IF(OR(CM416="Retracted",CN416="Retracted",F416="Not used"),"🔴 Do not use for conclusion",IF(OR(R416="Official / Institutional",I416="Official / contextual"),"🔵 Official / contextual",IF(OR(I416="Definition",I416="Framework",I416="Paradigm shift"),"🟣 Conceptual key source",IF(AND(CJ416="Yes",CL416="Yes",OR(CG416="High",CG416="Moderate"),CH416&lt;&gt;"High",CH416&lt;&gt;"Critical",F416="Claim-ready"),"🟢 Claim-ready","🟡 Caution / context")))))</x:f>
      </x:c>
      <x:c r="D416" s="174"/>
      <x:c r="E416" s="174"/>
      <x:c r="F416" s="174"/>
      <x:c r="G416" s="174"/>
      <x:c r="H416" s="174"/>
      <x:c r="I416" s="174"/>
      <x:c r="J416" s="174"/>
      <x:c r="K416" s="174"/>
      <x:c r="L416" s="174"/>
      <x:c r="M416" s="174"/>
      <x:c r="N416" s="174"/>
      <x:c r="O416" s="176"/>
      <x:c r="P416" s="174"/>
      <x:c r="Q416" s="174"/>
      <x:c r="R416" s="174"/>
      <x:c r="S416" s="174"/>
      <x:c r="T416" s="174"/>
      <x:c r="U416" s="174"/>
      <x:c r="V416" s="174"/>
      <x:c r="W416" s="175" t="str">
        <x:f>IF(V416="","",LOWER(SUBSTITUTE(SUBSTITUTE(SUBSTITUTE(SUBSTITUTE(TRIM(V416),"https://doi.org/",""),"http://doi.org/",""),"https://dx.doi.org/",""),"doi:","")))</x:f>
      </x:c>
      <x:c r="X416" s="174"/>
      <x:c r="Y416" s="174"/>
      <x:c r="Z416" s="174"/>
      <x:c r="AA416" s="174"/>
      <x:c r="AB416" s="174"/>
      <x:c r="AC416" s="174"/>
      <x:c r="AD416" s="177"/>
      <x:c r="AE416" s="177"/>
      <x:c r="AF416" s="174"/>
      <x:c r="AG416" s="174"/>
      <x:c r="AH416" s="174"/>
      <x:c r="AI416" s="174"/>
      <x:c r="AJ416" s="174"/>
      <x:c r="AK416" s="175" t="str">
        <x:f>IF(AJ416="","",IF(OR(LOWER(AJ416)="brazil",LOWER(AJ416)="brasil"),"Yes","No"))</x:f>
      </x:c>
      <x:c r="AL416" s="174"/>
      <x:c r="AM416" s="174"/>
      <x:c r="AN416" s="174"/>
      <x:c r="AO416" s="178"/>
      <x:c r="AP416" s="174"/>
      <x:c r="AQ416" s="174"/>
      <x:c r="AR416" s="174"/>
      <x:c r="AS416" s="174"/>
      <x:c r="AT416" s="174"/>
      <x:c r="AU416" s="174"/>
      <x:c r="AV416" s="174"/>
      <x:c r="AW416" s="174"/>
      <x:c r="AX416" s="174"/>
      <x:c r="AY416" s="174"/>
      <x:c r="AZ416" s="174"/>
      <x:c r="BA416" s="174"/>
      <x:c r="BB416" s="174"/>
      <x:c r="BC416" s="174"/>
      <x:c r="BD416" s="174"/>
      <x:c r="BE416" s="174"/>
      <x:c r="BF416" s="174"/>
      <x:c r="BG416" s="174"/>
      <x:c r="BH416" s="174"/>
      <x:c r="BI416" s="174"/>
      <x:c r="BJ416" s="174"/>
      <x:c r="BK416" s="174"/>
      <x:c r="BL416" s="174"/>
      <x:c r="BM416" s="174"/>
      <x:c r="BN416" s="174"/>
      <x:c r="BO416" s="174"/>
      <x:c r="BP416" s="174"/>
      <x:c r="BQ416" s="174"/>
      <x:c r="BR416" s="174"/>
      <x:c r="BS416" s="174"/>
      <x:c r="BT416" s="174"/>
      <x:c r="BU416" s="174"/>
      <x:c r="BV416" s="174"/>
      <x:c r="BW416" s="174"/>
      <x:c r="BX416" s="174"/>
      <x:c r="BY416" s="174"/>
      <x:c r="BZ416" s="174"/>
      <x:c r="CA416" s="174"/>
      <x:c r="CB416" s="174"/>
      <x:c r="CC416" s="174"/>
      <x:c r="CD416" s="174"/>
      <x:c r="CE416" s="174"/>
      <x:c r="CF416" s="174"/>
      <x:c r="CG416" s="174"/>
      <x:c r="CH416" s="174"/>
      <x:c r="CI416" s="179"/>
      <x:c r="CJ416" s="174"/>
      <x:c r="CK416" s="174"/>
      <x:c r="CL416" s="174"/>
      <x:c r="CM416" s="174"/>
      <x:c r="CN416" s="174"/>
      <x:c r="CO416" s="177"/>
      <x:c r="CP416" s="174"/>
      <x:c r="CQ416" s="174"/>
      <x:c r="CR416" s="174"/>
      <x:c r="CS416" s="174"/>
      <x:c r="CT416" s="174"/>
      <x:c r="CU416" s="176"/>
      <x:c r="CV416" s="176"/>
      <x:c r="CW416" s="176"/>
      <x:c r="CX416" s="176"/>
      <x:c r="CY416" s="176"/>
      <x:c r="CZ416" s="176"/>
      <x:c r="DA416" s="176"/>
      <x:c r="DB416" s="175" t="str">
        <x:f>IF(L416="","",IF(COUNT(CU416:DA416)&lt;7,"",SUM(CU416:DA416)))</x:f>
      </x:c>
      <x:c r="DC416" s="180" t="str">
        <x:f>IF(DB416="","",ROUND(DB416/14*10,1))</x:f>
      </x:c>
      <x:c r="DD416" s="174"/>
      <x:c r="DE416" s="175" t="str">
        <x:f>IF(L416="","",IF(DC416="","Pending",IF(DD416="Yes","CONDITIONAL — safety override",IF(DC416&gt;=8,"HIGH",IF(DC416&gt;=5,"CONDITIONAL","LOW")))))</x:f>
      </x:c>
      <x:c r="DF416" s="174"/>
      <x:c r="DG416" s="174"/>
      <x:c r="DH416" s="174"/>
      <x:c r="DI416" s="174"/>
      <x:c r="DJ416" s="174"/>
      <x:c r="DK416" s="174"/>
      <x:c r="DL416" s="174"/>
      <x:c r="DM416" s="174"/>
      <x:c r="DN416" s="174"/>
      <x:c r="DO416" s="174"/>
      <x:c r="DP416" s="174"/>
      <x:c r="DQ416" s="174"/>
      <x:c r="DR416" s="174"/>
      <x:c r="DS416" s="174"/>
      <x:c r="DT416" s="174"/>
      <x:c r="DU416" s="174"/>
      <x:c r="DV416" s="174"/>
      <x:c r="DW416" s="174"/>
      <x:c r="DX416" s="174"/>
      <x:c r="DY416" s="174"/>
      <x:c r="DZ416" s="174"/>
      <x:c r="EA416" s="174"/>
      <x:c r="EB416" s="175" t="str">
        <x:f>IF(L416="","",IF(AND(F416="Claim-ready",CJ416="Yes",CL416="Yes",DZ416&lt;&gt;""),"Yes","No / Pending"))</x:f>
      </x:c>
      <x:c r="EC416" s="174"/>
      <x:c r="ED416" s="174"/>
      <x:c r="EE416" s="174"/>
      <x:c r="EF416" s="174"/>
      <x:c r="EG416" s="174"/>
      <x:c r="EH416" s="177"/>
      <x:c r="EI416" s="174"/>
      <x:c r="EJ416" s="174"/>
      <x:c r="EK416" s="174"/>
      <x:c r="EL416" s="177"/>
      <x:c r="EM416" s="174"/>
      <x:c r="EN416" s="181" t="str">
        <x:f>IF(L416="","",(IF(N416&lt;&gt;"",1,0)+IF(O416&lt;&gt;"",1,0)+IF(AJ416&lt;&gt;"",1,0)+IF(AU416&lt;&gt;"",1,0)+IF(BE416&lt;&gt;"",1,0)+IF(CF416&lt;&gt;"",1,0)+IF(CJ416="Yes",1,0)+IF(CL416="Yes",1,0)+IF(DE416&lt;&gt;"Pending",1,0)+IF(F416&lt;&gt;"",1,0)+IF(DZ416&lt;&gt;"",1,0)+IF(EI416&lt;&gt;"",1,0))/12)</x:f>
      </x:c>
    </x:row>
    <x:row r="417">
      <x:c r="A417" s="175" t="str">
        <x:f>IF(L417="","","EV-"&amp;TEXT(ROW()-3,"0000"))</x:f>
      </x:c>
      <x:c r="B417" s="174"/>
      <x:c r="C417" s="175" t="str">
        <x:f>IF(L417="","",IF(OR(CM417="Retracted",CN417="Retracted",F417="Not used"),"🔴 Do not use for conclusion",IF(OR(R417="Official / Institutional",I417="Official / contextual"),"🔵 Official / contextual",IF(OR(I417="Definition",I417="Framework",I417="Paradigm shift"),"🟣 Conceptual key source",IF(AND(CJ417="Yes",CL417="Yes",OR(CG417="High",CG417="Moderate"),CH417&lt;&gt;"High",CH417&lt;&gt;"Critical",F417="Claim-ready"),"🟢 Claim-ready","🟡 Caution / context")))))</x:f>
      </x:c>
      <x:c r="D417" s="174"/>
      <x:c r="E417" s="174"/>
      <x:c r="F417" s="174"/>
      <x:c r="G417" s="174"/>
      <x:c r="H417" s="174"/>
      <x:c r="I417" s="174"/>
      <x:c r="J417" s="174"/>
      <x:c r="K417" s="174"/>
      <x:c r="L417" s="174"/>
      <x:c r="M417" s="174"/>
      <x:c r="N417" s="174"/>
      <x:c r="O417" s="176"/>
      <x:c r="P417" s="174"/>
      <x:c r="Q417" s="174"/>
      <x:c r="R417" s="174"/>
      <x:c r="S417" s="174"/>
      <x:c r="T417" s="174"/>
      <x:c r="U417" s="174"/>
      <x:c r="V417" s="174"/>
      <x:c r="W417" s="175" t="str">
        <x:f>IF(V417="","",LOWER(SUBSTITUTE(SUBSTITUTE(SUBSTITUTE(SUBSTITUTE(TRIM(V417),"https://doi.org/",""),"http://doi.org/",""),"https://dx.doi.org/",""),"doi:","")))</x:f>
      </x:c>
      <x:c r="X417" s="174"/>
      <x:c r="Y417" s="174"/>
      <x:c r="Z417" s="174"/>
      <x:c r="AA417" s="174"/>
      <x:c r="AB417" s="174"/>
      <x:c r="AC417" s="174"/>
      <x:c r="AD417" s="177"/>
      <x:c r="AE417" s="177"/>
      <x:c r="AF417" s="174"/>
      <x:c r="AG417" s="174"/>
      <x:c r="AH417" s="174"/>
      <x:c r="AI417" s="174"/>
      <x:c r="AJ417" s="174"/>
      <x:c r="AK417" s="175" t="str">
        <x:f>IF(AJ417="","",IF(OR(LOWER(AJ417)="brazil",LOWER(AJ417)="brasil"),"Yes","No"))</x:f>
      </x:c>
      <x:c r="AL417" s="174"/>
      <x:c r="AM417" s="174"/>
      <x:c r="AN417" s="174"/>
      <x:c r="AO417" s="178"/>
      <x:c r="AP417" s="174"/>
      <x:c r="AQ417" s="174"/>
      <x:c r="AR417" s="174"/>
      <x:c r="AS417" s="174"/>
      <x:c r="AT417" s="174"/>
      <x:c r="AU417" s="174"/>
      <x:c r="AV417" s="174"/>
      <x:c r="AW417" s="174"/>
      <x:c r="AX417" s="174"/>
      <x:c r="AY417" s="174"/>
      <x:c r="AZ417" s="174"/>
      <x:c r="BA417" s="174"/>
      <x:c r="BB417" s="174"/>
      <x:c r="BC417" s="174"/>
      <x:c r="BD417" s="174"/>
      <x:c r="BE417" s="174"/>
      <x:c r="BF417" s="174"/>
      <x:c r="BG417" s="174"/>
      <x:c r="BH417" s="174"/>
      <x:c r="BI417" s="174"/>
      <x:c r="BJ417" s="174"/>
      <x:c r="BK417" s="174"/>
      <x:c r="BL417" s="174"/>
      <x:c r="BM417" s="174"/>
      <x:c r="BN417" s="174"/>
      <x:c r="BO417" s="174"/>
      <x:c r="BP417" s="174"/>
      <x:c r="BQ417" s="174"/>
      <x:c r="BR417" s="174"/>
      <x:c r="BS417" s="174"/>
      <x:c r="BT417" s="174"/>
      <x:c r="BU417" s="174"/>
      <x:c r="BV417" s="174"/>
      <x:c r="BW417" s="174"/>
      <x:c r="BX417" s="174"/>
      <x:c r="BY417" s="174"/>
      <x:c r="BZ417" s="174"/>
      <x:c r="CA417" s="174"/>
      <x:c r="CB417" s="174"/>
      <x:c r="CC417" s="174"/>
      <x:c r="CD417" s="174"/>
      <x:c r="CE417" s="174"/>
      <x:c r="CF417" s="174"/>
      <x:c r="CG417" s="174"/>
      <x:c r="CH417" s="174"/>
      <x:c r="CI417" s="179"/>
      <x:c r="CJ417" s="174"/>
      <x:c r="CK417" s="174"/>
      <x:c r="CL417" s="174"/>
      <x:c r="CM417" s="174"/>
      <x:c r="CN417" s="174"/>
      <x:c r="CO417" s="177"/>
      <x:c r="CP417" s="174"/>
      <x:c r="CQ417" s="174"/>
      <x:c r="CR417" s="174"/>
      <x:c r="CS417" s="174"/>
      <x:c r="CT417" s="174"/>
      <x:c r="CU417" s="176"/>
      <x:c r="CV417" s="176"/>
      <x:c r="CW417" s="176"/>
      <x:c r="CX417" s="176"/>
      <x:c r="CY417" s="176"/>
      <x:c r="CZ417" s="176"/>
      <x:c r="DA417" s="176"/>
      <x:c r="DB417" s="175" t="str">
        <x:f>IF(L417="","",IF(COUNT(CU417:DA417)&lt;7,"",SUM(CU417:DA417)))</x:f>
      </x:c>
      <x:c r="DC417" s="180" t="str">
        <x:f>IF(DB417="","",ROUND(DB417/14*10,1))</x:f>
      </x:c>
      <x:c r="DD417" s="174"/>
      <x:c r="DE417" s="175" t="str">
        <x:f>IF(L417="","",IF(DC417="","Pending",IF(DD417="Yes","CONDITIONAL — safety override",IF(DC417&gt;=8,"HIGH",IF(DC417&gt;=5,"CONDITIONAL","LOW")))))</x:f>
      </x:c>
      <x:c r="DF417" s="174"/>
      <x:c r="DG417" s="174"/>
      <x:c r="DH417" s="174"/>
      <x:c r="DI417" s="174"/>
      <x:c r="DJ417" s="174"/>
      <x:c r="DK417" s="174"/>
      <x:c r="DL417" s="174"/>
      <x:c r="DM417" s="174"/>
      <x:c r="DN417" s="174"/>
      <x:c r="DO417" s="174"/>
      <x:c r="DP417" s="174"/>
      <x:c r="DQ417" s="174"/>
      <x:c r="DR417" s="174"/>
      <x:c r="DS417" s="174"/>
      <x:c r="DT417" s="174"/>
      <x:c r="DU417" s="174"/>
      <x:c r="DV417" s="174"/>
      <x:c r="DW417" s="174"/>
      <x:c r="DX417" s="174"/>
      <x:c r="DY417" s="174"/>
      <x:c r="DZ417" s="174"/>
      <x:c r="EA417" s="174"/>
      <x:c r="EB417" s="175" t="str">
        <x:f>IF(L417="","",IF(AND(F417="Claim-ready",CJ417="Yes",CL417="Yes",DZ417&lt;&gt;""),"Yes","No / Pending"))</x:f>
      </x:c>
      <x:c r="EC417" s="174"/>
      <x:c r="ED417" s="174"/>
      <x:c r="EE417" s="174"/>
      <x:c r="EF417" s="174"/>
      <x:c r="EG417" s="174"/>
      <x:c r="EH417" s="177"/>
      <x:c r="EI417" s="174"/>
      <x:c r="EJ417" s="174"/>
      <x:c r="EK417" s="174"/>
      <x:c r="EL417" s="177"/>
      <x:c r="EM417" s="174"/>
      <x:c r="EN417" s="181" t="str">
        <x:f>IF(L417="","",(IF(N417&lt;&gt;"",1,0)+IF(O417&lt;&gt;"",1,0)+IF(AJ417&lt;&gt;"",1,0)+IF(AU417&lt;&gt;"",1,0)+IF(BE417&lt;&gt;"",1,0)+IF(CF417&lt;&gt;"",1,0)+IF(CJ417="Yes",1,0)+IF(CL417="Yes",1,0)+IF(DE417&lt;&gt;"Pending",1,0)+IF(F417&lt;&gt;"",1,0)+IF(DZ417&lt;&gt;"",1,0)+IF(EI417&lt;&gt;"",1,0))/12)</x:f>
      </x:c>
    </x:row>
    <x:row r="418">
      <x:c r="A418" s="175" t="str">
        <x:f>IF(L418="","","EV-"&amp;TEXT(ROW()-3,"0000"))</x:f>
      </x:c>
      <x:c r="B418" s="174"/>
      <x:c r="C418" s="175" t="str">
        <x:f>IF(L418="","",IF(OR(CM418="Retracted",CN418="Retracted",F418="Not used"),"🔴 Do not use for conclusion",IF(OR(R418="Official / Institutional",I418="Official / contextual"),"🔵 Official / contextual",IF(OR(I418="Definition",I418="Framework",I418="Paradigm shift"),"🟣 Conceptual key source",IF(AND(CJ418="Yes",CL418="Yes",OR(CG418="High",CG418="Moderate"),CH418&lt;&gt;"High",CH418&lt;&gt;"Critical",F418="Claim-ready"),"🟢 Claim-ready","🟡 Caution / context")))))</x:f>
      </x:c>
      <x:c r="D418" s="174"/>
      <x:c r="E418" s="174"/>
      <x:c r="F418" s="174"/>
      <x:c r="G418" s="174"/>
      <x:c r="H418" s="174"/>
      <x:c r="I418" s="174"/>
      <x:c r="J418" s="174"/>
      <x:c r="K418" s="174"/>
      <x:c r="L418" s="174"/>
      <x:c r="M418" s="174"/>
      <x:c r="N418" s="174"/>
      <x:c r="O418" s="176"/>
      <x:c r="P418" s="174"/>
      <x:c r="Q418" s="174"/>
      <x:c r="R418" s="174"/>
      <x:c r="S418" s="174"/>
      <x:c r="T418" s="174"/>
      <x:c r="U418" s="174"/>
      <x:c r="V418" s="174"/>
      <x:c r="W418" s="175" t="str">
        <x:f>IF(V418="","",LOWER(SUBSTITUTE(SUBSTITUTE(SUBSTITUTE(SUBSTITUTE(TRIM(V418),"https://doi.org/",""),"http://doi.org/",""),"https://dx.doi.org/",""),"doi:","")))</x:f>
      </x:c>
      <x:c r="X418" s="174"/>
      <x:c r="Y418" s="174"/>
      <x:c r="Z418" s="174"/>
      <x:c r="AA418" s="174"/>
      <x:c r="AB418" s="174"/>
      <x:c r="AC418" s="174"/>
      <x:c r="AD418" s="177"/>
      <x:c r="AE418" s="177"/>
      <x:c r="AF418" s="174"/>
      <x:c r="AG418" s="174"/>
      <x:c r="AH418" s="174"/>
      <x:c r="AI418" s="174"/>
      <x:c r="AJ418" s="174"/>
      <x:c r="AK418" s="175" t="str">
        <x:f>IF(AJ418="","",IF(OR(LOWER(AJ418)="brazil",LOWER(AJ418)="brasil"),"Yes","No"))</x:f>
      </x:c>
      <x:c r="AL418" s="174"/>
      <x:c r="AM418" s="174"/>
      <x:c r="AN418" s="174"/>
      <x:c r="AO418" s="178"/>
      <x:c r="AP418" s="174"/>
      <x:c r="AQ418" s="174"/>
      <x:c r="AR418" s="174"/>
      <x:c r="AS418" s="174"/>
      <x:c r="AT418" s="174"/>
      <x:c r="AU418" s="174"/>
      <x:c r="AV418" s="174"/>
      <x:c r="AW418" s="174"/>
      <x:c r="AX418" s="174"/>
      <x:c r="AY418" s="174"/>
      <x:c r="AZ418" s="174"/>
      <x:c r="BA418" s="174"/>
      <x:c r="BB418" s="174"/>
      <x:c r="BC418" s="174"/>
      <x:c r="BD418" s="174"/>
      <x:c r="BE418" s="174"/>
      <x:c r="BF418" s="174"/>
      <x:c r="BG418" s="174"/>
      <x:c r="BH418" s="174"/>
      <x:c r="BI418" s="174"/>
      <x:c r="BJ418" s="174"/>
      <x:c r="BK418" s="174"/>
      <x:c r="BL418" s="174"/>
      <x:c r="BM418" s="174"/>
      <x:c r="BN418" s="174"/>
      <x:c r="BO418" s="174"/>
      <x:c r="BP418" s="174"/>
      <x:c r="BQ418" s="174"/>
      <x:c r="BR418" s="174"/>
      <x:c r="BS418" s="174"/>
      <x:c r="BT418" s="174"/>
      <x:c r="BU418" s="174"/>
      <x:c r="BV418" s="174"/>
      <x:c r="BW418" s="174"/>
      <x:c r="BX418" s="174"/>
      <x:c r="BY418" s="174"/>
      <x:c r="BZ418" s="174"/>
      <x:c r="CA418" s="174"/>
      <x:c r="CB418" s="174"/>
      <x:c r="CC418" s="174"/>
      <x:c r="CD418" s="174"/>
      <x:c r="CE418" s="174"/>
      <x:c r="CF418" s="174"/>
      <x:c r="CG418" s="174"/>
      <x:c r="CH418" s="174"/>
      <x:c r="CI418" s="179"/>
      <x:c r="CJ418" s="174"/>
      <x:c r="CK418" s="174"/>
      <x:c r="CL418" s="174"/>
      <x:c r="CM418" s="174"/>
      <x:c r="CN418" s="174"/>
      <x:c r="CO418" s="177"/>
      <x:c r="CP418" s="174"/>
      <x:c r="CQ418" s="174"/>
      <x:c r="CR418" s="174"/>
      <x:c r="CS418" s="174"/>
      <x:c r="CT418" s="174"/>
      <x:c r="CU418" s="176"/>
      <x:c r="CV418" s="176"/>
      <x:c r="CW418" s="176"/>
      <x:c r="CX418" s="176"/>
      <x:c r="CY418" s="176"/>
      <x:c r="CZ418" s="176"/>
      <x:c r="DA418" s="176"/>
      <x:c r="DB418" s="175" t="str">
        <x:f>IF(L418="","",IF(COUNT(CU418:DA418)&lt;7,"",SUM(CU418:DA418)))</x:f>
      </x:c>
      <x:c r="DC418" s="180" t="str">
        <x:f>IF(DB418="","",ROUND(DB418/14*10,1))</x:f>
      </x:c>
      <x:c r="DD418" s="174"/>
      <x:c r="DE418" s="175" t="str">
        <x:f>IF(L418="","",IF(DC418="","Pending",IF(DD418="Yes","CONDITIONAL — safety override",IF(DC418&gt;=8,"HIGH",IF(DC418&gt;=5,"CONDITIONAL","LOW")))))</x:f>
      </x:c>
      <x:c r="DF418" s="174"/>
      <x:c r="DG418" s="174"/>
      <x:c r="DH418" s="174"/>
      <x:c r="DI418" s="174"/>
      <x:c r="DJ418" s="174"/>
      <x:c r="DK418" s="174"/>
      <x:c r="DL418" s="174"/>
      <x:c r="DM418" s="174"/>
      <x:c r="DN418" s="174"/>
      <x:c r="DO418" s="174"/>
      <x:c r="DP418" s="174"/>
      <x:c r="DQ418" s="174"/>
      <x:c r="DR418" s="174"/>
      <x:c r="DS418" s="174"/>
      <x:c r="DT418" s="174"/>
      <x:c r="DU418" s="174"/>
      <x:c r="DV418" s="174"/>
      <x:c r="DW418" s="174"/>
      <x:c r="DX418" s="174"/>
      <x:c r="DY418" s="174"/>
      <x:c r="DZ418" s="174"/>
      <x:c r="EA418" s="174"/>
      <x:c r="EB418" s="175" t="str">
        <x:f>IF(L418="","",IF(AND(F418="Claim-ready",CJ418="Yes",CL418="Yes",DZ418&lt;&gt;""),"Yes","No / Pending"))</x:f>
      </x:c>
      <x:c r="EC418" s="174"/>
      <x:c r="ED418" s="174"/>
      <x:c r="EE418" s="174"/>
      <x:c r="EF418" s="174"/>
      <x:c r="EG418" s="174"/>
      <x:c r="EH418" s="177"/>
      <x:c r="EI418" s="174"/>
      <x:c r="EJ418" s="174"/>
      <x:c r="EK418" s="174"/>
      <x:c r="EL418" s="177"/>
      <x:c r="EM418" s="174"/>
      <x:c r="EN418" s="181" t="str">
        <x:f>IF(L418="","",(IF(N418&lt;&gt;"",1,0)+IF(O418&lt;&gt;"",1,0)+IF(AJ418&lt;&gt;"",1,0)+IF(AU418&lt;&gt;"",1,0)+IF(BE418&lt;&gt;"",1,0)+IF(CF418&lt;&gt;"",1,0)+IF(CJ418="Yes",1,0)+IF(CL418="Yes",1,0)+IF(DE418&lt;&gt;"Pending",1,0)+IF(F418&lt;&gt;"",1,0)+IF(DZ418&lt;&gt;"",1,0)+IF(EI418&lt;&gt;"",1,0))/12)</x:f>
      </x:c>
    </x:row>
    <x:row r="419">
      <x:c r="A419" s="175" t="str">
        <x:f>IF(L419="","","EV-"&amp;TEXT(ROW()-3,"0000"))</x:f>
      </x:c>
      <x:c r="B419" s="174"/>
      <x:c r="C419" s="175" t="str">
        <x:f>IF(L419="","",IF(OR(CM419="Retracted",CN419="Retracted",F419="Not used"),"🔴 Do not use for conclusion",IF(OR(R419="Official / Institutional",I419="Official / contextual"),"🔵 Official / contextual",IF(OR(I419="Definition",I419="Framework",I419="Paradigm shift"),"🟣 Conceptual key source",IF(AND(CJ419="Yes",CL419="Yes",OR(CG419="High",CG419="Moderate"),CH419&lt;&gt;"High",CH419&lt;&gt;"Critical",F419="Claim-ready"),"🟢 Claim-ready","🟡 Caution / context")))))</x:f>
      </x:c>
      <x:c r="D419" s="174"/>
      <x:c r="E419" s="174"/>
      <x:c r="F419" s="174"/>
      <x:c r="G419" s="174"/>
      <x:c r="H419" s="174"/>
      <x:c r="I419" s="174"/>
      <x:c r="J419" s="174"/>
      <x:c r="K419" s="174"/>
      <x:c r="L419" s="174"/>
      <x:c r="M419" s="174"/>
      <x:c r="N419" s="174"/>
      <x:c r="O419" s="176"/>
      <x:c r="P419" s="174"/>
      <x:c r="Q419" s="174"/>
      <x:c r="R419" s="174"/>
      <x:c r="S419" s="174"/>
      <x:c r="T419" s="174"/>
      <x:c r="U419" s="174"/>
      <x:c r="V419" s="174"/>
      <x:c r="W419" s="175" t="str">
        <x:f>IF(V419="","",LOWER(SUBSTITUTE(SUBSTITUTE(SUBSTITUTE(SUBSTITUTE(TRIM(V419),"https://doi.org/",""),"http://doi.org/",""),"https://dx.doi.org/",""),"doi:","")))</x:f>
      </x:c>
      <x:c r="X419" s="174"/>
      <x:c r="Y419" s="174"/>
      <x:c r="Z419" s="174"/>
      <x:c r="AA419" s="174"/>
      <x:c r="AB419" s="174"/>
      <x:c r="AC419" s="174"/>
      <x:c r="AD419" s="177"/>
      <x:c r="AE419" s="177"/>
      <x:c r="AF419" s="174"/>
      <x:c r="AG419" s="174"/>
      <x:c r="AH419" s="174"/>
      <x:c r="AI419" s="174"/>
      <x:c r="AJ419" s="174"/>
      <x:c r="AK419" s="175" t="str">
        <x:f>IF(AJ419="","",IF(OR(LOWER(AJ419)="brazil",LOWER(AJ419)="brasil"),"Yes","No"))</x:f>
      </x:c>
      <x:c r="AL419" s="174"/>
      <x:c r="AM419" s="174"/>
      <x:c r="AN419" s="174"/>
      <x:c r="AO419" s="178"/>
      <x:c r="AP419" s="174"/>
      <x:c r="AQ419" s="174"/>
      <x:c r="AR419" s="174"/>
      <x:c r="AS419" s="174"/>
      <x:c r="AT419" s="174"/>
      <x:c r="AU419" s="174"/>
      <x:c r="AV419" s="174"/>
      <x:c r="AW419" s="174"/>
      <x:c r="AX419" s="174"/>
      <x:c r="AY419" s="174"/>
      <x:c r="AZ419" s="174"/>
      <x:c r="BA419" s="174"/>
      <x:c r="BB419" s="174"/>
      <x:c r="BC419" s="174"/>
      <x:c r="BD419" s="174"/>
      <x:c r="BE419" s="174"/>
      <x:c r="BF419" s="174"/>
      <x:c r="BG419" s="174"/>
      <x:c r="BH419" s="174"/>
      <x:c r="BI419" s="174"/>
      <x:c r="BJ419" s="174"/>
      <x:c r="BK419" s="174"/>
      <x:c r="BL419" s="174"/>
      <x:c r="BM419" s="174"/>
      <x:c r="BN419" s="174"/>
      <x:c r="BO419" s="174"/>
      <x:c r="BP419" s="174"/>
      <x:c r="BQ419" s="174"/>
      <x:c r="BR419" s="174"/>
      <x:c r="BS419" s="174"/>
      <x:c r="BT419" s="174"/>
      <x:c r="BU419" s="174"/>
      <x:c r="BV419" s="174"/>
      <x:c r="BW419" s="174"/>
      <x:c r="BX419" s="174"/>
      <x:c r="BY419" s="174"/>
      <x:c r="BZ419" s="174"/>
      <x:c r="CA419" s="174"/>
      <x:c r="CB419" s="174"/>
      <x:c r="CC419" s="174"/>
      <x:c r="CD419" s="174"/>
      <x:c r="CE419" s="174"/>
      <x:c r="CF419" s="174"/>
      <x:c r="CG419" s="174"/>
      <x:c r="CH419" s="174"/>
      <x:c r="CI419" s="179"/>
      <x:c r="CJ419" s="174"/>
      <x:c r="CK419" s="174"/>
      <x:c r="CL419" s="174"/>
      <x:c r="CM419" s="174"/>
      <x:c r="CN419" s="174"/>
      <x:c r="CO419" s="177"/>
      <x:c r="CP419" s="174"/>
      <x:c r="CQ419" s="174"/>
      <x:c r="CR419" s="174"/>
      <x:c r="CS419" s="174"/>
      <x:c r="CT419" s="174"/>
      <x:c r="CU419" s="176"/>
      <x:c r="CV419" s="176"/>
      <x:c r="CW419" s="176"/>
      <x:c r="CX419" s="176"/>
      <x:c r="CY419" s="176"/>
      <x:c r="CZ419" s="176"/>
      <x:c r="DA419" s="176"/>
      <x:c r="DB419" s="175" t="str">
        <x:f>IF(L419="","",IF(COUNT(CU419:DA419)&lt;7,"",SUM(CU419:DA419)))</x:f>
      </x:c>
      <x:c r="DC419" s="180" t="str">
        <x:f>IF(DB419="","",ROUND(DB419/14*10,1))</x:f>
      </x:c>
      <x:c r="DD419" s="174"/>
      <x:c r="DE419" s="175" t="str">
        <x:f>IF(L419="","",IF(DC419="","Pending",IF(DD419="Yes","CONDITIONAL — safety override",IF(DC419&gt;=8,"HIGH",IF(DC419&gt;=5,"CONDITIONAL","LOW")))))</x:f>
      </x:c>
      <x:c r="DF419" s="174"/>
      <x:c r="DG419" s="174"/>
      <x:c r="DH419" s="174"/>
      <x:c r="DI419" s="174"/>
      <x:c r="DJ419" s="174"/>
      <x:c r="DK419" s="174"/>
      <x:c r="DL419" s="174"/>
      <x:c r="DM419" s="174"/>
      <x:c r="DN419" s="174"/>
      <x:c r="DO419" s="174"/>
      <x:c r="DP419" s="174"/>
      <x:c r="DQ419" s="174"/>
      <x:c r="DR419" s="174"/>
      <x:c r="DS419" s="174"/>
      <x:c r="DT419" s="174"/>
      <x:c r="DU419" s="174"/>
      <x:c r="DV419" s="174"/>
      <x:c r="DW419" s="174"/>
      <x:c r="DX419" s="174"/>
      <x:c r="DY419" s="174"/>
      <x:c r="DZ419" s="174"/>
      <x:c r="EA419" s="174"/>
      <x:c r="EB419" s="175" t="str">
        <x:f>IF(L419="","",IF(AND(F419="Claim-ready",CJ419="Yes",CL419="Yes",DZ419&lt;&gt;""),"Yes","No / Pending"))</x:f>
      </x:c>
      <x:c r="EC419" s="174"/>
      <x:c r="ED419" s="174"/>
      <x:c r="EE419" s="174"/>
      <x:c r="EF419" s="174"/>
      <x:c r="EG419" s="174"/>
      <x:c r="EH419" s="177"/>
      <x:c r="EI419" s="174"/>
      <x:c r="EJ419" s="174"/>
      <x:c r="EK419" s="174"/>
      <x:c r="EL419" s="177"/>
      <x:c r="EM419" s="174"/>
      <x:c r="EN419" s="181" t="str">
        <x:f>IF(L419="","",(IF(N419&lt;&gt;"",1,0)+IF(O419&lt;&gt;"",1,0)+IF(AJ419&lt;&gt;"",1,0)+IF(AU419&lt;&gt;"",1,0)+IF(BE419&lt;&gt;"",1,0)+IF(CF419&lt;&gt;"",1,0)+IF(CJ419="Yes",1,0)+IF(CL419="Yes",1,0)+IF(DE419&lt;&gt;"Pending",1,0)+IF(F419&lt;&gt;"",1,0)+IF(DZ419&lt;&gt;"",1,0)+IF(EI419&lt;&gt;"",1,0))/12)</x:f>
      </x:c>
    </x:row>
    <x:row r="420">
      <x:c r="A420" s="175" t="str">
        <x:f>IF(L420="","","EV-"&amp;TEXT(ROW()-3,"0000"))</x:f>
      </x:c>
      <x:c r="B420" s="174"/>
      <x:c r="C420" s="175" t="str">
        <x:f>IF(L420="","",IF(OR(CM420="Retracted",CN420="Retracted",F420="Not used"),"🔴 Do not use for conclusion",IF(OR(R420="Official / Institutional",I420="Official / contextual"),"🔵 Official / contextual",IF(OR(I420="Definition",I420="Framework",I420="Paradigm shift"),"🟣 Conceptual key source",IF(AND(CJ420="Yes",CL420="Yes",OR(CG420="High",CG420="Moderate"),CH420&lt;&gt;"High",CH420&lt;&gt;"Critical",F420="Claim-ready"),"🟢 Claim-ready","🟡 Caution / context")))))</x:f>
      </x:c>
      <x:c r="D420" s="174"/>
      <x:c r="E420" s="174"/>
      <x:c r="F420" s="174"/>
      <x:c r="G420" s="174"/>
      <x:c r="H420" s="174"/>
      <x:c r="I420" s="174"/>
      <x:c r="J420" s="174"/>
      <x:c r="K420" s="174"/>
      <x:c r="L420" s="174"/>
      <x:c r="M420" s="174"/>
      <x:c r="N420" s="174"/>
      <x:c r="O420" s="176"/>
      <x:c r="P420" s="174"/>
      <x:c r="Q420" s="174"/>
      <x:c r="R420" s="174"/>
      <x:c r="S420" s="174"/>
      <x:c r="T420" s="174"/>
      <x:c r="U420" s="174"/>
      <x:c r="V420" s="174"/>
      <x:c r="W420" s="175" t="str">
        <x:f>IF(V420="","",LOWER(SUBSTITUTE(SUBSTITUTE(SUBSTITUTE(SUBSTITUTE(TRIM(V420),"https://doi.org/",""),"http://doi.org/",""),"https://dx.doi.org/",""),"doi:","")))</x:f>
      </x:c>
      <x:c r="X420" s="174"/>
      <x:c r="Y420" s="174"/>
      <x:c r="Z420" s="174"/>
      <x:c r="AA420" s="174"/>
      <x:c r="AB420" s="174"/>
      <x:c r="AC420" s="174"/>
      <x:c r="AD420" s="177"/>
      <x:c r="AE420" s="177"/>
      <x:c r="AF420" s="174"/>
      <x:c r="AG420" s="174"/>
      <x:c r="AH420" s="174"/>
      <x:c r="AI420" s="174"/>
      <x:c r="AJ420" s="174"/>
      <x:c r="AK420" s="175" t="str">
        <x:f>IF(AJ420="","",IF(OR(LOWER(AJ420)="brazil",LOWER(AJ420)="brasil"),"Yes","No"))</x:f>
      </x:c>
      <x:c r="AL420" s="174"/>
      <x:c r="AM420" s="174"/>
      <x:c r="AN420" s="174"/>
      <x:c r="AO420" s="178"/>
      <x:c r="AP420" s="174"/>
      <x:c r="AQ420" s="174"/>
      <x:c r="AR420" s="174"/>
      <x:c r="AS420" s="174"/>
      <x:c r="AT420" s="174"/>
      <x:c r="AU420" s="174"/>
      <x:c r="AV420" s="174"/>
      <x:c r="AW420" s="174"/>
      <x:c r="AX420" s="174"/>
      <x:c r="AY420" s="174"/>
      <x:c r="AZ420" s="174"/>
      <x:c r="BA420" s="174"/>
      <x:c r="BB420" s="174"/>
      <x:c r="BC420" s="174"/>
      <x:c r="BD420" s="174"/>
      <x:c r="BE420" s="174"/>
      <x:c r="BF420" s="174"/>
      <x:c r="BG420" s="174"/>
      <x:c r="BH420" s="174"/>
      <x:c r="BI420" s="174"/>
      <x:c r="BJ420" s="174"/>
      <x:c r="BK420" s="174"/>
      <x:c r="BL420" s="174"/>
      <x:c r="BM420" s="174"/>
      <x:c r="BN420" s="174"/>
      <x:c r="BO420" s="174"/>
      <x:c r="BP420" s="174"/>
      <x:c r="BQ420" s="174"/>
      <x:c r="BR420" s="174"/>
      <x:c r="BS420" s="174"/>
      <x:c r="BT420" s="174"/>
      <x:c r="BU420" s="174"/>
      <x:c r="BV420" s="174"/>
      <x:c r="BW420" s="174"/>
      <x:c r="BX420" s="174"/>
      <x:c r="BY420" s="174"/>
      <x:c r="BZ420" s="174"/>
      <x:c r="CA420" s="174"/>
      <x:c r="CB420" s="174"/>
      <x:c r="CC420" s="174"/>
      <x:c r="CD420" s="174"/>
      <x:c r="CE420" s="174"/>
      <x:c r="CF420" s="174"/>
      <x:c r="CG420" s="174"/>
      <x:c r="CH420" s="174"/>
      <x:c r="CI420" s="179"/>
      <x:c r="CJ420" s="174"/>
      <x:c r="CK420" s="174"/>
      <x:c r="CL420" s="174"/>
      <x:c r="CM420" s="174"/>
      <x:c r="CN420" s="174"/>
      <x:c r="CO420" s="177"/>
      <x:c r="CP420" s="174"/>
      <x:c r="CQ420" s="174"/>
      <x:c r="CR420" s="174"/>
      <x:c r="CS420" s="174"/>
      <x:c r="CT420" s="174"/>
      <x:c r="CU420" s="176"/>
      <x:c r="CV420" s="176"/>
      <x:c r="CW420" s="176"/>
      <x:c r="CX420" s="176"/>
      <x:c r="CY420" s="176"/>
      <x:c r="CZ420" s="176"/>
      <x:c r="DA420" s="176"/>
      <x:c r="DB420" s="175" t="str">
        <x:f>IF(L420="","",IF(COUNT(CU420:DA420)&lt;7,"",SUM(CU420:DA420)))</x:f>
      </x:c>
      <x:c r="DC420" s="180" t="str">
        <x:f>IF(DB420="","",ROUND(DB420/14*10,1))</x:f>
      </x:c>
      <x:c r="DD420" s="174"/>
      <x:c r="DE420" s="175" t="str">
        <x:f>IF(L420="","",IF(DC420="","Pending",IF(DD420="Yes","CONDITIONAL — safety override",IF(DC420&gt;=8,"HIGH",IF(DC420&gt;=5,"CONDITIONAL","LOW")))))</x:f>
      </x:c>
      <x:c r="DF420" s="174"/>
      <x:c r="DG420" s="174"/>
      <x:c r="DH420" s="174"/>
      <x:c r="DI420" s="174"/>
      <x:c r="DJ420" s="174"/>
      <x:c r="DK420" s="174"/>
      <x:c r="DL420" s="174"/>
      <x:c r="DM420" s="174"/>
      <x:c r="DN420" s="174"/>
      <x:c r="DO420" s="174"/>
      <x:c r="DP420" s="174"/>
      <x:c r="DQ420" s="174"/>
      <x:c r="DR420" s="174"/>
      <x:c r="DS420" s="174"/>
      <x:c r="DT420" s="174"/>
      <x:c r="DU420" s="174"/>
      <x:c r="DV420" s="174"/>
      <x:c r="DW420" s="174"/>
      <x:c r="DX420" s="174"/>
      <x:c r="DY420" s="174"/>
      <x:c r="DZ420" s="174"/>
      <x:c r="EA420" s="174"/>
      <x:c r="EB420" s="175" t="str">
        <x:f>IF(L420="","",IF(AND(F420="Claim-ready",CJ420="Yes",CL420="Yes",DZ420&lt;&gt;""),"Yes","No / Pending"))</x:f>
      </x:c>
      <x:c r="EC420" s="174"/>
      <x:c r="ED420" s="174"/>
      <x:c r="EE420" s="174"/>
      <x:c r="EF420" s="174"/>
      <x:c r="EG420" s="174"/>
      <x:c r="EH420" s="177"/>
      <x:c r="EI420" s="174"/>
      <x:c r="EJ420" s="174"/>
      <x:c r="EK420" s="174"/>
      <x:c r="EL420" s="177"/>
      <x:c r="EM420" s="174"/>
      <x:c r="EN420" s="181" t="str">
        <x:f>IF(L420="","",(IF(N420&lt;&gt;"",1,0)+IF(O420&lt;&gt;"",1,0)+IF(AJ420&lt;&gt;"",1,0)+IF(AU420&lt;&gt;"",1,0)+IF(BE420&lt;&gt;"",1,0)+IF(CF420&lt;&gt;"",1,0)+IF(CJ420="Yes",1,0)+IF(CL420="Yes",1,0)+IF(DE420&lt;&gt;"Pending",1,0)+IF(F420&lt;&gt;"",1,0)+IF(DZ420&lt;&gt;"",1,0)+IF(EI420&lt;&gt;"",1,0))/12)</x:f>
      </x:c>
    </x:row>
    <x:row r="421">
      <x:c r="A421" s="175" t="str">
        <x:f>IF(L421="","","EV-"&amp;TEXT(ROW()-3,"0000"))</x:f>
      </x:c>
      <x:c r="B421" s="174"/>
      <x:c r="C421" s="175" t="str">
        <x:f>IF(L421="","",IF(OR(CM421="Retracted",CN421="Retracted",F421="Not used"),"🔴 Do not use for conclusion",IF(OR(R421="Official / Institutional",I421="Official / contextual"),"🔵 Official / contextual",IF(OR(I421="Definition",I421="Framework",I421="Paradigm shift"),"🟣 Conceptual key source",IF(AND(CJ421="Yes",CL421="Yes",OR(CG421="High",CG421="Moderate"),CH421&lt;&gt;"High",CH421&lt;&gt;"Critical",F421="Claim-ready"),"🟢 Claim-ready","🟡 Caution / context")))))</x:f>
      </x:c>
      <x:c r="D421" s="174"/>
      <x:c r="E421" s="174"/>
      <x:c r="F421" s="174"/>
      <x:c r="G421" s="174"/>
      <x:c r="H421" s="174"/>
      <x:c r="I421" s="174"/>
      <x:c r="J421" s="174"/>
      <x:c r="K421" s="174"/>
      <x:c r="L421" s="174"/>
      <x:c r="M421" s="174"/>
      <x:c r="N421" s="174"/>
      <x:c r="O421" s="176"/>
      <x:c r="P421" s="174"/>
      <x:c r="Q421" s="174"/>
      <x:c r="R421" s="174"/>
      <x:c r="S421" s="174"/>
      <x:c r="T421" s="174"/>
      <x:c r="U421" s="174"/>
      <x:c r="V421" s="174"/>
      <x:c r="W421" s="175" t="str">
        <x:f>IF(V421="","",LOWER(SUBSTITUTE(SUBSTITUTE(SUBSTITUTE(SUBSTITUTE(TRIM(V421),"https://doi.org/",""),"http://doi.org/",""),"https://dx.doi.org/",""),"doi:","")))</x:f>
      </x:c>
      <x:c r="X421" s="174"/>
      <x:c r="Y421" s="174"/>
      <x:c r="Z421" s="174"/>
      <x:c r="AA421" s="174"/>
      <x:c r="AB421" s="174"/>
      <x:c r="AC421" s="174"/>
      <x:c r="AD421" s="177"/>
      <x:c r="AE421" s="177"/>
      <x:c r="AF421" s="174"/>
      <x:c r="AG421" s="174"/>
      <x:c r="AH421" s="174"/>
      <x:c r="AI421" s="174"/>
      <x:c r="AJ421" s="174"/>
      <x:c r="AK421" s="175" t="str">
        <x:f>IF(AJ421="","",IF(OR(LOWER(AJ421)="brazil",LOWER(AJ421)="brasil"),"Yes","No"))</x:f>
      </x:c>
      <x:c r="AL421" s="174"/>
      <x:c r="AM421" s="174"/>
      <x:c r="AN421" s="174"/>
      <x:c r="AO421" s="178"/>
      <x:c r="AP421" s="174"/>
      <x:c r="AQ421" s="174"/>
      <x:c r="AR421" s="174"/>
      <x:c r="AS421" s="174"/>
      <x:c r="AT421" s="174"/>
      <x:c r="AU421" s="174"/>
      <x:c r="AV421" s="174"/>
      <x:c r="AW421" s="174"/>
      <x:c r="AX421" s="174"/>
      <x:c r="AY421" s="174"/>
      <x:c r="AZ421" s="174"/>
      <x:c r="BA421" s="174"/>
      <x:c r="BB421" s="174"/>
      <x:c r="BC421" s="174"/>
      <x:c r="BD421" s="174"/>
      <x:c r="BE421" s="174"/>
      <x:c r="BF421" s="174"/>
      <x:c r="BG421" s="174"/>
      <x:c r="BH421" s="174"/>
      <x:c r="BI421" s="174"/>
      <x:c r="BJ421" s="174"/>
      <x:c r="BK421" s="174"/>
      <x:c r="BL421" s="174"/>
      <x:c r="BM421" s="174"/>
      <x:c r="BN421" s="174"/>
      <x:c r="BO421" s="174"/>
      <x:c r="BP421" s="174"/>
      <x:c r="BQ421" s="174"/>
      <x:c r="BR421" s="174"/>
      <x:c r="BS421" s="174"/>
      <x:c r="BT421" s="174"/>
      <x:c r="BU421" s="174"/>
      <x:c r="BV421" s="174"/>
      <x:c r="BW421" s="174"/>
      <x:c r="BX421" s="174"/>
      <x:c r="BY421" s="174"/>
      <x:c r="BZ421" s="174"/>
      <x:c r="CA421" s="174"/>
      <x:c r="CB421" s="174"/>
      <x:c r="CC421" s="174"/>
      <x:c r="CD421" s="174"/>
      <x:c r="CE421" s="174"/>
      <x:c r="CF421" s="174"/>
      <x:c r="CG421" s="174"/>
      <x:c r="CH421" s="174"/>
      <x:c r="CI421" s="179"/>
      <x:c r="CJ421" s="174"/>
      <x:c r="CK421" s="174"/>
      <x:c r="CL421" s="174"/>
      <x:c r="CM421" s="174"/>
      <x:c r="CN421" s="174"/>
      <x:c r="CO421" s="177"/>
      <x:c r="CP421" s="174"/>
      <x:c r="CQ421" s="174"/>
      <x:c r="CR421" s="174"/>
      <x:c r="CS421" s="174"/>
      <x:c r="CT421" s="174"/>
      <x:c r="CU421" s="176"/>
      <x:c r="CV421" s="176"/>
      <x:c r="CW421" s="176"/>
      <x:c r="CX421" s="176"/>
      <x:c r="CY421" s="176"/>
      <x:c r="CZ421" s="176"/>
      <x:c r="DA421" s="176"/>
      <x:c r="DB421" s="175" t="str">
        <x:f>IF(L421="","",IF(COUNT(CU421:DA421)&lt;7,"",SUM(CU421:DA421)))</x:f>
      </x:c>
      <x:c r="DC421" s="180" t="str">
        <x:f>IF(DB421="","",ROUND(DB421/14*10,1))</x:f>
      </x:c>
      <x:c r="DD421" s="174"/>
      <x:c r="DE421" s="175" t="str">
        <x:f>IF(L421="","",IF(DC421="","Pending",IF(DD421="Yes","CONDITIONAL — safety override",IF(DC421&gt;=8,"HIGH",IF(DC421&gt;=5,"CONDITIONAL","LOW")))))</x:f>
      </x:c>
      <x:c r="DF421" s="174"/>
      <x:c r="DG421" s="174"/>
      <x:c r="DH421" s="174"/>
      <x:c r="DI421" s="174"/>
      <x:c r="DJ421" s="174"/>
      <x:c r="DK421" s="174"/>
      <x:c r="DL421" s="174"/>
      <x:c r="DM421" s="174"/>
      <x:c r="DN421" s="174"/>
      <x:c r="DO421" s="174"/>
      <x:c r="DP421" s="174"/>
      <x:c r="DQ421" s="174"/>
      <x:c r="DR421" s="174"/>
      <x:c r="DS421" s="174"/>
      <x:c r="DT421" s="174"/>
      <x:c r="DU421" s="174"/>
      <x:c r="DV421" s="174"/>
      <x:c r="DW421" s="174"/>
      <x:c r="DX421" s="174"/>
      <x:c r="DY421" s="174"/>
      <x:c r="DZ421" s="174"/>
      <x:c r="EA421" s="174"/>
      <x:c r="EB421" s="175" t="str">
        <x:f>IF(L421="","",IF(AND(F421="Claim-ready",CJ421="Yes",CL421="Yes",DZ421&lt;&gt;""),"Yes","No / Pending"))</x:f>
      </x:c>
      <x:c r="EC421" s="174"/>
      <x:c r="ED421" s="174"/>
      <x:c r="EE421" s="174"/>
      <x:c r="EF421" s="174"/>
      <x:c r="EG421" s="174"/>
      <x:c r="EH421" s="177"/>
      <x:c r="EI421" s="174"/>
      <x:c r="EJ421" s="174"/>
      <x:c r="EK421" s="174"/>
      <x:c r="EL421" s="177"/>
      <x:c r="EM421" s="174"/>
      <x:c r="EN421" s="181" t="str">
        <x:f>IF(L421="","",(IF(N421&lt;&gt;"",1,0)+IF(O421&lt;&gt;"",1,0)+IF(AJ421&lt;&gt;"",1,0)+IF(AU421&lt;&gt;"",1,0)+IF(BE421&lt;&gt;"",1,0)+IF(CF421&lt;&gt;"",1,0)+IF(CJ421="Yes",1,0)+IF(CL421="Yes",1,0)+IF(DE421&lt;&gt;"Pending",1,0)+IF(F421&lt;&gt;"",1,0)+IF(DZ421&lt;&gt;"",1,0)+IF(EI421&lt;&gt;"",1,0))/12)</x:f>
      </x:c>
    </x:row>
    <x:row r="422">
      <x:c r="A422" s="175" t="str">
        <x:f>IF(L422="","","EV-"&amp;TEXT(ROW()-3,"0000"))</x:f>
      </x:c>
      <x:c r="B422" s="174"/>
      <x:c r="C422" s="175" t="str">
        <x:f>IF(L422="","",IF(OR(CM422="Retracted",CN422="Retracted",F422="Not used"),"🔴 Do not use for conclusion",IF(OR(R422="Official / Institutional",I422="Official / contextual"),"🔵 Official / contextual",IF(OR(I422="Definition",I422="Framework",I422="Paradigm shift"),"🟣 Conceptual key source",IF(AND(CJ422="Yes",CL422="Yes",OR(CG422="High",CG422="Moderate"),CH422&lt;&gt;"High",CH422&lt;&gt;"Critical",F422="Claim-ready"),"🟢 Claim-ready","🟡 Caution / context")))))</x:f>
      </x:c>
      <x:c r="D422" s="174"/>
      <x:c r="E422" s="174"/>
      <x:c r="F422" s="174"/>
      <x:c r="G422" s="174"/>
      <x:c r="H422" s="174"/>
      <x:c r="I422" s="174"/>
      <x:c r="J422" s="174"/>
      <x:c r="K422" s="174"/>
      <x:c r="L422" s="174"/>
      <x:c r="M422" s="174"/>
      <x:c r="N422" s="174"/>
      <x:c r="O422" s="176"/>
      <x:c r="P422" s="174"/>
      <x:c r="Q422" s="174"/>
      <x:c r="R422" s="174"/>
      <x:c r="S422" s="174"/>
      <x:c r="T422" s="174"/>
      <x:c r="U422" s="174"/>
      <x:c r="V422" s="174"/>
      <x:c r="W422" s="175" t="str">
        <x:f>IF(V422="","",LOWER(SUBSTITUTE(SUBSTITUTE(SUBSTITUTE(SUBSTITUTE(TRIM(V422),"https://doi.org/",""),"http://doi.org/",""),"https://dx.doi.org/",""),"doi:","")))</x:f>
      </x:c>
      <x:c r="X422" s="174"/>
      <x:c r="Y422" s="174"/>
      <x:c r="Z422" s="174"/>
      <x:c r="AA422" s="174"/>
      <x:c r="AB422" s="174"/>
      <x:c r="AC422" s="174"/>
      <x:c r="AD422" s="177"/>
      <x:c r="AE422" s="177"/>
      <x:c r="AF422" s="174"/>
      <x:c r="AG422" s="174"/>
      <x:c r="AH422" s="174"/>
      <x:c r="AI422" s="174"/>
      <x:c r="AJ422" s="174"/>
      <x:c r="AK422" s="175" t="str">
        <x:f>IF(AJ422="","",IF(OR(LOWER(AJ422)="brazil",LOWER(AJ422)="brasil"),"Yes","No"))</x:f>
      </x:c>
      <x:c r="AL422" s="174"/>
      <x:c r="AM422" s="174"/>
      <x:c r="AN422" s="174"/>
      <x:c r="AO422" s="178"/>
      <x:c r="AP422" s="174"/>
      <x:c r="AQ422" s="174"/>
      <x:c r="AR422" s="174"/>
      <x:c r="AS422" s="174"/>
      <x:c r="AT422" s="174"/>
      <x:c r="AU422" s="174"/>
      <x:c r="AV422" s="174"/>
      <x:c r="AW422" s="174"/>
      <x:c r="AX422" s="174"/>
      <x:c r="AY422" s="174"/>
      <x:c r="AZ422" s="174"/>
      <x:c r="BA422" s="174"/>
      <x:c r="BB422" s="174"/>
      <x:c r="BC422" s="174"/>
      <x:c r="BD422" s="174"/>
      <x:c r="BE422" s="174"/>
      <x:c r="BF422" s="174"/>
      <x:c r="BG422" s="174"/>
      <x:c r="BH422" s="174"/>
      <x:c r="BI422" s="174"/>
      <x:c r="BJ422" s="174"/>
      <x:c r="BK422" s="174"/>
      <x:c r="BL422" s="174"/>
      <x:c r="BM422" s="174"/>
      <x:c r="BN422" s="174"/>
      <x:c r="BO422" s="174"/>
      <x:c r="BP422" s="174"/>
      <x:c r="BQ422" s="174"/>
      <x:c r="BR422" s="174"/>
      <x:c r="BS422" s="174"/>
      <x:c r="BT422" s="174"/>
      <x:c r="BU422" s="174"/>
      <x:c r="BV422" s="174"/>
      <x:c r="BW422" s="174"/>
      <x:c r="BX422" s="174"/>
      <x:c r="BY422" s="174"/>
      <x:c r="BZ422" s="174"/>
      <x:c r="CA422" s="174"/>
      <x:c r="CB422" s="174"/>
      <x:c r="CC422" s="174"/>
      <x:c r="CD422" s="174"/>
      <x:c r="CE422" s="174"/>
      <x:c r="CF422" s="174"/>
      <x:c r="CG422" s="174"/>
      <x:c r="CH422" s="174"/>
      <x:c r="CI422" s="179"/>
      <x:c r="CJ422" s="174"/>
      <x:c r="CK422" s="174"/>
      <x:c r="CL422" s="174"/>
      <x:c r="CM422" s="174"/>
      <x:c r="CN422" s="174"/>
      <x:c r="CO422" s="177"/>
      <x:c r="CP422" s="174"/>
      <x:c r="CQ422" s="174"/>
      <x:c r="CR422" s="174"/>
      <x:c r="CS422" s="174"/>
      <x:c r="CT422" s="174"/>
      <x:c r="CU422" s="176"/>
      <x:c r="CV422" s="176"/>
      <x:c r="CW422" s="176"/>
      <x:c r="CX422" s="176"/>
      <x:c r="CY422" s="176"/>
      <x:c r="CZ422" s="176"/>
      <x:c r="DA422" s="176"/>
      <x:c r="DB422" s="175" t="str">
        <x:f>IF(L422="","",IF(COUNT(CU422:DA422)&lt;7,"",SUM(CU422:DA422)))</x:f>
      </x:c>
      <x:c r="DC422" s="180" t="str">
        <x:f>IF(DB422="","",ROUND(DB422/14*10,1))</x:f>
      </x:c>
      <x:c r="DD422" s="174"/>
      <x:c r="DE422" s="175" t="str">
        <x:f>IF(L422="","",IF(DC422="","Pending",IF(DD422="Yes","CONDITIONAL — safety override",IF(DC422&gt;=8,"HIGH",IF(DC422&gt;=5,"CONDITIONAL","LOW")))))</x:f>
      </x:c>
      <x:c r="DF422" s="174"/>
      <x:c r="DG422" s="174"/>
      <x:c r="DH422" s="174"/>
      <x:c r="DI422" s="174"/>
      <x:c r="DJ422" s="174"/>
      <x:c r="DK422" s="174"/>
      <x:c r="DL422" s="174"/>
      <x:c r="DM422" s="174"/>
      <x:c r="DN422" s="174"/>
      <x:c r="DO422" s="174"/>
      <x:c r="DP422" s="174"/>
      <x:c r="DQ422" s="174"/>
      <x:c r="DR422" s="174"/>
      <x:c r="DS422" s="174"/>
      <x:c r="DT422" s="174"/>
      <x:c r="DU422" s="174"/>
      <x:c r="DV422" s="174"/>
      <x:c r="DW422" s="174"/>
      <x:c r="DX422" s="174"/>
      <x:c r="DY422" s="174"/>
      <x:c r="DZ422" s="174"/>
      <x:c r="EA422" s="174"/>
      <x:c r="EB422" s="175" t="str">
        <x:f>IF(L422="","",IF(AND(F422="Claim-ready",CJ422="Yes",CL422="Yes",DZ422&lt;&gt;""),"Yes","No / Pending"))</x:f>
      </x:c>
      <x:c r="EC422" s="174"/>
      <x:c r="ED422" s="174"/>
      <x:c r="EE422" s="174"/>
      <x:c r="EF422" s="174"/>
      <x:c r="EG422" s="174"/>
      <x:c r="EH422" s="177"/>
      <x:c r="EI422" s="174"/>
      <x:c r="EJ422" s="174"/>
      <x:c r="EK422" s="174"/>
      <x:c r="EL422" s="177"/>
      <x:c r="EM422" s="174"/>
      <x:c r="EN422" s="181" t="str">
        <x:f>IF(L422="","",(IF(N422&lt;&gt;"",1,0)+IF(O422&lt;&gt;"",1,0)+IF(AJ422&lt;&gt;"",1,0)+IF(AU422&lt;&gt;"",1,0)+IF(BE422&lt;&gt;"",1,0)+IF(CF422&lt;&gt;"",1,0)+IF(CJ422="Yes",1,0)+IF(CL422="Yes",1,0)+IF(DE422&lt;&gt;"Pending",1,0)+IF(F422&lt;&gt;"",1,0)+IF(DZ422&lt;&gt;"",1,0)+IF(EI422&lt;&gt;"",1,0))/12)</x:f>
      </x:c>
    </x:row>
    <x:row r="423">
      <x:c r="A423" s="175" t="str">
        <x:f>IF(L423="","","EV-"&amp;TEXT(ROW()-3,"0000"))</x:f>
      </x:c>
      <x:c r="B423" s="174"/>
      <x:c r="C423" s="175" t="str">
        <x:f>IF(L423="","",IF(OR(CM423="Retracted",CN423="Retracted",F423="Not used"),"🔴 Do not use for conclusion",IF(OR(R423="Official / Institutional",I423="Official / contextual"),"🔵 Official / contextual",IF(OR(I423="Definition",I423="Framework",I423="Paradigm shift"),"🟣 Conceptual key source",IF(AND(CJ423="Yes",CL423="Yes",OR(CG423="High",CG423="Moderate"),CH423&lt;&gt;"High",CH423&lt;&gt;"Critical",F423="Claim-ready"),"🟢 Claim-ready","🟡 Caution / context")))))</x:f>
      </x:c>
      <x:c r="D423" s="174"/>
      <x:c r="E423" s="174"/>
      <x:c r="F423" s="174"/>
      <x:c r="G423" s="174"/>
      <x:c r="H423" s="174"/>
      <x:c r="I423" s="174"/>
      <x:c r="J423" s="174"/>
      <x:c r="K423" s="174"/>
      <x:c r="L423" s="174"/>
      <x:c r="M423" s="174"/>
      <x:c r="N423" s="174"/>
      <x:c r="O423" s="176"/>
      <x:c r="P423" s="174"/>
      <x:c r="Q423" s="174"/>
      <x:c r="R423" s="174"/>
      <x:c r="S423" s="174"/>
      <x:c r="T423" s="174"/>
      <x:c r="U423" s="174"/>
      <x:c r="V423" s="174"/>
      <x:c r="W423" s="175" t="str">
        <x:f>IF(V423="","",LOWER(SUBSTITUTE(SUBSTITUTE(SUBSTITUTE(SUBSTITUTE(TRIM(V423),"https://doi.org/",""),"http://doi.org/",""),"https://dx.doi.org/",""),"doi:","")))</x:f>
      </x:c>
      <x:c r="X423" s="174"/>
      <x:c r="Y423" s="174"/>
      <x:c r="Z423" s="174"/>
      <x:c r="AA423" s="174"/>
      <x:c r="AB423" s="174"/>
      <x:c r="AC423" s="174"/>
      <x:c r="AD423" s="177"/>
      <x:c r="AE423" s="177"/>
      <x:c r="AF423" s="174"/>
      <x:c r="AG423" s="174"/>
      <x:c r="AH423" s="174"/>
      <x:c r="AI423" s="174"/>
      <x:c r="AJ423" s="174"/>
      <x:c r="AK423" s="175" t="str">
        <x:f>IF(AJ423="","",IF(OR(LOWER(AJ423)="brazil",LOWER(AJ423)="brasil"),"Yes","No"))</x:f>
      </x:c>
      <x:c r="AL423" s="174"/>
      <x:c r="AM423" s="174"/>
      <x:c r="AN423" s="174"/>
      <x:c r="AO423" s="178"/>
      <x:c r="AP423" s="174"/>
      <x:c r="AQ423" s="174"/>
      <x:c r="AR423" s="174"/>
      <x:c r="AS423" s="174"/>
      <x:c r="AT423" s="174"/>
      <x:c r="AU423" s="174"/>
      <x:c r="AV423" s="174"/>
      <x:c r="AW423" s="174"/>
      <x:c r="AX423" s="174"/>
      <x:c r="AY423" s="174"/>
      <x:c r="AZ423" s="174"/>
      <x:c r="BA423" s="174"/>
      <x:c r="BB423" s="174"/>
      <x:c r="BC423" s="174"/>
      <x:c r="BD423" s="174"/>
      <x:c r="BE423" s="174"/>
      <x:c r="BF423" s="174"/>
      <x:c r="BG423" s="174"/>
      <x:c r="BH423" s="174"/>
      <x:c r="BI423" s="174"/>
      <x:c r="BJ423" s="174"/>
      <x:c r="BK423" s="174"/>
      <x:c r="BL423" s="174"/>
      <x:c r="BM423" s="174"/>
      <x:c r="BN423" s="174"/>
      <x:c r="BO423" s="174"/>
      <x:c r="BP423" s="174"/>
      <x:c r="BQ423" s="174"/>
      <x:c r="BR423" s="174"/>
      <x:c r="BS423" s="174"/>
      <x:c r="BT423" s="174"/>
      <x:c r="BU423" s="174"/>
      <x:c r="BV423" s="174"/>
      <x:c r="BW423" s="174"/>
      <x:c r="BX423" s="174"/>
      <x:c r="BY423" s="174"/>
      <x:c r="BZ423" s="174"/>
      <x:c r="CA423" s="174"/>
      <x:c r="CB423" s="174"/>
      <x:c r="CC423" s="174"/>
      <x:c r="CD423" s="174"/>
      <x:c r="CE423" s="174"/>
      <x:c r="CF423" s="174"/>
      <x:c r="CG423" s="174"/>
      <x:c r="CH423" s="174"/>
      <x:c r="CI423" s="179"/>
      <x:c r="CJ423" s="174"/>
      <x:c r="CK423" s="174"/>
      <x:c r="CL423" s="174"/>
      <x:c r="CM423" s="174"/>
      <x:c r="CN423" s="174"/>
      <x:c r="CO423" s="177"/>
      <x:c r="CP423" s="174"/>
      <x:c r="CQ423" s="174"/>
      <x:c r="CR423" s="174"/>
      <x:c r="CS423" s="174"/>
      <x:c r="CT423" s="174"/>
      <x:c r="CU423" s="176"/>
      <x:c r="CV423" s="176"/>
      <x:c r="CW423" s="176"/>
      <x:c r="CX423" s="176"/>
      <x:c r="CY423" s="176"/>
      <x:c r="CZ423" s="176"/>
      <x:c r="DA423" s="176"/>
      <x:c r="DB423" s="175" t="str">
        <x:f>IF(L423="","",IF(COUNT(CU423:DA423)&lt;7,"",SUM(CU423:DA423)))</x:f>
      </x:c>
      <x:c r="DC423" s="180" t="str">
        <x:f>IF(DB423="","",ROUND(DB423/14*10,1))</x:f>
      </x:c>
      <x:c r="DD423" s="174"/>
      <x:c r="DE423" s="175" t="str">
        <x:f>IF(L423="","",IF(DC423="","Pending",IF(DD423="Yes","CONDITIONAL — safety override",IF(DC423&gt;=8,"HIGH",IF(DC423&gt;=5,"CONDITIONAL","LOW")))))</x:f>
      </x:c>
      <x:c r="DF423" s="174"/>
      <x:c r="DG423" s="174"/>
      <x:c r="DH423" s="174"/>
      <x:c r="DI423" s="174"/>
      <x:c r="DJ423" s="174"/>
      <x:c r="DK423" s="174"/>
      <x:c r="DL423" s="174"/>
      <x:c r="DM423" s="174"/>
      <x:c r="DN423" s="174"/>
      <x:c r="DO423" s="174"/>
      <x:c r="DP423" s="174"/>
      <x:c r="DQ423" s="174"/>
      <x:c r="DR423" s="174"/>
      <x:c r="DS423" s="174"/>
      <x:c r="DT423" s="174"/>
      <x:c r="DU423" s="174"/>
      <x:c r="DV423" s="174"/>
      <x:c r="DW423" s="174"/>
      <x:c r="DX423" s="174"/>
      <x:c r="DY423" s="174"/>
      <x:c r="DZ423" s="174"/>
      <x:c r="EA423" s="174"/>
      <x:c r="EB423" s="175" t="str">
        <x:f>IF(L423="","",IF(AND(F423="Claim-ready",CJ423="Yes",CL423="Yes",DZ423&lt;&gt;""),"Yes","No / Pending"))</x:f>
      </x:c>
      <x:c r="EC423" s="174"/>
      <x:c r="ED423" s="174"/>
      <x:c r="EE423" s="174"/>
      <x:c r="EF423" s="174"/>
      <x:c r="EG423" s="174"/>
      <x:c r="EH423" s="177"/>
      <x:c r="EI423" s="174"/>
      <x:c r="EJ423" s="174"/>
      <x:c r="EK423" s="174"/>
      <x:c r="EL423" s="177"/>
      <x:c r="EM423" s="174"/>
      <x:c r="EN423" s="181" t="str">
        <x:f>IF(L423="","",(IF(N423&lt;&gt;"",1,0)+IF(O423&lt;&gt;"",1,0)+IF(AJ423&lt;&gt;"",1,0)+IF(AU423&lt;&gt;"",1,0)+IF(BE423&lt;&gt;"",1,0)+IF(CF423&lt;&gt;"",1,0)+IF(CJ423="Yes",1,0)+IF(CL423="Yes",1,0)+IF(DE423&lt;&gt;"Pending",1,0)+IF(F423&lt;&gt;"",1,0)+IF(DZ423&lt;&gt;"",1,0)+IF(EI423&lt;&gt;"",1,0))/12)</x:f>
      </x:c>
    </x:row>
    <x:row r="424">
      <x:c r="A424" s="175" t="str">
        <x:f>IF(L424="","","EV-"&amp;TEXT(ROW()-3,"0000"))</x:f>
      </x:c>
      <x:c r="B424" s="174"/>
      <x:c r="C424" s="175" t="str">
        <x:f>IF(L424="","",IF(OR(CM424="Retracted",CN424="Retracted",F424="Not used"),"🔴 Do not use for conclusion",IF(OR(R424="Official / Institutional",I424="Official / contextual"),"🔵 Official / contextual",IF(OR(I424="Definition",I424="Framework",I424="Paradigm shift"),"🟣 Conceptual key source",IF(AND(CJ424="Yes",CL424="Yes",OR(CG424="High",CG424="Moderate"),CH424&lt;&gt;"High",CH424&lt;&gt;"Critical",F424="Claim-ready"),"🟢 Claim-ready","🟡 Caution / context")))))</x:f>
      </x:c>
      <x:c r="D424" s="174"/>
      <x:c r="E424" s="174"/>
      <x:c r="F424" s="174"/>
      <x:c r="G424" s="174"/>
      <x:c r="H424" s="174"/>
      <x:c r="I424" s="174"/>
      <x:c r="J424" s="174"/>
      <x:c r="K424" s="174"/>
      <x:c r="L424" s="174"/>
      <x:c r="M424" s="174"/>
      <x:c r="N424" s="174"/>
      <x:c r="O424" s="176"/>
      <x:c r="P424" s="174"/>
      <x:c r="Q424" s="174"/>
      <x:c r="R424" s="174"/>
      <x:c r="S424" s="174"/>
      <x:c r="T424" s="174"/>
      <x:c r="U424" s="174"/>
      <x:c r="V424" s="174"/>
      <x:c r="W424" s="175" t="str">
        <x:f>IF(V424="","",LOWER(SUBSTITUTE(SUBSTITUTE(SUBSTITUTE(SUBSTITUTE(TRIM(V424),"https://doi.org/",""),"http://doi.org/",""),"https://dx.doi.org/",""),"doi:","")))</x:f>
      </x:c>
      <x:c r="X424" s="174"/>
      <x:c r="Y424" s="174"/>
      <x:c r="Z424" s="174"/>
      <x:c r="AA424" s="174"/>
      <x:c r="AB424" s="174"/>
      <x:c r="AC424" s="174"/>
      <x:c r="AD424" s="177"/>
      <x:c r="AE424" s="177"/>
      <x:c r="AF424" s="174"/>
      <x:c r="AG424" s="174"/>
      <x:c r="AH424" s="174"/>
      <x:c r="AI424" s="174"/>
      <x:c r="AJ424" s="174"/>
      <x:c r="AK424" s="175" t="str">
        <x:f>IF(AJ424="","",IF(OR(LOWER(AJ424)="brazil",LOWER(AJ424)="brasil"),"Yes","No"))</x:f>
      </x:c>
      <x:c r="AL424" s="174"/>
      <x:c r="AM424" s="174"/>
      <x:c r="AN424" s="174"/>
      <x:c r="AO424" s="178"/>
      <x:c r="AP424" s="174"/>
      <x:c r="AQ424" s="174"/>
      <x:c r="AR424" s="174"/>
      <x:c r="AS424" s="174"/>
      <x:c r="AT424" s="174"/>
      <x:c r="AU424" s="174"/>
      <x:c r="AV424" s="174"/>
      <x:c r="AW424" s="174"/>
      <x:c r="AX424" s="174"/>
      <x:c r="AY424" s="174"/>
      <x:c r="AZ424" s="174"/>
      <x:c r="BA424" s="174"/>
      <x:c r="BB424" s="174"/>
      <x:c r="BC424" s="174"/>
      <x:c r="BD424" s="174"/>
      <x:c r="BE424" s="174"/>
      <x:c r="BF424" s="174"/>
      <x:c r="BG424" s="174"/>
      <x:c r="BH424" s="174"/>
      <x:c r="BI424" s="174"/>
      <x:c r="BJ424" s="174"/>
      <x:c r="BK424" s="174"/>
      <x:c r="BL424" s="174"/>
      <x:c r="BM424" s="174"/>
      <x:c r="BN424" s="174"/>
      <x:c r="BO424" s="174"/>
      <x:c r="BP424" s="174"/>
      <x:c r="BQ424" s="174"/>
      <x:c r="BR424" s="174"/>
      <x:c r="BS424" s="174"/>
      <x:c r="BT424" s="174"/>
      <x:c r="BU424" s="174"/>
      <x:c r="BV424" s="174"/>
      <x:c r="BW424" s="174"/>
      <x:c r="BX424" s="174"/>
      <x:c r="BY424" s="174"/>
      <x:c r="BZ424" s="174"/>
      <x:c r="CA424" s="174"/>
      <x:c r="CB424" s="174"/>
      <x:c r="CC424" s="174"/>
      <x:c r="CD424" s="174"/>
      <x:c r="CE424" s="174"/>
      <x:c r="CF424" s="174"/>
      <x:c r="CG424" s="174"/>
      <x:c r="CH424" s="174"/>
      <x:c r="CI424" s="179"/>
      <x:c r="CJ424" s="174"/>
      <x:c r="CK424" s="174"/>
      <x:c r="CL424" s="174"/>
      <x:c r="CM424" s="174"/>
      <x:c r="CN424" s="174"/>
      <x:c r="CO424" s="177"/>
      <x:c r="CP424" s="174"/>
      <x:c r="CQ424" s="174"/>
      <x:c r="CR424" s="174"/>
      <x:c r="CS424" s="174"/>
      <x:c r="CT424" s="174"/>
      <x:c r="CU424" s="176"/>
      <x:c r="CV424" s="176"/>
      <x:c r="CW424" s="176"/>
      <x:c r="CX424" s="176"/>
      <x:c r="CY424" s="176"/>
      <x:c r="CZ424" s="176"/>
      <x:c r="DA424" s="176"/>
      <x:c r="DB424" s="175" t="str">
        <x:f>IF(L424="","",IF(COUNT(CU424:DA424)&lt;7,"",SUM(CU424:DA424)))</x:f>
      </x:c>
      <x:c r="DC424" s="180" t="str">
        <x:f>IF(DB424="","",ROUND(DB424/14*10,1))</x:f>
      </x:c>
      <x:c r="DD424" s="174"/>
      <x:c r="DE424" s="175" t="str">
        <x:f>IF(L424="","",IF(DC424="","Pending",IF(DD424="Yes","CONDITIONAL — safety override",IF(DC424&gt;=8,"HIGH",IF(DC424&gt;=5,"CONDITIONAL","LOW")))))</x:f>
      </x:c>
      <x:c r="DF424" s="174"/>
      <x:c r="DG424" s="174"/>
      <x:c r="DH424" s="174"/>
      <x:c r="DI424" s="174"/>
      <x:c r="DJ424" s="174"/>
      <x:c r="DK424" s="174"/>
      <x:c r="DL424" s="174"/>
      <x:c r="DM424" s="174"/>
      <x:c r="DN424" s="174"/>
      <x:c r="DO424" s="174"/>
      <x:c r="DP424" s="174"/>
      <x:c r="DQ424" s="174"/>
      <x:c r="DR424" s="174"/>
      <x:c r="DS424" s="174"/>
      <x:c r="DT424" s="174"/>
      <x:c r="DU424" s="174"/>
      <x:c r="DV424" s="174"/>
      <x:c r="DW424" s="174"/>
      <x:c r="DX424" s="174"/>
      <x:c r="DY424" s="174"/>
      <x:c r="DZ424" s="174"/>
      <x:c r="EA424" s="174"/>
      <x:c r="EB424" s="175" t="str">
        <x:f>IF(L424="","",IF(AND(F424="Claim-ready",CJ424="Yes",CL424="Yes",DZ424&lt;&gt;""),"Yes","No / Pending"))</x:f>
      </x:c>
      <x:c r="EC424" s="174"/>
      <x:c r="ED424" s="174"/>
      <x:c r="EE424" s="174"/>
      <x:c r="EF424" s="174"/>
      <x:c r="EG424" s="174"/>
      <x:c r="EH424" s="177"/>
      <x:c r="EI424" s="174"/>
      <x:c r="EJ424" s="174"/>
      <x:c r="EK424" s="174"/>
      <x:c r="EL424" s="177"/>
      <x:c r="EM424" s="174"/>
      <x:c r="EN424" s="181" t="str">
        <x:f>IF(L424="","",(IF(N424&lt;&gt;"",1,0)+IF(O424&lt;&gt;"",1,0)+IF(AJ424&lt;&gt;"",1,0)+IF(AU424&lt;&gt;"",1,0)+IF(BE424&lt;&gt;"",1,0)+IF(CF424&lt;&gt;"",1,0)+IF(CJ424="Yes",1,0)+IF(CL424="Yes",1,0)+IF(DE424&lt;&gt;"Pending",1,0)+IF(F424&lt;&gt;"",1,0)+IF(DZ424&lt;&gt;"",1,0)+IF(EI424&lt;&gt;"",1,0))/12)</x:f>
      </x:c>
    </x:row>
    <x:row r="425">
      <x:c r="A425" s="175" t="str">
        <x:f>IF(L425="","","EV-"&amp;TEXT(ROW()-3,"0000"))</x:f>
      </x:c>
      <x:c r="B425" s="174"/>
      <x:c r="C425" s="175" t="str">
        <x:f>IF(L425="","",IF(OR(CM425="Retracted",CN425="Retracted",F425="Not used"),"🔴 Do not use for conclusion",IF(OR(R425="Official / Institutional",I425="Official / contextual"),"🔵 Official / contextual",IF(OR(I425="Definition",I425="Framework",I425="Paradigm shift"),"🟣 Conceptual key source",IF(AND(CJ425="Yes",CL425="Yes",OR(CG425="High",CG425="Moderate"),CH425&lt;&gt;"High",CH425&lt;&gt;"Critical",F425="Claim-ready"),"🟢 Claim-ready","🟡 Caution / context")))))</x:f>
      </x:c>
      <x:c r="D425" s="174"/>
      <x:c r="E425" s="174"/>
      <x:c r="F425" s="174"/>
      <x:c r="G425" s="174"/>
      <x:c r="H425" s="174"/>
      <x:c r="I425" s="174"/>
      <x:c r="J425" s="174"/>
      <x:c r="K425" s="174"/>
      <x:c r="L425" s="174"/>
      <x:c r="M425" s="174"/>
      <x:c r="N425" s="174"/>
      <x:c r="O425" s="176"/>
      <x:c r="P425" s="174"/>
      <x:c r="Q425" s="174"/>
      <x:c r="R425" s="174"/>
      <x:c r="S425" s="174"/>
      <x:c r="T425" s="174"/>
      <x:c r="U425" s="174"/>
      <x:c r="V425" s="174"/>
      <x:c r="W425" s="175" t="str">
        <x:f>IF(V425="","",LOWER(SUBSTITUTE(SUBSTITUTE(SUBSTITUTE(SUBSTITUTE(TRIM(V425),"https://doi.org/",""),"http://doi.org/",""),"https://dx.doi.org/",""),"doi:","")))</x:f>
      </x:c>
      <x:c r="X425" s="174"/>
      <x:c r="Y425" s="174"/>
      <x:c r="Z425" s="174"/>
      <x:c r="AA425" s="174"/>
      <x:c r="AB425" s="174"/>
      <x:c r="AC425" s="174"/>
      <x:c r="AD425" s="177"/>
      <x:c r="AE425" s="177"/>
      <x:c r="AF425" s="174"/>
      <x:c r="AG425" s="174"/>
      <x:c r="AH425" s="174"/>
      <x:c r="AI425" s="174"/>
      <x:c r="AJ425" s="174"/>
      <x:c r="AK425" s="175" t="str">
        <x:f>IF(AJ425="","",IF(OR(LOWER(AJ425)="brazil",LOWER(AJ425)="brasil"),"Yes","No"))</x:f>
      </x:c>
      <x:c r="AL425" s="174"/>
      <x:c r="AM425" s="174"/>
      <x:c r="AN425" s="174"/>
      <x:c r="AO425" s="178"/>
      <x:c r="AP425" s="174"/>
      <x:c r="AQ425" s="174"/>
      <x:c r="AR425" s="174"/>
      <x:c r="AS425" s="174"/>
      <x:c r="AT425" s="174"/>
      <x:c r="AU425" s="174"/>
      <x:c r="AV425" s="174"/>
      <x:c r="AW425" s="174"/>
      <x:c r="AX425" s="174"/>
      <x:c r="AY425" s="174"/>
      <x:c r="AZ425" s="174"/>
      <x:c r="BA425" s="174"/>
      <x:c r="BB425" s="174"/>
      <x:c r="BC425" s="174"/>
      <x:c r="BD425" s="174"/>
      <x:c r="BE425" s="174"/>
      <x:c r="BF425" s="174"/>
      <x:c r="BG425" s="174"/>
      <x:c r="BH425" s="174"/>
      <x:c r="BI425" s="174"/>
      <x:c r="BJ425" s="174"/>
      <x:c r="BK425" s="174"/>
      <x:c r="BL425" s="174"/>
      <x:c r="BM425" s="174"/>
      <x:c r="BN425" s="174"/>
      <x:c r="BO425" s="174"/>
      <x:c r="BP425" s="174"/>
      <x:c r="BQ425" s="174"/>
      <x:c r="BR425" s="174"/>
      <x:c r="BS425" s="174"/>
      <x:c r="BT425" s="174"/>
      <x:c r="BU425" s="174"/>
      <x:c r="BV425" s="174"/>
      <x:c r="BW425" s="174"/>
      <x:c r="BX425" s="174"/>
      <x:c r="BY425" s="174"/>
      <x:c r="BZ425" s="174"/>
      <x:c r="CA425" s="174"/>
      <x:c r="CB425" s="174"/>
      <x:c r="CC425" s="174"/>
      <x:c r="CD425" s="174"/>
      <x:c r="CE425" s="174"/>
      <x:c r="CF425" s="174"/>
      <x:c r="CG425" s="174"/>
      <x:c r="CH425" s="174"/>
      <x:c r="CI425" s="179"/>
      <x:c r="CJ425" s="174"/>
      <x:c r="CK425" s="174"/>
      <x:c r="CL425" s="174"/>
      <x:c r="CM425" s="174"/>
      <x:c r="CN425" s="174"/>
      <x:c r="CO425" s="177"/>
      <x:c r="CP425" s="174"/>
      <x:c r="CQ425" s="174"/>
      <x:c r="CR425" s="174"/>
      <x:c r="CS425" s="174"/>
      <x:c r="CT425" s="174"/>
      <x:c r="CU425" s="176"/>
      <x:c r="CV425" s="176"/>
      <x:c r="CW425" s="176"/>
      <x:c r="CX425" s="176"/>
      <x:c r="CY425" s="176"/>
      <x:c r="CZ425" s="176"/>
      <x:c r="DA425" s="176"/>
      <x:c r="DB425" s="175" t="str">
        <x:f>IF(L425="","",IF(COUNT(CU425:DA425)&lt;7,"",SUM(CU425:DA425)))</x:f>
      </x:c>
      <x:c r="DC425" s="180" t="str">
        <x:f>IF(DB425="","",ROUND(DB425/14*10,1))</x:f>
      </x:c>
      <x:c r="DD425" s="174"/>
      <x:c r="DE425" s="175" t="str">
        <x:f>IF(L425="","",IF(DC425="","Pending",IF(DD425="Yes","CONDITIONAL — safety override",IF(DC425&gt;=8,"HIGH",IF(DC425&gt;=5,"CONDITIONAL","LOW")))))</x:f>
      </x:c>
      <x:c r="DF425" s="174"/>
      <x:c r="DG425" s="174"/>
      <x:c r="DH425" s="174"/>
      <x:c r="DI425" s="174"/>
      <x:c r="DJ425" s="174"/>
      <x:c r="DK425" s="174"/>
      <x:c r="DL425" s="174"/>
      <x:c r="DM425" s="174"/>
      <x:c r="DN425" s="174"/>
      <x:c r="DO425" s="174"/>
      <x:c r="DP425" s="174"/>
      <x:c r="DQ425" s="174"/>
      <x:c r="DR425" s="174"/>
      <x:c r="DS425" s="174"/>
      <x:c r="DT425" s="174"/>
      <x:c r="DU425" s="174"/>
      <x:c r="DV425" s="174"/>
      <x:c r="DW425" s="174"/>
      <x:c r="DX425" s="174"/>
      <x:c r="DY425" s="174"/>
      <x:c r="DZ425" s="174"/>
      <x:c r="EA425" s="174"/>
      <x:c r="EB425" s="175" t="str">
        <x:f>IF(L425="","",IF(AND(F425="Claim-ready",CJ425="Yes",CL425="Yes",DZ425&lt;&gt;""),"Yes","No / Pending"))</x:f>
      </x:c>
      <x:c r="EC425" s="174"/>
      <x:c r="ED425" s="174"/>
      <x:c r="EE425" s="174"/>
      <x:c r="EF425" s="174"/>
      <x:c r="EG425" s="174"/>
      <x:c r="EH425" s="177"/>
      <x:c r="EI425" s="174"/>
      <x:c r="EJ425" s="174"/>
      <x:c r="EK425" s="174"/>
      <x:c r="EL425" s="177"/>
      <x:c r="EM425" s="174"/>
      <x:c r="EN425" s="181" t="str">
        <x:f>IF(L425="","",(IF(N425&lt;&gt;"",1,0)+IF(O425&lt;&gt;"",1,0)+IF(AJ425&lt;&gt;"",1,0)+IF(AU425&lt;&gt;"",1,0)+IF(BE425&lt;&gt;"",1,0)+IF(CF425&lt;&gt;"",1,0)+IF(CJ425="Yes",1,0)+IF(CL425="Yes",1,0)+IF(DE425&lt;&gt;"Pending",1,0)+IF(F425&lt;&gt;"",1,0)+IF(DZ425&lt;&gt;"",1,0)+IF(EI425&lt;&gt;"",1,0))/12)</x:f>
      </x:c>
    </x:row>
    <x:row r="426">
      <x:c r="A426" s="175" t="str">
        <x:f>IF(L426="","","EV-"&amp;TEXT(ROW()-3,"0000"))</x:f>
      </x:c>
      <x:c r="B426" s="174"/>
      <x:c r="C426" s="175" t="str">
        <x:f>IF(L426="","",IF(OR(CM426="Retracted",CN426="Retracted",F426="Not used"),"🔴 Do not use for conclusion",IF(OR(R426="Official / Institutional",I426="Official / contextual"),"🔵 Official / contextual",IF(OR(I426="Definition",I426="Framework",I426="Paradigm shift"),"🟣 Conceptual key source",IF(AND(CJ426="Yes",CL426="Yes",OR(CG426="High",CG426="Moderate"),CH426&lt;&gt;"High",CH426&lt;&gt;"Critical",F426="Claim-ready"),"🟢 Claim-ready","🟡 Caution / context")))))</x:f>
      </x:c>
      <x:c r="D426" s="174"/>
      <x:c r="E426" s="174"/>
      <x:c r="F426" s="174"/>
      <x:c r="G426" s="174"/>
      <x:c r="H426" s="174"/>
      <x:c r="I426" s="174"/>
      <x:c r="J426" s="174"/>
      <x:c r="K426" s="174"/>
      <x:c r="L426" s="174"/>
      <x:c r="M426" s="174"/>
      <x:c r="N426" s="174"/>
      <x:c r="O426" s="176"/>
      <x:c r="P426" s="174"/>
      <x:c r="Q426" s="174"/>
      <x:c r="R426" s="174"/>
      <x:c r="S426" s="174"/>
      <x:c r="T426" s="174"/>
      <x:c r="U426" s="174"/>
      <x:c r="V426" s="174"/>
      <x:c r="W426" s="175" t="str">
        <x:f>IF(V426="","",LOWER(SUBSTITUTE(SUBSTITUTE(SUBSTITUTE(SUBSTITUTE(TRIM(V426),"https://doi.org/",""),"http://doi.org/",""),"https://dx.doi.org/",""),"doi:","")))</x:f>
      </x:c>
      <x:c r="X426" s="174"/>
      <x:c r="Y426" s="174"/>
      <x:c r="Z426" s="174"/>
      <x:c r="AA426" s="174"/>
      <x:c r="AB426" s="174"/>
      <x:c r="AC426" s="174"/>
      <x:c r="AD426" s="177"/>
      <x:c r="AE426" s="177"/>
      <x:c r="AF426" s="174"/>
      <x:c r="AG426" s="174"/>
      <x:c r="AH426" s="174"/>
      <x:c r="AI426" s="174"/>
      <x:c r="AJ426" s="174"/>
      <x:c r="AK426" s="175" t="str">
        <x:f>IF(AJ426="","",IF(OR(LOWER(AJ426)="brazil",LOWER(AJ426)="brasil"),"Yes","No"))</x:f>
      </x:c>
      <x:c r="AL426" s="174"/>
      <x:c r="AM426" s="174"/>
      <x:c r="AN426" s="174"/>
      <x:c r="AO426" s="178"/>
      <x:c r="AP426" s="174"/>
      <x:c r="AQ426" s="174"/>
      <x:c r="AR426" s="174"/>
      <x:c r="AS426" s="174"/>
      <x:c r="AT426" s="174"/>
      <x:c r="AU426" s="174"/>
      <x:c r="AV426" s="174"/>
      <x:c r="AW426" s="174"/>
      <x:c r="AX426" s="174"/>
      <x:c r="AY426" s="174"/>
      <x:c r="AZ426" s="174"/>
      <x:c r="BA426" s="174"/>
      <x:c r="BB426" s="174"/>
      <x:c r="BC426" s="174"/>
      <x:c r="BD426" s="174"/>
      <x:c r="BE426" s="174"/>
      <x:c r="BF426" s="174"/>
      <x:c r="BG426" s="174"/>
      <x:c r="BH426" s="174"/>
      <x:c r="BI426" s="174"/>
      <x:c r="BJ426" s="174"/>
      <x:c r="BK426" s="174"/>
      <x:c r="BL426" s="174"/>
      <x:c r="BM426" s="174"/>
      <x:c r="BN426" s="174"/>
      <x:c r="BO426" s="174"/>
      <x:c r="BP426" s="174"/>
      <x:c r="BQ426" s="174"/>
      <x:c r="BR426" s="174"/>
      <x:c r="BS426" s="174"/>
      <x:c r="BT426" s="174"/>
      <x:c r="BU426" s="174"/>
      <x:c r="BV426" s="174"/>
      <x:c r="BW426" s="174"/>
      <x:c r="BX426" s="174"/>
      <x:c r="BY426" s="174"/>
      <x:c r="BZ426" s="174"/>
      <x:c r="CA426" s="174"/>
      <x:c r="CB426" s="174"/>
      <x:c r="CC426" s="174"/>
      <x:c r="CD426" s="174"/>
      <x:c r="CE426" s="174"/>
      <x:c r="CF426" s="174"/>
      <x:c r="CG426" s="174"/>
      <x:c r="CH426" s="174"/>
      <x:c r="CI426" s="179"/>
      <x:c r="CJ426" s="174"/>
      <x:c r="CK426" s="174"/>
      <x:c r="CL426" s="174"/>
      <x:c r="CM426" s="174"/>
      <x:c r="CN426" s="174"/>
      <x:c r="CO426" s="177"/>
      <x:c r="CP426" s="174"/>
      <x:c r="CQ426" s="174"/>
      <x:c r="CR426" s="174"/>
      <x:c r="CS426" s="174"/>
      <x:c r="CT426" s="174"/>
      <x:c r="CU426" s="176"/>
      <x:c r="CV426" s="176"/>
      <x:c r="CW426" s="176"/>
      <x:c r="CX426" s="176"/>
      <x:c r="CY426" s="176"/>
      <x:c r="CZ426" s="176"/>
      <x:c r="DA426" s="176"/>
      <x:c r="DB426" s="175" t="str">
        <x:f>IF(L426="","",IF(COUNT(CU426:DA426)&lt;7,"",SUM(CU426:DA426)))</x:f>
      </x:c>
      <x:c r="DC426" s="180" t="str">
        <x:f>IF(DB426="","",ROUND(DB426/14*10,1))</x:f>
      </x:c>
      <x:c r="DD426" s="174"/>
      <x:c r="DE426" s="175" t="str">
        <x:f>IF(L426="","",IF(DC426="","Pending",IF(DD426="Yes","CONDITIONAL — safety override",IF(DC426&gt;=8,"HIGH",IF(DC426&gt;=5,"CONDITIONAL","LOW")))))</x:f>
      </x:c>
      <x:c r="DF426" s="174"/>
      <x:c r="DG426" s="174"/>
      <x:c r="DH426" s="174"/>
      <x:c r="DI426" s="174"/>
      <x:c r="DJ426" s="174"/>
      <x:c r="DK426" s="174"/>
      <x:c r="DL426" s="174"/>
      <x:c r="DM426" s="174"/>
      <x:c r="DN426" s="174"/>
      <x:c r="DO426" s="174"/>
      <x:c r="DP426" s="174"/>
      <x:c r="DQ426" s="174"/>
      <x:c r="DR426" s="174"/>
      <x:c r="DS426" s="174"/>
      <x:c r="DT426" s="174"/>
      <x:c r="DU426" s="174"/>
      <x:c r="DV426" s="174"/>
      <x:c r="DW426" s="174"/>
      <x:c r="DX426" s="174"/>
      <x:c r="DY426" s="174"/>
      <x:c r="DZ426" s="174"/>
      <x:c r="EA426" s="174"/>
      <x:c r="EB426" s="175" t="str">
        <x:f>IF(L426="","",IF(AND(F426="Claim-ready",CJ426="Yes",CL426="Yes",DZ426&lt;&gt;""),"Yes","No / Pending"))</x:f>
      </x:c>
      <x:c r="EC426" s="174"/>
      <x:c r="ED426" s="174"/>
      <x:c r="EE426" s="174"/>
      <x:c r="EF426" s="174"/>
      <x:c r="EG426" s="174"/>
      <x:c r="EH426" s="177"/>
      <x:c r="EI426" s="174"/>
      <x:c r="EJ426" s="174"/>
      <x:c r="EK426" s="174"/>
      <x:c r="EL426" s="177"/>
      <x:c r="EM426" s="174"/>
      <x:c r="EN426" s="181" t="str">
        <x:f>IF(L426="","",(IF(N426&lt;&gt;"",1,0)+IF(O426&lt;&gt;"",1,0)+IF(AJ426&lt;&gt;"",1,0)+IF(AU426&lt;&gt;"",1,0)+IF(BE426&lt;&gt;"",1,0)+IF(CF426&lt;&gt;"",1,0)+IF(CJ426="Yes",1,0)+IF(CL426="Yes",1,0)+IF(DE426&lt;&gt;"Pending",1,0)+IF(F426&lt;&gt;"",1,0)+IF(DZ426&lt;&gt;"",1,0)+IF(EI426&lt;&gt;"",1,0))/12)</x:f>
      </x:c>
    </x:row>
    <x:row r="427">
      <x:c r="A427" s="175" t="str">
        <x:f>IF(L427="","","EV-"&amp;TEXT(ROW()-3,"0000"))</x:f>
      </x:c>
      <x:c r="B427" s="174"/>
      <x:c r="C427" s="175" t="str">
        <x:f>IF(L427="","",IF(OR(CM427="Retracted",CN427="Retracted",F427="Not used"),"🔴 Do not use for conclusion",IF(OR(R427="Official / Institutional",I427="Official / contextual"),"🔵 Official / contextual",IF(OR(I427="Definition",I427="Framework",I427="Paradigm shift"),"🟣 Conceptual key source",IF(AND(CJ427="Yes",CL427="Yes",OR(CG427="High",CG427="Moderate"),CH427&lt;&gt;"High",CH427&lt;&gt;"Critical",F427="Claim-ready"),"🟢 Claim-ready","🟡 Caution / context")))))</x:f>
      </x:c>
      <x:c r="D427" s="174"/>
      <x:c r="E427" s="174"/>
      <x:c r="F427" s="174"/>
      <x:c r="G427" s="174"/>
      <x:c r="H427" s="174"/>
      <x:c r="I427" s="174"/>
      <x:c r="J427" s="174"/>
      <x:c r="K427" s="174"/>
      <x:c r="L427" s="174"/>
      <x:c r="M427" s="174"/>
      <x:c r="N427" s="174"/>
      <x:c r="O427" s="176"/>
      <x:c r="P427" s="174"/>
      <x:c r="Q427" s="174"/>
      <x:c r="R427" s="174"/>
      <x:c r="S427" s="174"/>
      <x:c r="T427" s="174"/>
      <x:c r="U427" s="174"/>
      <x:c r="V427" s="174"/>
      <x:c r="W427" s="175" t="str">
        <x:f>IF(V427="","",LOWER(SUBSTITUTE(SUBSTITUTE(SUBSTITUTE(SUBSTITUTE(TRIM(V427),"https://doi.org/",""),"http://doi.org/",""),"https://dx.doi.org/",""),"doi:","")))</x:f>
      </x:c>
      <x:c r="X427" s="174"/>
      <x:c r="Y427" s="174"/>
      <x:c r="Z427" s="174"/>
      <x:c r="AA427" s="174"/>
      <x:c r="AB427" s="174"/>
      <x:c r="AC427" s="174"/>
      <x:c r="AD427" s="177"/>
      <x:c r="AE427" s="177"/>
      <x:c r="AF427" s="174"/>
      <x:c r="AG427" s="174"/>
      <x:c r="AH427" s="174"/>
      <x:c r="AI427" s="174"/>
      <x:c r="AJ427" s="174"/>
      <x:c r="AK427" s="175" t="str">
        <x:f>IF(AJ427="","",IF(OR(LOWER(AJ427)="brazil",LOWER(AJ427)="brasil"),"Yes","No"))</x:f>
      </x:c>
      <x:c r="AL427" s="174"/>
      <x:c r="AM427" s="174"/>
      <x:c r="AN427" s="174"/>
      <x:c r="AO427" s="178"/>
      <x:c r="AP427" s="174"/>
      <x:c r="AQ427" s="174"/>
      <x:c r="AR427" s="174"/>
      <x:c r="AS427" s="174"/>
      <x:c r="AT427" s="174"/>
      <x:c r="AU427" s="174"/>
      <x:c r="AV427" s="174"/>
      <x:c r="AW427" s="174"/>
      <x:c r="AX427" s="174"/>
      <x:c r="AY427" s="174"/>
      <x:c r="AZ427" s="174"/>
      <x:c r="BA427" s="174"/>
      <x:c r="BB427" s="174"/>
      <x:c r="BC427" s="174"/>
      <x:c r="BD427" s="174"/>
      <x:c r="BE427" s="174"/>
      <x:c r="BF427" s="174"/>
      <x:c r="BG427" s="174"/>
      <x:c r="BH427" s="174"/>
      <x:c r="BI427" s="174"/>
      <x:c r="BJ427" s="174"/>
      <x:c r="BK427" s="174"/>
      <x:c r="BL427" s="174"/>
      <x:c r="BM427" s="174"/>
      <x:c r="BN427" s="174"/>
      <x:c r="BO427" s="174"/>
      <x:c r="BP427" s="174"/>
      <x:c r="BQ427" s="174"/>
      <x:c r="BR427" s="174"/>
      <x:c r="BS427" s="174"/>
      <x:c r="BT427" s="174"/>
      <x:c r="BU427" s="174"/>
      <x:c r="BV427" s="174"/>
      <x:c r="BW427" s="174"/>
      <x:c r="BX427" s="174"/>
      <x:c r="BY427" s="174"/>
      <x:c r="BZ427" s="174"/>
      <x:c r="CA427" s="174"/>
      <x:c r="CB427" s="174"/>
      <x:c r="CC427" s="174"/>
      <x:c r="CD427" s="174"/>
      <x:c r="CE427" s="174"/>
      <x:c r="CF427" s="174"/>
      <x:c r="CG427" s="174"/>
      <x:c r="CH427" s="174"/>
      <x:c r="CI427" s="179"/>
      <x:c r="CJ427" s="174"/>
      <x:c r="CK427" s="174"/>
      <x:c r="CL427" s="174"/>
      <x:c r="CM427" s="174"/>
      <x:c r="CN427" s="174"/>
      <x:c r="CO427" s="177"/>
      <x:c r="CP427" s="174"/>
      <x:c r="CQ427" s="174"/>
      <x:c r="CR427" s="174"/>
      <x:c r="CS427" s="174"/>
      <x:c r="CT427" s="174"/>
      <x:c r="CU427" s="176"/>
      <x:c r="CV427" s="176"/>
      <x:c r="CW427" s="176"/>
      <x:c r="CX427" s="176"/>
      <x:c r="CY427" s="176"/>
      <x:c r="CZ427" s="176"/>
      <x:c r="DA427" s="176"/>
      <x:c r="DB427" s="175" t="str">
        <x:f>IF(L427="","",IF(COUNT(CU427:DA427)&lt;7,"",SUM(CU427:DA427)))</x:f>
      </x:c>
      <x:c r="DC427" s="180" t="str">
        <x:f>IF(DB427="","",ROUND(DB427/14*10,1))</x:f>
      </x:c>
      <x:c r="DD427" s="174"/>
      <x:c r="DE427" s="175" t="str">
        <x:f>IF(L427="","",IF(DC427="","Pending",IF(DD427="Yes","CONDITIONAL — safety override",IF(DC427&gt;=8,"HIGH",IF(DC427&gt;=5,"CONDITIONAL","LOW")))))</x:f>
      </x:c>
      <x:c r="DF427" s="174"/>
      <x:c r="DG427" s="174"/>
      <x:c r="DH427" s="174"/>
      <x:c r="DI427" s="174"/>
      <x:c r="DJ427" s="174"/>
      <x:c r="DK427" s="174"/>
      <x:c r="DL427" s="174"/>
      <x:c r="DM427" s="174"/>
      <x:c r="DN427" s="174"/>
      <x:c r="DO427" s="174"/>
      <x:c r="DP427" s="174"/>
      <x:c r="DQ427" s="174"/>
      <x:c r="DR427" s="174"/>
      <x:c r="DS427" s="174"/>
      <x:c r="DT427" s="174"/>
      <x:c r="DU427" s="174"/>
      <x:c r="DV427" s="174"/>
      <x:c r="DW427" s="174"/>
      <x:c r="DX427" s="174"/>
      <x:c r="DY427" s="174"/>
      <x:c r="DZ427" s="174"/>
      <x:c r="EA427" s="174"/>
      <x:c r="EB427" s="175" t="str">
        <x:f>IF(L427="","",IF(AND(F427="Claim-ready",CJ427="Yes",CL427="Yes",DZ427&lt;&gt;""),"Yes","No / Pending"))</x:f>
      </x:c>
      <x:c r="EC427" s="174"/>
      <x:c r="ED427" s="174"/>
      <x:c r="EE427" s="174"/>
      <x:c r="EF427" s="174"/>
      <x:c r="EG427" s="174"/>
      <x:c r="EH427" s="177"/>
      <x:c r="EI427" s="174"/>
      <x:c r="EJ427" s="174"/>
      <x:c r="EK427" s="174"/>
      <x:c r="EL427" s="177"/>
      <x:c r="EM427" s="174"/>
      <x:c r="EN427" s="181" t="str">
        <x:f>IF(L427="","",(IF(N427&lt;&gt;"",1,0)+IF(O427&lt;&gt;"",1,0)+IF(AJ427&lt;&gt;"",1,0)+IF(AU427&lt;&gt;"",1,0)+IF(BE427&lt;&gt;"",1,0)+IF(CF427&lt;&gt;"",1,0)+IF(CJ427="Yes",1,0)+IF(CL427="Yes",1,0)+IF(DE427&lt;&gt;"Pending",1,0)+IF(F427&lt;&gt;"",1,0)+IF(DZ427&lt;&gt;"",1,0)+IF(EI427&lt;&gt;"",1,0))/12)</x:f>
      </x:c>
    </x:row>
    <x:row r="428">
      <x:c r="A428" s="175" t="str">
        <x:f>IF(L428="","","EV-"&amp;TEXT(ROW()-3,"0000"))</x:f>
      </x:c>
      <x:c r="B428" s="174"/>
      <x:c r="C428" s="175" t="str">
        <x:f>IF(L428="","",IF(OR(CM428="Retracted",CN428="Retracted",F428="Not used"),"🔴 Do not use for conclusion",IF(OR(R428="Official / Institutional",I428="Official / contextual"),"🔵 Official / contextual",IF(OR(I428="Definition",I428="Framework",I428="Paradigm shift"),"🟣 Conceptual key source",IF(AND(CJ428="Yes",CL428="Yes",OR(CG428="High",CG428="Moderate"),CH428&lt;&gt;"High",CH428&lt;&gt;"Critical",F428="Claim-ready"),"🟢 Claim-ready","🟡 Caution / context")))))</x:f>
      </x:c>
      <x:c r="D428" s="174"/>
      <x:c r="E428" s="174"/>
      <x:c r="F428" s="174"/>
      <x:c r="G428" s="174"/>
      <x:c r="H428" s="174"/>
      <x:c r="I428" s="174"/>
      <x:c r="J428" s="174"/>
      <x:c r="K428" s="174"/>
      <x:c r="L428" s="174"/>
      <x:c r="M428" s="174"/>
      <x:c r="N428" s="174"/>
      <x:c r="O428" s="176"/>
      <x:c r="P428" s="174"/>
      <x:c r="Q428" s="174"/>
      <x:c r="R428" s="174"/>
      <x:c r="S428" s="174"/>
      <x:c r="T428" s="174"/>
      <x:c r="U428" s="174"/>
      <x:c r="V428" s="174"/>
      <x:c r="W428" s="175" t="str">
        <x:f>IF(V428="","",LOWER(SUBSTITUTE(SUBSTITUTE(SUBSTITUTE(SUBSTITUTE(TRIM(V428),"https://doi.org/",""),"http://doi.org/",""),"https://dx.doi.org/",""),"doi:","")))</x:f>
      </x:c>
      <x:c r="X428" s="174"/>
      <x:c r="Y428" s="174"/>
      <x:c r="Z428" s="174"/>
      <x:c r="AA428" s="174"/>
      <x:c r="AB428" s="174"/>
      <x:c r="AC428" s="174"/>
      <x:c r="AD428" s="177"/>
      <x:c r="AE428" s="177"/>
      <x:c r="AF428" s="174"/>
      <x:c r="AG428" s="174"/>
      <x:c r="AH428" s="174"/>
      <x:c r="AI428" s="174"/>
      <x:c r="AJ428" s="174"/>
      <x:c r="AK428" s="175" t="str">
        <x:f>IF(AJ428="","",IF(OR(LOWER(AJ428)="brazil",LOWER(AJ428)="brasil"),"Yes","No"))</x:f>
      </x:c>
      <x:c r="AL428" s="174"/>
      <x:c r="AM428" s="174"/>
      <x:c r="AN428" s="174"/>
      <x:c r="AO428" s="178"/>
      <x:c r="AP428" s="174"/>
      <x:c r="AQ428" s="174"/>
      <x:c r="AR428" s="174"/>
      <x:c r="AS428" s="174"/>
      <x:c r="AT428" s="174"/>
      <x:c r="AU428" s="174"/>
      <x:c r="AV428" s="174"/>
      <x:c r="AW428" s="174"/>
      <x:c r="AX428" s="174"/>
      <x:c r="AY428" s="174"/>
      <x:c r="AZ428" s="174"/>
      <x:c r="BA428" s="174"/>
      <x:c r="BB428" s="174"/>
      <x:c r="BC428" s="174"/>
      <x:c r="BD428" s="174"/>
      <x:c r="BE428" s="174"/>
      <x:c r="BF428" s="174"/>
      <x:c r="BG428" s="174"/>
      <x:c r="BH428" s="174"/>
      <x:c r="BI428" s="174"/>
      <x:c r="BJ428" s="174"/>
      <x:c r="BK428" s="174"/>
      <x:c r="BL428" s="174"/>
      <x:c r="BM428" s="174"/>
      <x:c r="BN428" s="174"/>
      <x:c r="BO428" s="174"/>
      <x:c r="BP428" s="174"/>
      <x:c r="BQ428" s="174"/>
      <x:c r="BR428" s="174"/>
      <x:c r="BS428" s="174"/>
      <x:c r="BT428" s="174"/>
      <x:c r="BU428" s="174"/>
      <x:c r="BV428" s="174"/>
      <x:c r="BW428" s="174"/>
      <x:c r="BX428" s="174"/>
      <x:c r="BY428" s="174"/>
      <x:c r="BZ428" s="174"/>
      <x:c r="CA428" s="174"/>
      <x:c r="CB428" s="174"/>
      <x:c r="CC428" s="174"/>
      <x:c r="CD428" s="174"/>
      <x:c r="CE428" s="174"/>
      <x:c r="CF428" s="174"/>
      <x:c r="CG428" s="174"/>
      <x:c r="CH428" s="174"/>
      <x:c r="CI428" s="179"/>
      <x:c r="CJ428" s="174"/>
      <x:c r="CK428" s="174"/>
      <x:c r="CL428" s="174"/>
      <x:c r="CM428" s="174"/>
      <x:c r="CN428" s="174"/>
      <x:c r="CO428" s="177"/>
      <x:c r="CP428" s="174"/>
      <x:c r="CQ428" s="174"/>
      <x:c r="CR428" s="174"/>
      <x:c r="CS428" s="174"/>
      <x:c r="CT428" s="174"/>
      <x:c r="CU428" s="176"/>
      <x:c r="CV428" s="176"/>
      <x:c r="CW428" s="176"/>
      <x:c r="CX428" s="176"/>
      <x:c r="CY428" s="176"/>
      <x:c r="CZ428" s="176"/>
      <x:c r="DA428" s="176"/>
      <x:c r="DB428" s="175" t="str">
        <x:f>IF(L428="","",IF(COUNT(CU428:DA428)&lt;7,"",SUM(CU428:DA428)))</x:f>
      </x:c>
      <x:c r="DC428" s="180" t="str">
        <x:f>IF(DB428="","",ROUND(DB428/14*10,1))</x:f>
      </x:c>
      <x:c r="DD428" s="174"/>
      <x:c r="DE428" s="175" t="str">
        <x:f>IF(L428="","",IF(DC428="","Pending",IF(DD428="Yes","CONDITIONAL — safety override",IF(DC428&gt;=8,"HIGH",IF(DC428&gt;=5,"CONDITIONAL","LOW")))))</x:f>
      </x:c>
      <x:c r="DF428" s="174"/>
      <x:c r="DG428" s="174"/>
      <x:c r="DH428" s="174"/>
      <x:c r="DI428" s="174"/>
      <x:c r="DJ428" s="174"/>
      <x:c r="DK428" s="174"/>
      <x:c r="DL428" s="174"/>
      <x:c r="DM428" s="174"/>
      <x:c r="DN428" s="174"/>
      <x:c r="DO428" s="174"/>
      <x:c r="DP428" s="174"/>
      <x:c r="DQ428" s="174"/>
      <x:c r="DR428" s="174"/>
      <x:c r="DS428" s="174"/>
      <x:c r="DT428" s="174"/>
      <x:c r="DU428" s="174"/>
      <x:c r="DV428" s="174"/>
      <x:c r="DW428" s="174"/>
      <x:c r="DX428" s="174"/>
      <x:c r="DY428" s="174"/>
      <x:c r="DZ428" s="174"/>
      <x:c r="EA428" s="174"/>
      <x:c r="EB428" s="175" t="str">
        <x:f>IF(L428="","",IF(AND(F428="Claim-ready",CJ428="Yes",CL428="Yes",DZ428&lt;&gt;""),"Yes","No / Pending"))</x:f>
      </x:c>
      <x:c r="EC428" s="174"/>
      <x:c r="ED428" s="174"/>
      <x:c r="EE428" s="174"/>
      <x:c r="EF428" s="174"/>
      <x:c r="EG428" s="174"/>
      <x:c r="EH428" s="177"/>
      <x:c r="EI428" s="174"/>
      <x:c r="EJ428" s="174"/>
      <x:c r="EK428" s="174"/>
      <x:c r="EL428" s="177"/>
      <x:c r="EM428" s="174"/>
      <x:c r="EN428" s="181" t="str">
        <x:f>IF(L428="","",(IF(N428&lt;&gt;"",1,0)+IF(O428&lt;&gt;"",1,0)+IF(AJ428&lt;&gt;"",1,0)+IF(AU428&lt;&gt;"",1,0)+IF(BE428&lt;&gt;"",1,0)+IF(CF428&lt;&gt;"",1,0)+IF(CJ428="Yes",1,0)+IF(CL428="Yes",1,0)+IF(DE428&lt;&gt;"Pending",1,0)+IF(F428&lt;&gt;"",1,0)+IF(DZ428&lt;&gt;"",1,0)+IF(EI428&lt;&gt;"",1,0))/12)</x:f>
      </x:c>
    </x:row>
    <x:row r="429">
      <x:c r="A429" s="175" t="str">
        <x:f>IF(L429="","","EV-"&amp;TEXT(ROW()-3,"0000"))</x:f>
      </x:c>
      <x:c r="B429" s="174"/>
      <x:c r="C429" s="175" t="str">
        <x:f>IF(L429="","",IF(OR(CM429="Retracted",CN429="Retracted",F429="Not used"),"🔴 Do not use for conclusion",IF(OR(R429="Official / Institutional",I429="Official / contextual"),"🔵 Official / contextual",IF(OR(I429="Definition",I429="Framework",I429="Paradigm shift"),"🟣 Conceptual key source",IF(AND(CJ429="Yes",CL429="Yes",OR(CG429="High",CG429="Moderate"),CH429&lt;&gt;"High",CH429&lt;&gt;"Critical",F429="Claim-ready"),"🟢 Claim-ready","🟡 Caution / context")))))</x:f>
      </x:c>
      <x:c r="D429" s="174"/>
      <x:c r="E429" s="174"/>
      <x:c r="F429" s="174"/>
      <x:c r="G429" s="174"/>
      <x:c r="H429" s="174"/>
      <x:c r="I429" s="174"/>
      <x:c r="J429" s="174"/>
      <x:c r="K429" s="174"/>
      <x:c r="L429" s="174"/>
      <x:c r="M429" s="174"/>
      <x:c r="N429" s="174"/>
      <x:c r="O429" s="176"/>
      <x:c r="P429" s="174"/>
      <x:c r="Q429" s="174"/>
      <x:c r="R429" s="174"/>
      <x:c r="S429" s="174"/>
      <x:c r="T429" s="174"/>
      <x:c r="U429" s="174"/>
      <x:c r="V429" s="174"/>
      <x:c r="W429" s="175" t="str">
        <x:f>IF(V429="","",LOWER(SUBSTITUTE(SUBSTITUTE(SUBSTITUTE(SUBSTITUTE(TRIM(V429),"https://doi.org/",""),"http://doi.org/",""),"https://dx.doi.org/",""),"doi:","")))</x:f>
      </x:c>
      <x:c r="X429" s="174"/>
      <x:c r="Y429" s="174"/>
      <x:c r="Z429" s="174"/>
      <x:c r="AA429" s="174"/>
      <x:c r="AB429" s="174"/>
      <x:c r="AC429" s="174"/>
      <x:c r="AD429" s="177"/>
      <x:c r="AE429" s="177"/>
      <x:c r="AF429" s="174"/>
      <x:c r="AG429" s="174"/>
      <x:c r="AH429" s="174"/>
      <x:c r="AI429" s="174"/>
      <x:c r="AJ429" s="174"/>
      <x:c r="AK429" s="175" t="str">
        <x:f>IF(AJ429="","",IF(OR(LOWER(AJ429)="brazil",LOWER(AJ429)="brasil"),"Yes","No"))</x:f>
      </x:c>
      <x:c r="AL429" s="174"/>
      <x:c r="AM429" s="174"/>
      <x:c r="AN429" s="174"/>
      <x:c r="AO429" s="178"/>
      <x:c r="AP429" s="174"/>
      <x:c r="AQ429" s="174"/>
      <x:c r="AR429" s="174"/>
      <x:c r="AS429" s="174"/>
      <x:c r="AT429" s="174"/>
      <x:c r="AU429" s="174"/>
      <x:c r="AV429" s="174"/>
      <x:c r="AW429" s="174"/>
      <x:c r="AX429" s="174"/>
      <x:c r="AY429" s="174"/>
      <x:c r="AZ429" s="174"/>
      <x:c r="BA429" s="174"/>
      <x:c r="BB429" s="174"/>
      <x:c r="BC429" s="174"/>
      <x:c r="BD429" s="174"/>
      <x:c r="BE429" s="174"/>
      <x:c r="BF429" s="174"/>
      <x:c r="BG429" s="174"/>
      <x:c r="BH429" s="174"/>
      <x:c r="BI429" s="174"/>
      <x:c r="BJ429" s="174"/>
      <x:c r="BK429" s="174"/>
      <x:c r="BL429" s="174"/>
      <x:c r="BM429" s="174"/>
      <x:c r="BN429" s="174"/>
      <x:c r="BO429" s="174"/>
      <x:c r="BP429" s="174"/>
      <x:c r="BQ429" s="174"/>
      <x:c r="BR429" s="174"/>
      <x:c r="BS429" s="174"/>
      <x:c r="BT429" s="174"/>
      <x:c r="BU429" s="174"/>
      <x:c r="BV429" s="174"/>
      <x:c r="BW429" s="174"/>
      <x:c r="BX429" s="174"/>
      <x:c r="BY429" s="174"/>
      <x:c r="BZ429" s="174"/>
      <x:c r="CA429" s="174"/>
      <x:c r="CB429" s="174"/>
      <x:c r="CC429" s="174"/>
      <x:c r="CD429" s="174"/>
      <x:c r="CE429" s="174"/>
      <x:c r="CF429" s="174"/>
      <x:c r="CG429" s="174"/>
      <x:c r="CH429" s="174"/>
      <x:c r="CI429" s="179"/>
      <x:c r="CJ429" s="174"/>
      <x:c r="CK429" s="174"/>
      <x:c r="CL429" s="174"/>
      <x:c r="CM429" s="174"/>
      <x:c r="CN429" s="174"/>
      <x:c r="CO429" s="177"/>
      <x:c r="CP429" s="174"/>
      <x:c r="CQ429" s="174"/>
      <x:c r="CR429" s="174"/>
      <x:c r="CS429" s="174"/>
      <x:c r="CT429" s="174"/>
      <x:c r="CU429" s="176"/>
      <x:c r="CV429" s="176"/>
      <x:c r="CW429" s="176"/>
      <x:c r="CX429" s="176"/>
      <x:c r="CY429" s="176"/>
      <x:c r="CZ429" s="176"/>
      <x:c r="DA429" s="176"/>
      <x:c r="DB429" s="175" t="str">
        <x:f>IF(L429="","",IF(COUNT(CU429:DA429)&lt;7,"",SUM(CU429:DA429)))</x:f>
      </x:c>
      <x:c r="DC429" s="180" t="str">
        <x:f>IF(DB429="","",ROUND(DB429/14*10,1))</x:f>
      </x:c>
      <x:c r="DD429" s="174"/>
      <x:c r="DE429" s="175" t="str">
        <x:f>IF(L429="","",IF(DC429="","Pending",IF(DD429="Yes","CONDITIONAL — safety override",IF(DC429&gt;=8,"HIGH",IF(DC429&gt;=5,"CONDITIONAL","LOW")))))</x:f>
      </x:c>
      <x:c r="DF429" s="174"/>
      <x:c r="DG429" s="174"/>
      <x:c r="DH429" s="174"/>
      <x:c r="DI429" s="174"/>
      <x:c r="DJ429" s="174"/>
      <x:c r="DK429" s="174"/>
      <x:c r="DL429" s="174"/>
      <x:c r="DM429" s="174"/>
      <x:c r="DN429" s="174"/>
      <x:c r="DO429" s="174"/>
      <x:c r="DP429" s="174"/>
      <x:c r="DQ429" s="174"/>
      <x:c r="DR429" s="174"/>
      <x:c r="DS429" s="174"/>
      <x:c r="DT429" s="174"/>
      <x:c r="DU429" s="174"/>
      <x:c r="DV429" s="174"/>
      <x:c r="DW429" s="174"/>
      <x:c r="DX429" s="174"/>
      <x:c r="DY429" s="174"/>
      <x:c r="DZ429" s="174"/>
      <x:c r="EA429" s="174"/>
      <x:c r="EB429" s="175" t="str">
        <x:f>IF(L429="","",IF(AND(F429="Claim-ready",CJ429="Yes",CL429="Yes",DZ429&lt;&gt;""),"Yes","No / Pending"))</x:f>
      </x:c>
      <x:c r="EC429" s="174"/>
      <x:c r="ED429" s="174"/>
      <x:c r="EE429" s="174"/>
      <x:c r="EF429" s="174"/>
      <x:c r="EG429" s="174"/>
      <x:c r="EH429" s="177"/>
      <x:c r="EI429" s="174"/>
      <x:c r="EJ429" s="174"/>
      <x:c r="EK429" s="174"/>
      <x:c r="EL429" s="177"/>
      <x:c r="EM429" s="174"/>
      <x:c r="EN429" s="181" t="str">
        <x:f>IF(L429="","",(IF(N429&lt;&gt;"",1,0)+IF(O429&lt;&gt;"",1,0)+IF(AJ429&lt;&gt;"",1,0)+IF(AU429&lt;&gt;"",1,0)+IF(BE429&lt;&gt;"",1,0)+IF(CF429&lt;&gt;"",1,0)+IF(CJ429="Yes",1,0)+IF(CL429="Yes",1,0)+IF(DE429&lt;&gt;"Pending",1,0)+IF(F429&lt;&gt;"",1,0)+IF(DZ429&lt;&gt;"",1,0)+IF(EI429&lt;&gt;"",1,0))/12)</x:f>
      </x:c>
    </x:row>
    <x:row r="430">
      <x:c r="A430" s="175" t="str">
        <x:f>IF(L430="","","EV-"&amp;TEXT(ROW()-3,"0000"))</x:f>
      </x:c>
      <x:c r="B430" s="174"/>
      <x:c r="C430" s="175" t="str">
        <x:f>IF(L430="","",IF(OR(CM430="Retracted",CN430="Retracted",F430="Not used"),"🔴 Do not use for conclusion",IF(OR(R430="Official / Institutional",I430="Official / contextual"),"🔵 Official / contextual",IF(OR(I430="Definition",I430="Framework",I430="Paradigm shift"),"🟣 Conceptual key source",IF(AND(CJ430="Yes",CL430="Yes",OR(CG430="High",CG430="Moderate"),CH430&lt;&gt;"High",CH430&lt;&gt;"Critical",F430="Claim-ready"),"🟢 Claim-ready","🟡 Caution / context")))))</x:f>
      </x:c>
      <x:c r="D430" s="174"/>
      <x:c r="E430" s="174"/>
      <x:c r="F430" s="174"/>
      <x:c r="G430" s="174"/>
      <x:c r="H430" s="174"/>
      <x:c r="I430" s="174"/>
      <x:c r="J430" s="174"/>
      <x:c r="K430" s="174"/>
      <x:c r="L430" s="174"/>
      <x:c r="M430" s="174"/>
      <x:c r="N430" s="174"/>
      <x:c r="O430" s="176"/>
      <x:c r="P430" s="174"/>
      <x:c r="Q430" s="174"/>
      <x:c r="R430" s="174"/>
      <x:c r="S430" s="174"/>
      <x:c r="T430" s="174"/>
      <x:c r="U430" s="174"/>
      <x:c r="V430" s="174"/>
      <x:c r="W430" s="175" t="str">
        <x:f>IF(V430="","",LOWER(SUBSTITUTE(SUBSTITUTE(SUBSTITUTE(SUBSTITUTE(TRIM(V430),"https://doi.org/",""),"http://doi.org/",""),"https://dx.doi.org/",""),"doi:","")))</x:f>
      </x:c>
      <x:c r="X430" s="174"/>
      <x:c r="Y430" s="174"/>
      <x:c r="Z430" s="174"/>
      <x:c r="AA430" s="174"/>
      <x:c r="AB430" s="174"/>
      <x:c r="AC430" s="174"/>
      <x:c r="AD430" s="177"/>
      <x:c r="AE430" s="177"/>
      <x:c r="AF430" s="174"/>
      <x:c r="AG430" s="174"/>
      <x:c r="AH430" s="174"/>
      <x:c r="AI430" s="174"/>
      <x:c r="AJ430" s="174"/>
      <x:c r="AK430" s="175" t="str">
        <x:f>IF(AJ430="","",IF(OR(LOWER(AJ430)="brazil",LOWER(AJ430)="brasil"),"Yes","No"))</x:f>
      </x:c>
      <x:c r="AL430" s="174"/>
      <x:c r="AM430" s="174"/>
      <x:c r="AN430" s="174"/>
      <x:c r="AO430" s="178"/>
      <x:c r="AP430" s="174"/>
      <x:c r="AQ430" s="174"/>
      <x:c r="AR430" s="174"/>
      <x:c r="AS430" s="174"/>
      <x:c r="AT430" s="174"/>
      <x:c r="AU430" s="174"/>
      <x:c r="AV430" s="174"/>
      <x:c r="AW430" s="174"/>
      <x:c r="AX430" s="174"/>
      <x:c r="AY430" s="174"/>
      <x:c r="AZ430" s="174"/>
      <x:c r="BA430" s="174"/>
      <x:c r="BB430" s="174"/>
      <x:c r="BC430" s="174"/>
      <x:c r="BD430" s="174"/>
      <x:c r="BE430" s="174"/>
      <x:c r="BF430" s="174"/>
      <x:c r="BG430" s="174"/>
      <x:c r="BH430" s="174"/>
      <x:c r="BI430" s="174"/>
      <x:c r="BJ430" s="174"/>
      <x:c r="BK430" s="174"/>
      <x:c r="BL430" s="174"/>
      <x:c r="BM430" s="174"/>
      <x:c r="BN430" s="174"/>
      <x:c r="BO430" s="174"/>
      <x:c r="BP430" s="174"/>
      <x:c r="BQ430" s="174"/>
      <x:c r="BR430" s="174"/>
      <x:c r="BS430" s="174"/>
      <x:c r="BT430" s="174"/>
      <x:c r="BU430" s="174"/>
      <x:c r="BV430" s="174"/>
      <x:c r="BW430" s="174"/>
      <x:c r="BX430" s="174"/>
      <x:c r="BY430" s="174"/>
      <x:c r="BZ430" s="174"/>
      <x:c r="CA430" s="174"/>
      <x:c r="CB430" s="174"/>
      <x:c r="CC430" s="174"/>
      <x:c r="CD430" s="174"/>
      <x:c r="CE430" s="174"/>
      <x:c r="CF430" s="174"/>
      <x:c r="CG430" s="174"/>
      <x:c r="CH430" s="174"/>
      <x:c r="CI430" s="179"/>
      <x:c r="CJ430" s="174"/>
      <x:c r="CK430" s="174"/>
      <x:c r="CL430" s="174"/>
      <x:c r="CM430" s="174"/>
      <x:c r="CN430" s="174"/>
      <x:c r="CO430" s="177"/>
      <x:c r="CP430" s="174"/>
      <x:c r="CQ430" s="174"/>
      <x:c r="CR430" s="174"/>
      <x:c r="CS430" s="174"/>
      <x:c r="CT430" s="174"/>
      <x:c r="CU430" s="176"/>
      <x:c r="CV430" s="176"/>
      <x:c r="CW430" s="176"/>
      <x:c r="CX430" s="176"/>
      <x:c r="CY430" s="176"/>
      <x:c r="CZ430" s="176"/>
      <x:c r="DA430" s="176"/>
      <x:c r="DB430" s="175" t="str">
        <x:f>IF(L430="","",IF(COUNT(CU430:DA430)&lt;7,"",SUM(CU430:DA430)))</x:f>
      </x:c>
      <x:c r="DC430" s="180" t="str">
        <x:f>IF(DB430="","",ROUND(DB430/14*10,1))</x:f>
      </x:c>
      <x:c r="DD430" s="174"/>
      <x:c r="DE430" s="175" t="str">
        <x:f>IF(L430="","",IF(DC430="","Pending",IF(DD430="Yes","CONDITIONAL — safety override",IF(DC430&gt;=8,"HIGH",IF(DC430&gt;=5,"CONDITIONAL","LOW")))))</x:f>
      </x:c>
      <x:c r="DF430" s="174"/>
      <x:c r="DG430" s="174"/>
      <x:c r="DH430" s="174"/>
      <x:c r="DI430" s="174"/>
      <x:c r="DJ430" s="174"/>
      <x:c r="DK430" s="174"/>
      <x:c r="DL430" s="174"/>
      <x:c r="DM430" s="174"/>
      <x:c r="DN430" s="174"/>
      <x:c r="DO430" s="174"/>
      <x:c r="DP430" s="174"/>
      <x:c r="DQ430" s="174"/>
      <x:c r="DR430" s="174"/>
      <x:c r="DS430" s="174"/>
      <x:c r="DT430" s="174"/>
      <x:c r="DU430" s="174"/>
      <x:c r="DV430" s="174"/>
      <x:c r="DW430" s="174"/>
      <x:c r="DX430" s="174"/>
      <x:c r="DY430" s="174"/>
      <x:c r="DZ430" s="174"/>
      <x:c r="EA430" s="174"/>
      <x:c r="EB430" s="175" t="str">
        <x:f>IF(L430="","",IF(AND(F430="Claim-ready",CJ430="Yes",CL430="Yes",DZ430&lt;&gt;""),"Yes","No / Pending"))</x:f>
      </x:c>
      <x:c r="EC430" s="174"/>
      <x:c r="ED430" s="174"/>
      <x:c r="EE430" s="174"/>
      <x:c r="EF430" s="174"/>
      <x:c r="EG430" s="174"/>
      <x:c r="EH430" s="177"/>
      <x:c r="EI430" s="174"/>
      <x:c r="EJ430" s="174"/>
      <x:c r="EK430" s="174"/>
      <x:c r="EL430" s="177"/>
      <x:c r="EM430" s="174"/>
      <x:c r="EN430" s="181" t="str">
        <x:f>IF(L430="","",(IF(N430&lt;&gt;"",1,0)+IF(O430&lt;&gt;"",1,0)+IF(AJ430&lt;&gt;"",1,0)+IF(AU430&lt;&gt;"",1,0)+IF(BE430&lt;&gt;"",1,0)+IF(CF430&lt;&gt;"",1,0)+IF(CJ430="Yes",1,0)+IF(CL430="Yes",1,0)+IF(DE430&lt;&gt;"Pending",1,0)+IF(F430&lt;&gt;"",1,0)+IF(DZ430&lt;&gt;"",1,0)+IF(EI430&lt;&gt;"",1,0))/12)</x:f>
      </x:c>
    </x:row>
    <x:row r="431">
      <x:c r="A431" s="175" t="str">
        <x:f>IF(L431="","","EV-"&amp;TEXT(ROW()-3,"0000"))</x:f>
      </x:c>
      <x:c r="B431" s="174"/>
      <x:c r="C431" s="175" t="str">
        <x:f>IF(L431="","",IF(OR(CM431="Retracted",CN431="Retracted",F431="Not used"),"🔴 Do not use for conclusion",IF(OR(R431="Official / Institutional",I431="Official / contextual"),"🔵 Official / contextual",IF(OR(I431="Definition",I431="Framework",I431="Paradigm shift"),"🟣 Conceptual key source",IF(AND(CJ431="Yes",CL431="Yes",OR(CG431="High",CG431="Moderate"),CH431&lt;&gt;"High",CH431&lt;&gt;"Critical",F431="Claim-ready"),"🟢 Claim-ready","🟡 Caution / context")))))</x:f>
      </x:c>
      <x:c r="D431" s="174"/>
      <x:c r="E431" s="174"/>
      <x:c r="F431" s="174"/>
      <x:c r="G431" s="174"/>
      <x:c r="H431" s="174"/>
      <x:c r="I431" s="174"/>
      <x:c r="J431" s="174"/>
      <x:c r="K431" s="174"/>
      <x:c r="L431" s="174"/>
      <x:c r="M431" s="174"/>
      <x:c r="N431" s="174"/>
      <x:c r="O431" s="176"/>
      <x:c r="P431" s="174"/>
      <x:c r="Q431" s="174"/>
      <x:c r="R431" s="174"/>
      <x:c r="S431" s="174"/>
      <x:c r="T431" s="174"/>
      <x:c r="U431" s="174"/>
      <x:c r="V431" s="174"/>
      <x:c r="W431" s="175" t="str">
        <x:f>IF(V431="","",LOWER(SUBSTITUTE(SUBSTITUTE(SUBSTITUTE(SUBSTITUTE(TRIM(V431),"https://doi.org/",""),"http://doi.org/",""),"https://dx.doi.org/",""),"doi:","")))</x:f>
      </x:c>
      <x:c r="X431" s="174"/>
      <x:c r="Y431" s="174"/>
      <x:c r="Z431" s="174"/>
      <x:c r="AA431" s="174"/>
      <x:c r="AB431" s="174"/>
      <x:c r="AC431" s="174"/>
      <x:c r="AD431" s="177"/>
      <x:c r="AE431" s="177"/>
      <x:c r="AF431" s="174"/>
      <x:c r="AG431" s="174"/>
      <x:c r="AH431" s="174"/>
      <x:c r="AI431" s="174"/>
      <x:c r="AJ431" s="174"/>
      <x:c r="AK431" s="175" t="str">
        <x:f>IF(AJ431="","",IF(OR(LOWER(AJ431)="brazil",LOWER(AJ431)="brasil"),"Yes","No"))</x:f>
      </x:c>
      <x:c r="AL431" s="174"/>
      <x:c r="AM431" s="174"/>
      <x:c r="AN431" s="174"/>
      <x:c r="AO431" s="178"/>
      <x:c r="AP431" s="174"/>
      <x:c r="AQ431" s="174"/>
      <x:c r="AR431" s="174"/>
      <x:c r="AS431" s="174"/>
      <x:c r="AT431" s="174"/>
      <x:c r="AU431" s="174"/>
      <x:c r="AV431" s="174"/>
      <x:c r="AW431" s="174"/>
      <x:c r="AX431" s="174"/>
      <x:c r="AY431" s="174"/>
      <x:c r="AZ431" s="174"/>
      <x:c r="BA431" s="174"/>
      <x:c r="BB431" s="174"/>
      <x:c r="BC431" s="174"/>
      <x:c r="BD431" s="174"/>
      <x:c r="BE431" s="174"/>
      <x:c r="BF431" s="174"/>
      <x:c r="BG431" s="174"/>
      <x:c r="BH431" s="174"/>
      <x:c r="BI431" s="174"/>
      <x:c r="BJ431" s="174"/>
      <x:c r="BK431" s="174"/>
      <x:c r="BL431" s="174"/>
      <x:c r="BM431" s="174"/>
      <x:c r="BN431" s="174"/>
      <x:c r="BO431" s="174"/>
      <x:c r="BP431" s="174"/>
      <x:c r="BQ431" s="174"/>
      <x:c r="BR431" s="174"/>
      <x:c r="BS431" s="174"/>
      <x:c r="BT431" s="174"/>
      <x:c r="BU431" s="174"/>
      <x:c r="BV431" s="174"/>
      <x:c r="BW431" s="174"/>
      <x:c r="BX431" s="174"/>
      <x:c r="BY431" s="174"/>
      <x:c r="BZ431" s="174"/>
      <x:c r="CA431" s="174"/>
      <x:c r="CB431" s="174"/>
      <x:c r="CC431" s="174"/>
      <x:c r="CD431" s="174"/>
      <x:c r="CE431" s="174"/>
      <x:c r="CF431" s="174"/>
      <x:c r="CG431" s="174"/>
      <x:c r="CH431" s="174"/>
      <x:c r="CI431" s="179"/>
      <x:c r="CJ431" s="174"/>
      <x:c r="CK431" s="174"/>
      <x:c r="CL431" s="174"/>
      <x:c r="CM431" s="174"/>
      <x:c r="CN431" s="174"/>
      <x:c r="CO431" s="177"/>
      <x:c r="CP431" s="174"/>
      <x:c r="CQ431" s="174"/>
      <x:c r="CR431" s="174"/>
      <x:c r="CS431" s="174"/>
      <x:c r="CT431" s="174"/>
      <x:c r="CU431" s="176"/>
      <x:c r="CV431" s="176"/>
      <x:c r="CW431" s="176"/>
      <x:c r="CX431" s="176"/>
      <x:c r="CY431" s="176"/>
      <x:c r="CZ431" s="176"/>
      <x:c r="DA431" s="176"/>
      <x:c r="DB431" s="175" t="str">
        <x:f>IF(L431="","",IF(COUNT(CU431:DA431)&lt;7,"",SUM(CU431:DA431)))</x:f>
      </x:c>
      <x:c r="DC431" s="180" t="str">
        <x:f>IF(DB431="","",ROUND(DB431/14*10,1))</x:f>
      </x:c>
      <x:c r="DD431" s="174"/>
      <x:c r="DE431" s="175" t="str">
        <x:f>IF(L431="","",IF(DC431="","Pending",IF(DD431="Yes","CONDITIONAL — safety override",IF(DC431&gt;=8,"HIGH",IF(DC431&gt;=5,"CONDITIONAL","LOW")))))</x:f>
      </x:c>
      <x:c r="DF431" s="174"/>
      <x:c r="DG431" s="174"/>
      <x:c r="DH431" s="174"/>
      <x:c r="DI431" s="174"/>
      <x:c r="DJ431" s="174"/>
      <x:c r="DK431" s="174"/>
      <x:c r="DL431" s="174"/>
      <x:c r="DM431" s="174"/>
      <x:c r="DN431" s="174"/>
      <x:c r="DO431" s="174"/>
      <x:c r="DP431" s="174"/>
      <x:c r="DQ431" s="174"/>
      <x:c r="DR431" s="174"/>
      <x:c r="DS431" s="174"/>
      <x:c r="DT431" s="174"/>
      <x:c r="DU431" s="174"/>
      <x:c r="DV431" s="174"/>
      <x:c r="DW431" s="174"/>
      <x:c r="DX431" s="174"/>
      <x:c r="DY431" s="174"/>
      <x:c r="DZ431" s="174"/>
      <x:c r="EA431" s="174"/>
      <x:c r="EB431" s="175" t="str">
        <x:f>IF(L431="","",IF(AND(F431="Claim-ready",CJ431="Yes",CL431="Yes",DZ431&lt;&gt;""),"Yes","No / Pending"))</x:f>
      </x:c>
      <x:c r="EC431" s="174"/>
      <x:c r="ED431" s="174"/>
      <x:c r="EE431" s="174"/>
      <x:c r="EF431" s="174"/>
      <x:c r="EG431" s="174"/>
      <x:c r="EH431" s="177"/>
      <x:c r="EI431" s="174"/>
      <x:c r="EJ431" s="174"/>
      <x:c r="EK431" s="174"/>
      <x:c r="EL431" s="177"/>
      <x:c r="EM431" s="174"/>
      <x:c r="EN431" s="181" t="str">
        <x:f>IF(L431="","",(IF(N431&lt;&gt;"",1,0)+IF(O431&lt;&gt;"",1,0)+IF(AJ431&lt;&gt;"",1,0)+IF(AU431&lt;&gt;"",1,0)+IF(BE431&lt;&gt;"",1,0)+IF(CF431&lt;&gt;"",1,0)+IF(CJ431="Yes",1,0)+IF(CL431="Yes",1,0)+IF(DE431&lt;&gt;"Pending",1,0)+IF(F431&lt;&gt;"",1,0)+IF(DZ431&lt;&gt;"",1,0)+IF(EI431&lt;&gt;"",1,0))/12)</x:f>
      </x:c>
    </x:row>
    <x:row r="432">
      <x:c r="A432" s="175" t="str">
        <x:f>IF(L432="","","EV-"&amp;TEXT(ROW()-3,"0000"))</x:f>
      </x:c>
      <x:c r="B432" s="174"/>
      <x:c r="C432" s="175" t="str">
        <x:f>IF(L432="","",IF(OR(CM432="Retracted",CN432="Retracted",F432="Not used"),"🔴 Do not use for conclusion",IF(OR(R432="Official / Institutional",I432="Official / contextual"),"🔵 Official / contextual",IF(OR(I432="Definition",I432="Framework",I432="Paradigm shift"),"🟣 Conceptual key source",IF(AND(CJ432="Yes",CL432="Yes",OR(CG432="High",CG432="Moderate"),CH432&lt;&gt;"High",CH432&lt;&gt;"Critical",F432="Claim-ready"),"🟢 Claim-ready","🟡 Caution / context")))))</x:f>
      </x:c>
      <x:c r="D432" s="174"/>
      <x:c r="E432" s="174"/>
      <x:c r="F432" s="174"/>
      <x:c r="G432" s="174"/>
      <x:c r="H432" s="174"/>
      <x:c r="I432" s="174"/>
      <x:c r="J432" s="174"/>
      <x:c r="K432" s="174"/>
      <x:c r="L432" s="174"/>
      <x:c r="M432" s="174"/>
      <x:c r="N432" s="174"/>
      <x:c r="O432" s="176"/>
      <x:c r="P432" s="174"/>
      <x:c r="Q432" s="174"/>
      <x:c r="R432" s="174"/>
      <x:c r="S432" s="174"/>
      <x:c r="T432" s="174"/>
      <x:c r="U432" s="174"/>
      <x:c r="V432" s="174"/>
      <x:c r="W432" s="175" t="str">
        <x:f>IF(V432="","",LOWER(SUBSTITUTE(SUBSTITUTE(SUBSTITUTE(SUBSTITUTE(TRIM(V432),"https://doi.org/",""),"http://doi.org/",""),"https://dx.doi.org/",""),"doi:","")))</x:f>
      </x:c>
      <x:c r="X432" s="174"/>
      <x:c r="Y432" s="174"/>
      <x:c r="Z432" s="174"/>
      <x:c r="AA432" s="174"/>
      <x:c r="AB432" s="174"/>
      <x:c r="AC432" s="174"/>
      <x:c r="AD432" s="177"/>
      <x:c r="AE432" s="177"/>
      <x:c r="AF432" s="174"/>
      <x:c r="AG432" s="174"/>
      <x:c r="AH432" s="174"/>
      <x:c r="AI432" s="174"/>
      <x:c r="AJ432" s="174"/>
      <x:c r="AK432" s="175" t="str">
        <x:f>IF(AJ432="","",IF(OR(LOWER(AJ432)="brazil",LOWER(AJ432)="brasil"),"Yes","No"))</x:f>
      </x:c>
      <x:c r="AL432" s="174"/>
      <x:c r="AM432" s="174"/>
      <x:c r="AN432" s="174"/>
      <x:c r="AO432" s="178"/>
      <x:c r="AP432" s="174"/>
      <x:c r="AQ432" s="174"/>
      <x:c r="AR432" s="174"/>
      <x:c r="AS432" s="174"/>
      <x:c r="AT432" s="174"/>
      <x:c r="AU432" s="174"/>
      <x:c r="AV432" s="174"/>
      <x:c r="AW432" s="174"/>
      <x:c r="AX432" s="174"/>
      <x:c r="AY432" s="174"/>
      <x:c r="AZ432" s="174"/>
      <x:c r="BA432" s="174"/>
      <x:c r="BB432" s="174"/>
      <x:c r="BC432" s="174"/>
      <x:c r="BD432" s="174"/>
      <x:c r="BE432" s="174"/>
      <x:c r="BF432" s="174"/>
      <x:c r="BG432" s="174"/>
      <x:c r="BH432" s="174"/>
      <x:c r="BI432" s="174"/>
      <x:c r="BJ432" s="174"/>
      <x:c r="BK432" s="174"/>
      <x:c r="BL432" s="174"/>
      <x:c r="BM432" s="174"/>
      <x:c r="BN432" s="174"/>
      <x:c r="BO432" s="174"/>
      <x:c r="BP432" s="174"/>
      <x:c r="BQ432" s="174"/>
      <x:c r="BR432" s="174"/>
      <x:c r="BS432" s="174"/>
      <x:c r="BT432" s="174"/>
      <x:c r="BU432" s="174"/>
      <x:c r="BV432" s="174"/>
      <x:c r="BW432" s="174"/>
      <x:c r="BX432" s="174"/>
      <x:c r="BY432" s="174"/>
      <x:c r="BZ432" s="174"/>
      <x:c r="CA432" s="174"/>
      <x:c r="CB432" s="174"/>
      <x:c r="CC432" s="174"/>
      <x:c r="CD432" s="174"/>
      <x:c r="CE432" s="174"/>
      <x:c r="CF432" s="174"/>
      <x:c r="CG432" s="174"/>
      <x:c r="CH432" s="174"/>
      <x:c r="CI432" s="179"/>
      <x:c r="CJ432" s="174"/>
      <x:c r="CK432" s="174"/>
      <x:c r="CL432" s="174"/>
      <x:c r="CM432" s="174"/>
      <x:c r="CN432" s="174"/>
      <x:c r="CO432" s="177"/>
      <x:c r="CP432" s="174"/>
      <x:c r="CQ432" s="174"/>
      <x:c r="CR432" s="174"/>
      <x:c r="CS432" s="174"/>
      <x:c r="CT432" s="174"/>
      <x:c r="CU432" s="176"/>
      <x:c r="CV432" s="176"/>
      <x:c r="CW432" s="176"/>
      <x:c r="CX432" s="176"/>
      <x:c r="CY432" s="176"/>
      <x:c r="CZ432" s="176"/>
      <x:c r="DA432" s="176"/>
      <x:c r="DB432" s="175" t="str">
        <x:f>IF(L432="","",IF(COUNT(CU432:DA432)&lt;7,"",SUM(CU432:DA432)))</x:f>
      </x:c>
      <x:c r="DC432" s="180" t="str">
        <x:f>IF(DB432="","",ROUND(DB432/14*10,1))</x:f>
      </x:c>
      <x:c r="DD432" s="174"/>
      <x:c r="DE432" s="175" t="str">
        <x:f>IF(L432="","",IF(DC432="","Pending",IF(DD432="Yes","CONDITIONAL — safety override",IF(DC432&gt;=8,"HIGH",IF(DC432&gt;=5,"CONDITIONAL","LOW")))))</x:f>
      </x:c>
      <x:c r="DF432" s="174"/>
      <x:c r="DG432" s="174"/>
      <x:c r="DH432" s="174"/>
      <x:c r="DI432" s="174"/>
      <x:c r="DJ432" s="174"/>
      <x:c r="DK432" s="174"/>
      <x:c r="DL432" s="174"/>
      <x:c r="DM432" s="174"/>
      <x:c r="DN432" s="174"/>
      <x:c r="DO432" s="174"/>
      <x:c r="DP432" s="174"/>
      <x:c r="DQ432" s="174"/>
      <x:c r="DR432" s="174"/>
      <x:c r="DS432" s="174"/>
      <x:c r="DT432" s="174"/>
      <x:c r="DU432" s="174"/>
      <x:c r="DV432" s="174"/>
      <x:c r="DW432" s="174"/>
      <x:c r="DX432" s="174"/>
      <x:c r="DY432" s="174"/>
      <x:c r="DZ432" s="174"/>
      <x:c r="EA432" s="174"/>
      <x:c r="EB432" s="175" t="str">
        <x:f>IF(L432="","",IF(AND(F432="Claim-ready",CJ432="Yes",CL432="Yes",DZ432&lt;&gt;""),"Yes","No / Pending"))</x:f>
      </x:c>
      <x:c r="EC432" s="174"/>
      <x:c r="ED432" s="174"/>
      <x:c r="EE432" s="174"/>
      <x:c r="EF432" s="174"/>
      <x:c r="EG432" s="174"/>
      <x:c r="EH432" s="177"/>
      <x:c r="EI432" s="174"/>
      <x:c r="EJ432" s="174"/>
      <x:c r="EK432" s="174"/>
      <x:c r="EL432" s="177"/>
      <x:c r="EM432" s="174"/>
      <x:c r="EN432" s="181" t="str">
        <x:f>IF(L432="","",(IF(N432&lt;&gt;"",1,0)+IF(O432&lt;&gt;"",1,0)+IF(AJ432&lt;&gt;"",1,0)+IF(AU432&lt;&gt;"",1,0)+IF(BE432&lt;&gt;"",1,0)+IF(CF432&lt;&gt;"",1,0)+IF(CJ432="Yes",1,0)+IF(CL432="Yes",1,0)+IF(DE432&lt;&gt;"Pending",1,0)+IF(F432&lt;&gt;"",1,0)+IF(DZ432&lt;&gt;"",1,0)+IF(EI432&lt;&gt;"",1,0))/12)</x:f>
      </x:c>
    </x:row>
    <x:row r="433">
      <x:c r="A433" s="175" t="str">
        <x:f>IF(L433="","","EV-"&amp;TEXT(ROW()-3,"0000"))</x:f>
      </x:c>
      <x:c r="B433" s="174"/>
      <x:c r="C433" s="175" t="str">
        <x:f>IF(L433="","",IF(OR(CM433="Retracted",CN433="Retracted",F433="Not used"),"🔴 Do not use for conclusion",IF(OR(R433="Official / Institutional",I433="Official / contextual"),"🔵 Official / contextual",IF(OR(I433="Definition",I433="Framework",I433="Paradigm shift"),"🟣 Conceptual key source",IF(AND(CJ433="Yes",CL433="Yes",OR(CG433="High",CG433="Moderate"),CH433&lt;&gt;"High",CH433&lt;&gt;"Critical",F433="Claim-ready"),"🟢 Claim-ready","🟡 Caution / context")))))</x:f>
      </x:c>
      <x:c r="D433" s="174"/>
      <x:c r="E433" s="174"/>
      <x:c r="F433" s="174"/>
      <x:c r="G433" s="174"/>
      <x:c r="H433" s="174"/>
      <x:c r="I433" s="174"/>
      <x:c r="J433" s="174"/>
      <x:c r="K433" s="174"/>
      <x:c r="L433" s="174"/>
      <x:c r="M433" s="174"/>
      <x:c r="N433" s="174"/>
      <x:c r="O433" s="176"/>
      <x:c r="P433" s="174"/>
      <x:c r="Q433" s="174"/>
      <x:c r="R433" s="174"/>
      <x:c r="S433" s="174"/>
      <x:c r="T433" s="174"/>
      <x:c r="U433" s="174"/>
      <x:c r="V433" s="174"/>
      <x:c r="W433" s="175" t="str">
        <x:f>IF(V433="","",LOWER(SUBSTITUTE(SUBSTITUTE(SUBSTITUTE(SUBSTITUTE(TRIM(V433),"https://doi.org/",""),"http://doi.org/",""),"https://dx.doi.org/",""),"doi:","")))</x:f>
      </x:c>
      <x:c r="X433" s="174"/>
      <x:c r="Y433" s="174"/>
      <x:c r="Z433" s="174"/>
      <x:c r="AA433" s="174"/>
      <x:c r="AB433" s="174"/>
      <x:c r="AC433" s="174"/>
      <x:c r="AD433" s="177"/>
      <x:c r="AE433" s="177"/>
      <x:c r="AF433" s="174"/>
      <x:c r="AG433" s="174"/>
      <x:c r="AH433" s="174"/>
      <x:c r="AI433" s="174"/>
      <x:c r="AJ433" s="174"/>
      <x:c r="AK433" s="175" t="str">
        <x:f>IF(AJ433="","",IF(OR(LOWER(AJ433)="brazil",LOWER(AJ433)="brasil"),"Yes","No"))</x:f>
      </x:c>
      <x:c r="AL433" s="174"/>
      <x:c r="AM433" s="174"/>
      <x:c r="AN433" s="174"/>
      <x:c r="AO433" s="178"/>
      <x:c r="AP433" s="174"/>
      <x:c r="AQ433" s="174"/>
      <x:c r="AR433" s="174"/>
      <x:c r="AS433" s="174"/>
      <x:c r="AT433" s="174"/>
      <x:c r="AU433" s="174"/>
      <x:c r="AV433" s="174"/>
      <x:c r="AW433" s="174"/>
      <x:c r="AX433" s="174"/>
      <x:c r="AY433" s="174"/>
      <x:c r="AZ433" s="174"/>
      <x:c r="BA433" s="174"/>
      <x:c r="BB433" s="174"/>
      <x:c r="BC433" s="174"/>
      <x:c r="BD433" s="174"/>
      <x:c r="BE433" s="174"/>
      <x:c r="BF433" s="174"/>
      <x:c r="BG433" s="174"/>
      <x:c r="BH433" s="174"/>
      <x:c r="BI433" s="174"/>
      <x:c r="BJ433" s="174"/>
      <x:c r="BK433" s="174"/>
      <x:c r="BL433" s="174"/>
      <x:c r="BM433" s="174"/>
      <x:c r="BN433" s="174"/>
      <x:c r="BO433" s="174"/>
      <x:c r="BP433" s="174"/>
      <x:c r="BQ433" s="174"/>
      <x:c r="BR433" s="174"/>
      <x:c r="BS433" s="174"/>
      <x:c r="BT433" s="174"/>
      <x:c r="BU433" s="174"/>
      <x:c r="BV433" s="174"/>
      <x:c r="BW433" s="174"/>
      <x:c r="BX433" s="174"/>
      <x:c r="BY433" s="174"/>
      <x:c r="BZ433" s="174"/>
      <x:c r="CA433" s="174"/>
      <x:c r="CB433" s="174"/>
      <x:c r="CC433" s="174"/>
      <x:c r="CD433" s="174"/>
      <x:c r="CE433" s="174"/>
      <x:c r="CF433" s="174"/>
      <x:c r="CG433" s="174"/>
      <x:c r="CH433" s="174"/>
      <x:c r="CI433" s="179"/>
      <x:c r="CJ433" s="174"/>
      <x:c r="CK433" s="174"/>
      <x:c r="CL433" s="174"/>
      <x:c r="CM433" s="174"/>
      <x:c r="CN433" s="174"/>
      <x:c r="CO433" s="177"/>
      <x:c r="CP433" s="174"/>
      <x:c r="CQ433" s="174"/>
      <x:c r="CR433" s="174"/>
      <x:c r="CS433" s="174"/>
      <x:c r="CT433" s="174"/>
      <x:c r="CU433" s="176"/>
      <x:c r="CV433" s="176"/>
      <x:c r="CW433" s="176"/>
      <x:c r="CX433" s="176"/>
      <x:c r="CY433" s="176"/>
      <x:c r="CZ433" s="176"/>
      <x:c r="DA433" s="176"/>
      <x:c r="DB433" s="175" t="str">
        <x:f>IF(L433="","",IF(COUNT(CU433:DA433)&lt;7,"",SUM(CU433:DA433)))</x:f>
      </x:c>
      <x:c r="DC433" s="180" t="str">
        <x:f>IF(DB433="","",ROUND(DB433/14*10,1))</x:f>
      </x:c>
      <x:c r="DD433" s="174"/>
      <x:c r="DE433" s="175" t="str">
        <x:f>IF(L433="","",IF(DC433="","Pending",IF(DD433="Yes","CONDITIONAL — safety override",IF(DC433&gt;=8,"HIGH",IF(DC433&gt;=5,"CONDITIONAL","LOW")))))</x:f>
      </x:c>
      <x:c r="DF433" s="174"/>
      <x:c r="DG433" s="174"/>
      <x:c r="DH433" s="174"/>
      <x:c r="DI433" s="174"/>
      <x:c r="DJ433" s="174"/>
      <x:c r="DK433" s="174"/>
      <x:c r="DL433" s="174"/>
      <x:c r="DM433" s="174"/>
      <x:c r="DN433" s="174"/>
      <x:c r="DO433" s="174"/>
      <x:c r="DP433" s="174"/>
      <x:c r="DQ433" s="174"/>
      <x:c r="DR433" s="174"/>
      <x:c r="DS433" s="174"/>
      <x:c r="DT433" s="174"/>
      <x:c r="DU433" s="174"/>
      <x:c r="DV433" s="174"/>
      <x:c r="DW433" s="174"/>
      <x:c r="DX433" s="174"/>
      <x:c r="DY433" s="174"/>
      <x:c r="DZ433" s="174"/>
      <x:c r="EA433" s="174"/>
      <x:c r="EB433" s="175" t="str">
        <x:f>IF(L433="","",IF(AND(F433="Claim-ready",CJ433="Yes",CL433="Yes",DZ433&lt;&gt;""),"Yes","No / Pending"))</x:f>
      </x:c>
      <x:c r="EC433" s="174"/>
      <x:c r="ED433" s="174"/>
      <x:c r="EE433" s="174"/>
      <x:c r="EF433" s="174"/>
      <x:c r="EG433" s="174"/>
      <x:c r="EH433" s="177"/>
      <x:c r="EI433" s="174"/>
      <x:c r="EJ433" s="174"/>
      <x:c r="EK433" s="174"/>
      <x:c r="EL433" s="177"/>
      <x:c r="EM433" s="174"/>
      <x:c r="EN433" s="181" t="str">
        <x:f>IF(L433="","",(IF(N433&lt;&gt;"",1,0)+IF(O433&lt;&gt;"",1,0)+IF(AJ433&lt;&gt;"",1,0)+IF(AU433&lt;&gt;"",1,0)+IF(BE433&lt;&gt;"",1,0)+IF(CF433&lt;&gt;"",1,0)+IF(CJ433="Yes",1,0)+IF(CL433="Yes",1,0)+IF(DE433&lt;&gt;"Pending",1,0)+IF(F433&lt;&gt;"",1,0)+IF(DZ433&lt;&gt;"",1,0)+IF(EI433&lt;&gt;"",1,0))/12)</x:f>
      </x:c>
    </x:row>
    <x:row r="434">
      <x:c r="A434" s="175" t="str">
        <x:f>IF(L434="","","EV-"&amp;TEXT(ROW()-3,"0000"))</x:f>
      </x:c>
      <x:c r="B434" s="174"/>
      <x:c r="C434" s="175" t="str">
        <x:f>IF(L434="","",IF(OR(CM434="Retracted",CN434="Retracted",F434="Not used"),"🔴 Do not use for conclusion",IF(OR(R434="Official / Institutional",I434="Official / contextual"),"🔵 Official / contextual",IF(OR(I434="Definition",I434="Framework",I434="Paradigm shift"),"🟣 Conceptual key source",IF(AND(CJ434="Yes",CL434="Yes",OR(CG434="High",CG434="Moderate"),CH434&lt;&gt;"High",CH434&lt;&gt;"Critical",F434="Claim-ready"),"🟢 Claim-ready","🟡 Caution / context")))))</x:f>
      </x:c>
      <x:c r="D434" s="174"/>
      <x:c r="E434" s="174"/>
      <x:c r="F434" s="174"/>
      <x:c r="G434" s="174"/>
      <x:c r="H434" s="174"/>
      <x:c r="I434" s="174"/>
      <x:c r="J434" s="174"/>
      <x:c r="K434" s="174"/>
      <x:c r="L434" s="174"/>
      <x:c r="M434" s="174"/>
      <x:c r="N434" s="174"/>
      <x:c r="O434" s="176"/>
      <x:c r="P434" s="174"/>
      <x:c r="Q434" s="174"/>
      <x:c r="R434" s="174"/>
      <x:c r="S434" s="174"/>
      <x:c r="T434" s="174"/>
      <x:c r="U434" s="174"/>
      <x:c r="V434" s="174"/>
      <x:c r="W434" s="175" t="str">
        <x:f>IF(V434="","",LOWER(SUBSTITUTE(SUBSTITUTE(SUBSTITUTE(SUBSTITUTE(TRIM(V434),"https://doi.org/",""),"http://doi.org/",""),"https://dx.doi.org/",""),"doi:","")))</x:f>
      </x:c>
      <x:c r="X434" s="174"/>
      <x:c r="Y434" s="174"/>
      <x:c r="Z434" s="174"/>
      <x:c r="AA434" s="174"/>
      <x:c r="AB434" s="174"/>
      <x:c r="AC434" s="174"/>
      <x:c r="AD434" s="177"/>
      <x:c r="AE434" s="177"/>
      <x:c r="AF434" s="174"/>
      <x:c r="AG434" s="174"/>
      <x:c r="AH434" s="174"/>
      <x:c r="AI434" s="174"/>
      <x:c r="AJ434" s="174"/>
      <x:c r="AK434" s="175" t="str">
        <x:f>IF(AJ434="","",IF(OR(LOWER(AJ434)="brazil",LOWER(AJ434)="brasil"),"Yes","No"))</x:f>
      </x:c>
      <x:c r="AL434" s="174"/>
      <x:c r="AM434" s="174"/>
      <x:c r="AN434" s="174"/>
      <x:c r="AO434" s="178"/>
      <x:c r="AP434" s="174"/>
      <x:c r="AQ434" s="174"/>
      <x:c r="AR434" s="174"/>
      <x:c r="AS434" s="174"/>
      <x:c r="AT434" s="174"/>
      <x:c r="AU434" s="174"/>
      <x:c r="AV434" s="174"/>
      <x:c r="AW434" s="174"/>
      <x:c r="AX434" s="174"/>
      <x:c r="AY434" s="174"/>
      <x:c r="AZ434" s="174"/>
      <x:c r="BA434" s="174"/>
      <x:c r="BB434" s="174"/>
      <x:c r="BC434" s="174"/>
      <x:c r="BD434" s="174"/>
      <x:c r="BE434" s="174"/>
      <x:c r="BF434" s="174"/>
      <x:c r="BG434" s="174"/>
      <x:c r="BH434" s="174"/>
      <x:c r="BI434" s="174"/>
      <x:c r="BJ434" s="174"/>
      <x:c r="BK434" s="174"/>
      <x:c r="BL434" s="174"/>
      <x:c r="BM434" s="174"/>
      <x:c r="BN434" s="174"/>
      <x:c r="BO434" s="174"/>
      <x:c r="BP434" s="174"/>
      <x:c r="BQ434" s="174"/>
      <x:c r="BR434" s="174"/>
      <x:c r="BS434" s="174"/>
      <x:c r="BT434" s="174"/>
      <x:c r="BU434" s="174"/>
      <x:c r="BV434" s="174"/>
      <x:c r="BW434" s="174"/>
      <x:c r="BX434" s="174"/>
      <x:c r="BY434" s="174"/>
      <x:c r="BZ434" s="174"/>
      <x:c r="CA434" s="174"/>
      <x:c r="CB434" s="174"/>
      <x:c r="CC434" s="174"/>
      <x:c r="CD434" s="174"/>
      <x:c r="CE434" s="174"/>
      <x:c r="CF434" s="174"/>
      <x:c r="CG434" s="174"/>
      <x:c r="CH434" s="174"/>
      <x:c r="CI434" s="179"/>
      <x:c r="CJ434" s="174"/>
      <x:c r="CK434" s="174"/>
      <x:c r="CL434" s="174"/>
      <x:c r="CM434" s="174"/>
      <x:c r="CN434" s="174"/>
      <x:c r="CO434" s="177"/>
      <x:c r="CP434" s="174"/>
      <x:c r="CQ434" s="174"/>
      <x:c r="CR434" s="174"/>
      <x:c r="CS434" s="174"/>
      <x:c r="CT434" s="174"/>
      <x:c r="CU434" s="176"/>
      <x:c r="CV434" s="176"/>
      <x:c r="CW434" s="176"/>
      <x:c r="CX434" s="176"/>
      <x:c r="CY434" s="176"/>
      <x:c r="CZ434" s="176"/>
      <x:c r="DA434" s="176"/>
      <x:c r="DB434" s="175" t="str">
        <x:f>IF(L434="","",IF(COUNT(CU434:DA434)&lt;7,"",SUM(CU434:DA434)))</x:f>
      </x:c>
      <x:c r="DC434" s="180" t="str">
        <x:f>IF(DB434="","",ROUND(DB434/14*10,1))</x:f>
      </x:c>
      <x:c r="DD434" s="174"/>
      <x:c r="DE434" s="175" t="str">
        <x:f>IF(L434="","",IF(DC434="","Pending",IF(DD434="Yes","CONDITIONAL — safety override",IF(DC434&gt;=8,"HIGH",IF(DC434&gt;=5,"CONDITIONAL","LOW")))))</x:f>
      </x:c>
      <x:c r="DF434" s="174"/>
      <x:c r="DG434" s="174"/>
      <x:c r="DH434" s="174"/>
      <x:c r="DI434" s="174"/>
      <x:c r="DJ434" s="174"/>
      <x:c r="DK434" s="174"/>
      <x:c r="DL434" s="174"/>
      <x:c r="DM434" s="174"/>
      <x:c r="DN434" s="174"/>
      <x:c r="DO434" s="174"/>
      <x:c r="DP434" s="174"/>
      <x:c r="DQ434" s="174"/>
      <x:c r="DR434" s="174"/>
      <x:c r="DS434" s="174"/>
      <x:c r="DT434" s="174"/>
      <x:c r="DU434" s="174"/>
      <x:c r="DV434" s="174"/>
      <x:c r="DW434" s="174"/>
      <x:c r="DX434" s="174"/>
      <x:c r="DY434" s="174"/>
      <x:c r="DZ434" s="174"/>
      <x:c r="EA434" s="174"/>
      <x:c r="EB434" s="175" t="str">
        <x:f>IF(L434="","",IF(AND(F434="Claim-ready",CJ434="Yes",CL434="Yes",DZ434&lt;&gt;""),"Yes","No / Pending"))</x:f>
      </x:c>
      <x:c r="EC434" s="174"/>
      <x:c r="ED434" s="174"/>
      <x:c r="EE434" s="174"/>
      <x:c r="EF434" s="174"/>
      <x:c r="EG434" s="174"/>
      <x:c r="EH434" s="177"/>
      <x:c r="EI434" s="174"/>
      <x:c r="EJ434" s="174"/>
      <x:c r="EK434" s="174"/>
      <x:c r="EL434" s="177"/>
      <x:c r="EM434" s="174"/>
      <x:c r="EN434" s="181" t="str">
        <x:f>IF(L434="","",(IF(N434&lt;&gt;"",1,0)+IF(O434&lt;&gt;"",1,0)+IF(AJ434&lt;&gt;"",1,0)+IF(AU434&lt;&gt;"",1,0)+IF(BE434&lt;&gt;"",1,0)+IF(CF434&lt;&gt;"",1,0)+IF(CJ434="Yes",1,0)+IF(CL434="Yes",1,0)+IF(DE434&lt;&gt;"Pending",1,0)+IF(F434&lt;&gt;"",1,0)+IF(DZ434&lt;&gt;"",1,0)+IF(EI434&lt;&gt;"",1,0))/12)</x:f>
      </x:c>
    </x:row>
    <x:row r="435">
      <x:c r="A435" s="175" t="str">
        <x:f>IF(L435="","","EV-"&amp;TEXT(ROW()-3,"0000"))</x:f>
      </x:c>
      <x:c r="B435" s="174"/>
      <x:c r="C435" s="175" t="str">
        <x:f>IF(L435="","",IF(OR(CM435="Retracted",CN435="Retracted",F435="Not used"),"🔴 Do not use for conclusion",IF(OR(R435="Official / Institutional",I435="Official / contextual"),"🔵 Official / contextual",IF(OR(I435="Definition",I435="Framework",I435="Paradigm shift"),"🟣 Conceptual key source",IF(AND(CJ435="Yes",CL435="Yes",OR(CG435="High",CG435="Moderate"),CH435&lt;&gt;"High",CH435&lt;&gt;"Critical",F435="Claim-ready"),"🟢 Claim-ready","🟡 Caution / context")))))</x:f>
      </x:c>
      <x:c r="D435" s="174"/>
      <x:c r="E435" s="174"/>
      <x:c r="F435" s="174"/>
      <x:c r="G435" s="174"/>
      <x:c r="H435" s="174"/>
      <x:c r="I435" s="174"/>
      <x:c r="J435" s="174"/>
      <x:c r="K435" s="174"/>
      <x:c r="L435" s="174"/>
      <x:c r="M435" s="174"/>
      <x:c r="N435" s="174"/>
      <x:c r="O435" s="176"/>
      <x:c r="P435" s="174"/>
      <x:c r="Q435" s="174"/>
      <x:c r="R435" s="174"/>
      <x:c r="S435" s="174"/>
      <x:c r="T435" s="174"/>
      <x:c r="U435" s="174"/>
      <x:c r="V435" s="174"/>
      <x:c r="W435" s="175" t="str">
        <x:f>IF(V435="","",LOWER(SUBSTITUTE(SUBSTITUTE(SUBSTITUTE(SUBSTITUTE(TRIM(V435),"https://doi.org/",""),"http://doi.org/",""),"https://dx.doi.org/",""),"doi:","")))</x:f>
      </x:c>
      <x:c r="X435" s="174"/>
      <x:c r="Y435" s="174"/>
      <x:c r="Z435" s="174"/>
      <x:c r="AA435" s="174"/>
      <x:c r="AB435" s="174"/>
      <x:c r="AC435" s="174"/>
      <x:c r="AD435" s="177"/>
      <x:c r="AE435" s="177"/>
      <x:c r="AF435" s="174"/>
      <x:c r="AG435" s="174"/>
      <x:c r="AH435" s="174"/>
      <x:c r="AI435" s="174"/>
      <x:c r="AJ435" s="174"/>
      <x:c r="AK435" s="175" t="str">
        <x:f>IF(AJ435="","",IF(OR(LOWER(AJ435)="brazil",LOWER(AJ435)="brasil"),"Yes","No"))</x:f>
      </x:c>
      <x:c r="AL435" s="174"/>
      <x:c r="AM435" s="174"/>
      <x:c r="AN435" s="174"/>
      <x:c r="AO435" s="178"/>
      <x:c r="AP435" s="174"/>
      <x:c r="AQ435" s="174"/>
      <x:c r="AR435" s="174"/>
      <x:c r="AS435" s="174"/>
      <x:c r="AT435" s="174"/>
      <x:c r="AU435" s="174"/>
      <x:c r="AV435" s="174"/>
      <x:c r="AW435" s="174"/>
      <x:c r="AX435" s="174"/>
      <x:c r="AY435" s="174"/>
      <x:c r="AZ435" s="174"/>
      <x:c r="BA435" s="174"/>
      <x:c r="BB435" s="174"/>
      <x:c r="BC435" s="174"/>
      <x:c r="BD435" s="174"/>
      <x:c r="BE435" s="174"/>
      <x:c r="BF435" s="174"/>
      <x:c r="BG435" s="174"/>
      <x:c r="BH435" s="174"/>
      <x:c r="BI435" s="174"/>
      <x:c r="BJ435" s="174"/>
      <x:c r="BK435" s="174"/>
      <x:c r="BL435" s="174"/>
      <x:c r="BM435" s="174"/>
      <x:c r="BN435" s="174"/>
      <x:c r="BO435" s="174"/>
      <x:c r="BP435" s="174"/>
      <x:c r="BQ435" s="174"/>
      <x:c r="BR435" s="174"/>
      <x:c r="BS435" s="174"/>
      <x:c r="BT435" s="174"/>
      <x:c r="BU435" s="174"/>
      <x:c r="BV435" s="174"/>
      <x:c r="BW435" s="174"/>
      <x:c r="BX435" s="174"/>
      <x:c r="BY435" s="174"/>
      <x:c r="BZ435" s="174"/>
      <x:c r="CA435" s="174"/>
      <x:c r="CB435" s="174"/>
      <x:c r="CC435" s="174"/>
      <x:c r="CD435" s="174"/>
      <x:c r="CE435" s="174"/>
      <x:c r="CF435" s="174"/>
      <x:c r="CG435" s="174"/>
      <x:c r="CH435" s="174"/>
      <x:c r="CI435" s="179"/>
      <x:c r="CJ435" s="174"/>
      <x:c r="CK435" s="174"/>
      <x:c r="CL435" s="174"/>
      <x:c r="CM435" s="174"/>
      <x:c r="CN435" s="174"/>
      <x:c r="CO435" s="177"/>
      <x:c r="CP435" s="174"/>
      <x:c r="CQ435" s="174"/>
      <x:c r="CR435" s="174"/>
      <x:c r="CS435" s="174"/>
      <x:c r="CT435" s="174"/>
      <x:c r="CU435" s="176"/>
      <x:c r="CV435" s="176"/>
      <x:c r="CW435" s="176"/>
      <x:c r="CX435" s="176"/>
      <x:c r="CY435" s="176"/>
      <x:c r="CZ435" s="176"/>
      <x:c r="DA435" s="176"/>
      <x:c r="DB435" s="175" t="str">
        <x:f>IF(L435="","",IF(COUNT(CU435:DA435)&lt;7,"",SUM(CU435:DA435)))</x:f>
      </x:c>
      <x:c r="DC435" s="180" t="str">
        <x:f>IF(DB435="","",ROUND(DB435/14*10,1))</x:f>
      </x:c>
      <x:c r="DD435" s="174"/>
      <x:c r="DE435" s="175" t="str">
        <x:f>IF(L435="","",IF(DC435="","Pending",IF(DD435="Yes","CONDITIONAL — safety override",IF(DC435&gt;=8,"HIGH",IF(DC435&gt;=5,"CONDITIONAL","LOW")))))</x:f>
      </x:c>
      <x:c r="DF435" s="174"/>
      <x:c r="DG435" s="174"/>
      <x:c r="DH435" s="174"/>
      <x:c r="DI435" s="174"/>
      <x:c r="DJ435" s="174"/>
      <x:c r="DK435" s="174"/>
      <x:c r="DL435" s="174"/>
      <x:c r="DM435" s="174"/>
      <x:c r="DN435" s="174"/>
      <x:c r="DO435" s="174"/>
      <x:c r="DP435" s="174"/>
      <x:c r="DQ435" s="174"/>
      <x:c r="DR435" s="174"/>
      <x:c r="DS435" s="174"/>
      <x:c r="DT435" s="174"/>
      <x:c r="DU435" s="174"/>
      <x:c r="DV435" s="174"/>
      <x:c r="DW435" s="174"/>
      <x:c r="DX435" s="174"/>
      <x:c r="DY435" s="174"/>
      <x:c r="DZ435" s="174"/>
      <x:c r="EA435" s="174"/>
      <x:c r="EB435" s="175" t="str">
        <x:f>IF(L435="","",IF(AND(F435="Claim-ready",CJ435="Yes",CL435="Yes",DZ435&lt;&gt;""),"Yes","No / Pending"))</x:f>
      </x:c>
      <x:c r="EC435" s="174"/>
      <x:c r="ED435" s="174"/>
      <x:c r="EE435" s="174"/>
      <x:c r="EF435" s="174"/>
      <x:c r="EG435" s="174"/>
      <x:c r="EH435" s="177"/>
      <x:c r="EI435" s="174"/>
      <x:c r="EJ435" s="174"/>
      <x:c r="EK435" s="174"/>
      <x:c r="EL435" s="177"/>
      <x:c r="EM435" s="174"/>
      <x:c r="EN435" s="181" t="str">
        <x:f>IF(L435="","",(IF(N435&lt;&gt;"",1,0)+IF(O435&lt;&gt;"",1,0)+IF(AJ435&lt;&gt;"",1,0)+IF(AU435&lt;&gt;"",1,0)+IF(BE435&lt;&gt;"",1,0)+IF(CF435&lt;&gt;"",1,0)+IF(CJ435="Yes",1,0)+IF(CL435="Yes",1,0)+IF(DE435&lt;&gt;"Pending",1,0)+IF(F435&lt;&gt;"",1,0)+IF(DZ435&lt;&gt;"",1,0)+IF(EI435&lt;&gt;"",1,0))/12)</x:f>
      </x:c>
    </x:row>
    <x:row r="436">
      <x:c r="A436" s="175" t="str">
        <x:f>IF(L436="","","EV-"&amp;TEXT(ROW()-3,"0000"))</x:f>
      </x:c>
      <x:c r="B436" s="174"/>
      <x:c r="C436" s="175" t="str">
        <x:f>IF(L436="","",IF(OR(CM436="Retracted",CN436="Retracted",F436="Not used"),"🔴 Do not use for conclusion",IF(OR(R436="Official / Institutional",I436="Official / contextual"),"🔵 Official / contextual",IF(OR(I436="Definition",I436="Framework",I436="Paradigm shift"),"🟣 Conceptual key source",IF(AND(CJ436="Yes",CL436="Yes",OR(CG436="High",CG436="Moderate"),CH436&lt;&gt;"High",CH436&lt;&gt;"Critical",F436="Claim-ready"),"🟢 Claim-ready","🟡 Caution / context")))))</x:f>
      </x:c>
      <x:c r="D436" s="174"/>
      <x:c r="E436" s="174"/>
      <x:c r="F436" s="174"/>
      <x:c r="G436" s="174"/>
      <x:c r="H436" s="174"/>
      <x:c r="I436" s="174"/>
      <x:c r="J436" s="174"/>
      <x:c r="K436" s="174"/>
      <x:c r="L436" s="174"/>
      <x:c r="M436" s="174"/>
      <x:c r="N436" s="174"/>
      <x:c r="O436" s="176"/>
      <x:c r="P436" s="174"/>
      <x:c r="Q436" s="174"/>
      <x:c r="R436" s="174"/>
      <x:c r="S436" s="174"/>
      <x:c r="T436" s="174"/>
      <x:c r="U436" s="174"/>
      <x:c r="V436" s="174"/>
      <x:c r="W436" s="175" t="str">
        <x:f>IF(V436="","",LOWER(SUBSTITUTE(SUBSTITUTE(SUBSTITUTE(SUBSTITUTE(TRIM(V436),"https://doi.org/",""),"http://doi.org/",""),"https://dx.doi.org/",""),"doi:","")))</x:f>
      </x:c>
      <x:c r="X436" s="174"/>
      <x:c r="Y436" s="174"/>
      <x:c r="Z436" s="174"/>
      <x:c r="AA436" s="174"/>
      <x:c r="AB436" s="174"/>
      <x:c r="AC436" s="174"/>
      <x:c r="AD436" s="177"/>
      <x:c r="AE436" s="177"/>
      <x:c r="AF436" s="174"/>
      <x:c r="AG436" s="174"/>
      <x:c r="AH436" s="174"/>
      <x:c r="AI436" s="174"/>
      <x:c r="AJ436" s="174"/>
      <x:c r="AK436" s="175" t="str">
        <x:f>IF(AJ436="","",IF(OR(LOWER(AJ436)="brazil",LOWER(AJ436)="brasil"),"Yes","No"))</x:f>
      </x:c>
      <x:c r="AL436" s="174"/>
      <x:c r="AM436" s="174"/>
      <x:c r="AN436" s="174"/>
      <x:c r="AO436" s="178"/>
      <x:c r="AP436" s="174"/>
      <x:c r="AQ436" s="174"/>
      <x:c r="AR436" s="174"/>
      <x:c r="AS436" s="174"/>
      <x:c r="AT436" s="174"/>
      <x:c r="AU436" s="174"/>
      <x:c r="AV436" s="174"/>
      <x:c r="AW436" s="174"/>
      <x:c r="AX436" s="174"/>
      <x:c r="AY436" s="174"/>
      <x:c r="AZ436" s="174"/>
      <x:c r="BA436" s="174"/>
      <x:c r="BB436" s="174"/>
      <x:c r="BC436" s="174"/>
      <x:c r="BD436" s="174"/>
      <x:c r="BE436" s="174"/>
      <x:c r="BF436" s="174"/>
      <x:c r="BG436" s="174"/>
      <x:c r="BH436" s="174"/>
      <x:c r="BI436" s="174"/>
      <x:c r="BJ436" s="174"/>
      <x:c r="BK436" s="174"/>
      <x:c r="BL436" s="174"/>
      <x:c r="BM436" s="174"/>
      <x:c r="BN436" s="174"/>
      <x:c r="BO436" s="174"/>
      <x:c r="BP436" s="174"/>
      <x:c r="BQ436" s="174"/>
      <x:c r="BR436" s="174"/>
      <x:c r="BS436" s="174"/>
      <x:c r="BT436" s="174"/>
      <x:c r="BU436" s="174"/>
      <x:c r="BV436" s="174"/>
      <x:c r="BW436" s="174"/>
      <x:c r="BX436" s="174"/>
      <x:c r="BY436" s="174"/>
      <x:c r="BZ436" s="174"/>
      <x:c r="CA436" s="174"/>
      <x:c r="CB436" s="174"/>
      <x:c r="CC436" s="174"/>
      <x:c r="CD436" s="174"/>
      <x:c r="CE436" s="174"/>
      <x:c r="CF436" s="174"/>
      <x:c r="CG436" s="174"/>
      <x:c r="CH436" s="174"/>
      <x:c r="CI436" s="179"/>
      <x:c r="CJ436" s="174"/>
      <x:c r="CK436" s="174"/>
      <x:c r="CL436" s="174"/>
      <x:c r="CM436" s="174"/>
      <x:c r="CN436" s="174"/>
      <x:c r="CO436" s="177"/>
      <x:c r="CP436" s="174"/>
      <x:c r="CQ436" s="174"/>
      <x:c r="CR436" s="174"/>
      <x:c r="CS436" s="174"/>
      <x:c r="CT436" s="174"/>
      <x:c r="CU436" s="176"/>
      <x:c r="CV436" s="176"/>
      <x:c r="CW436" s="176"/>
      <x:c r="CX436" s="176"/>
      <x:c r="CY436" s="176"/>
      <x:c r="CZ436" s="176"/>
      <x:c r="DA436" s="176"/>
      <x:c r="DB436" s="175" t="str">
        <x:f>IF(L436="","",IF(COUNT(CU436:DA436)&lt;7,"",SUM(CU436:DA436)))</x:f>
      </x:c>
      <x:c r="DC436" s="180" t="str">
        <x:f>IF(DB436="","",ROUND(DB436/14*10,1))</x:f>
      </x:c>
      <x:c r="DD436" s="174"/>
      <x:c r="DE436" s="175" t="str">
        <x:f>IF(L436="","",IF(DC436="","Pending",IF(DD436="Yes","CONDITIONAL — safety override",IF(DC436&gt;=8,"HIGH",IF(DC436&gt;=5,"CONDITIONAL","LOW")))))</x:f>
      </x:c>
      <x:c r="DF436" s="174"/>
      <x:c r="DG436" s="174"/>
      <x:c r="DH436" s="174"/>
      <x:c r="DI436" s="174"/>
      <x:c r="DJ436" s="174"/>
      <x:c r="DK436" s="174"/>
      <x:c r="DL436" s="174"/>
      <x:c r="DM436" s="174"/>
      <x:c r="DN436" s="174"/>
      <x:c r="DO436" s="174"/>
      <x:c r="DP436" s="174"/>
      <x:c r="DQ436" s="174"/>
      <x:c r="DR436" s="174"/>
      <x:c r="DS436" s="174"/>
      <x:c r="DT436" s="174"/>
      <x:c r="DU436" s="174"/>
      <x:c r="DV436" s="174"/>
      <x:c r="DW436" s="174"/>
      <x:c r="DX436" s="174"/>
      <x:c r="DY436" s="174"/>
      <x:c r="DZ436" s="174"/>
      <x:c r="EA436" s="174"/>
      <x:c r="EB436" s="175" t="str">
        <x:f>IF(L436="","",IF(AND(F436="Claim-ready",CJ436="Yes",CL436="Yes",DZ436&lt;&gt;""),"Yes","No / Pending"))</x:f>
      </x:c>
      <x:c r="EC436" s="174"/>
      <x:c r="ED436" s="174"/>
      <x:c r="EE436" s="174"/>
      <x:c r="EF436" s="174"/>
      <x:c r="EG436" s="174"/>
      <x:c r="EH436" s="177"/>
      <x:c r="EI436" s="174"/>
      <x:c r="EJ436" s="174"/>
      <x:c r="EK436" s="174"/>
      <x:c r="EL436" s="177"/>
      <x:c r="EM436" s="174"/>
      <x:c r="EN436" s="181" t="str">
        <x:f>IF(L436="","",(IF(N436&lt;&gt;"",1,0)+IF(O436&lt;&gt;"",1,0)+IF(AJ436&lt;&gt;"",1,0)+IF(AU436&lt;&gt;"",1,0)+IF(BE436&lt;&gt;"",1,0)+IF(CF436&lt;&gt;"",1,0)+IF(CJ436="Yes",1,0)+IF(CL436="Yes",1,0)+IF(DE436&lt;&gt;"Pending",1,0)+IF(F436&lt;&gt;"",1,0)+IF(DZ436&lt;&gt;"",1,0)+IF(EI436&lt;&gt;"",1,0))/12)</x:f>
      </x:c>
    </x:row>
    <x:row r="437">
      <x:c r="A437" s="175" t="str">
        <x:f>IF(L437="","","EV-"&amp;TEXT(ROW()-3,"0000"))</x:f>
      </x:c>
      <x:c r="B437" s="174"/>
      <x:c r="C437" s="175" t="str">
        <x:f>IF(L437="","",IF(OR(CM437="Retracted",CN437="Retracted",F437="Not used"),"🔴 Do not use for conclusion",IF(OR(R437="Official / Institutional",I437="Official / contextual"),"🔵 Official / contextual",IF(OR(I437="Definition",I437="Framework",I437="Paradigm shift"),"🟣 Conceptual key source",IF(AND(CJ437="Yes",CL437="Yes",OR(CG437="High",CG437="Moderate"),CH437&lt;&gt;"High",CH437&lt;&gt;"Critical",F437="Claim-ready"),"🟢 Claim-ready","🟡 Caution / context")))))</x:f>
      </x:c>
      <x:c r="D437" s="174"/>
      <x:c r="E437" s="174"/>
      <x:c r="F437" s="174"/>
      <x:c r="G437" s="174"/>
      <x:c r="H437" s="174"/>
      <x:c r="I437" s="174"/>
      <x:c r="J437" s="174"/>
      <x:c r="K437" s="174"/>
      <x:c r="L437" s="174"/>
      <x:c r="M437" s="174"/>
      <x:c r="N437" s="174"/>
      <x:c r="O437" s="176"/>
      <x:c r="P437" s="174"/>
      <x:c r="Q437" s="174"/>
      <x:c r="R437" s="174"/>
      <x:c r="S437" s="174"/>
      <x:c r="T437" s="174"/>
      <x:c r="U437" s="174"/>
      <x:c r="V437" s="174"/>
      <x:c r="W437" s="175" t="str">
        <x:f>IF(V437="","",LOWER(SUBSTITUTE(SUBSTITUTE(SUBSTITUTE(SUBSTITUTE(TRIM(V437),"https://doi.org/",""),"http://doi.org/",""),"https://dx.doi.org/",""),"doi:","")))</x:f>
      </x:c>
      <x:c r="X437" s="174"/>
      <x:c r="Y437" s="174"/>
      <x:c r="Z437" s="174"/>
      <x:c r="AA437" s="174"/>
      <x:c r="AB437" s="174"/>
      <x:c r="AC437" s="174"/>
      <x:c r="AD437" s="177"/>
      <x:c r="AE437" s="177"/>
      <x:c r="AF437" s="174"/>
      <x:c r="AG437" s="174"/>
      <x:c r="AH437" s="174"/>
      <x:c r="AI437" s="174"/>
      <x:c r="AJ437" s="174"/>
      <x:c r="AK437" s="175" t="str">
        <x:f>IF(AJ437="","",IF(OR(LOWER(AJ437)="brazil",LOWER(AJ437)="brasil"),"Yes","No"))</x:f>
      </x:c>
      <x:c r="AL437" s="174"/>
      <x:c r="AM437" s="174"/>
      <x:c r="AN437" s="174"/>
      <x:c r="AO437" s="178"/>
      <x:c r="AP437" s="174"/>
      <x:c r="AQ437" s="174"/>
      <x:c r="AR437" s="174"/>
      <x:c r="AS437" s="174"/>
      <x:c r="AT437" s="174"/>
      <x:c r="AU437" s="174"/>
      <x:c r="AV437" s="174"/>
      <x:c r="AW437" s="174"/>
      <x:c r="AX437" s="174"/>
      <x:c r="AY437" s="174"/>
      <x:c r="AZ437" s="174"/>
      <x:c r="BA437" s="174"/>
      <x:c r="BB437" s="174"/>
      <x:c r="BC437" s="174"/>
      <x:c r="BD437" s="174"/>
      <x:c r="BE437" s="174"/>
      <x:c r="BF437" s="174"/>
      <x:c r="BG437" s="174"/>
      <x:c r="BH437" s="174"/>
      <x:c r="BI437" s="174"/>
      <x:c r="BJ437" s="174"/>
      <x:c r="BK437" s="174"/>
      <x:c r="BL437" s="174"/>
      <x:c r="BM437" s="174"/>
      <x:c r="BN437" s="174"/>
      <x:c r="BO437" s="174"/>
      <x:c r="BP437" s="174"/>
      <x:c r="BQ437" s="174"/>
      <x:c r="BR437" s="174"/>
      <x:c r="BS437" s="174"/>
      <x:c r="BT437" s="174"/>
      <x:c r="BU437" s="174"/>
      <x:c r="BV437" s="174"/>
      <x:c r="BW437" s="174"/>
      <x:c r="BX437" s="174"/>
      <x:c r="BY437" s="174"/>
      <x:c r="BZ437" s="174"/>
      <x:c r="CA437" s="174"/>
      <x:c r="CB437" s="174"/>
      <x:c r="CC437" s="174"/>
      <x:c r="CD437" s="174"/>
      <x:c r="CE437" s="174"/>
      <x:c r="CF437" s="174"/>
      <x:c r="CG437" s="174"/>
      <x:c r="CH437" s="174"/>
      <x:c r="CI437" s="179"/>
      <x:c r="CJ437" s="174"/>
      <x:c r="CK437" s="174"/>
      <x:c r="CL437" s="174"/>
      <x:c r="CM437" s="174"/>
      <x:c r="CN437" s="174"/>
      <x:c r="CO437" s="177"/>
      <x:c r="CP437" s="174"/>
      <x:c r="CQ437" s="174"/>
      <x:c r="CR437" s="174"/>
      <x:c r="CS437" s="174"/>
      <x:c r="CT437" s="174"/>
      <x:c r="CU437" s="176"/>
      <x:c r="CV437" s="176"/>
      <x:c r="CW437" s="176"/>
      <x:c r="CX437" s="176"/>
      <x:c r="CY437" s="176"/>
      <x:c r="CZ437" s="176"/>
      <x:c r="DA437" s="176"/>
      <x:c r="DB437" s="175" t="str">
        <x:f>IF(L437="","",IF(COUNT(CU437:DA437)&lt;7,"",SUM(CU437:DA437)))</x:f>
      </x:c>
      <x:c r="DC437" s="180" t="str">
        <x:f>IF(DB437="","",ROUND(DB437/14*10,1))</x:f>
      </x:c>
      <x:c r="DD437" s="174"/>
      <x:c r="DE437" s="175" t="str">
        <x:f>IF(L437="","",IF(DC437="","Pending",IF(DD437="Yes","CONDITIONAL — safety override",IF(DC437&gt;=8,"HIGH",IF(DC437&gt;=5,"CONDITIONAL","LOW")))))</x:f>
      </x:c>
      <x:c r="DF437" s="174"/>
      <x:c r="DG437" s="174"/>
      <x:c r="DH437" s="174"/>
      <x:c r="DI437" s="174"/>
      <x:c r="DJ437" s="174"/>
      <x:c r="DK437" s="174"/>
      <x:c r="DL437" s="174"/>
      <x:c r="DM437" s="174"/>
      <x:c r="DN437" s="174"/>
      <x:c r="DO437" s="174"/>
      <x:c r="DP437" s="174"/>
      <x:c r="DQ437" s="174"/>
      <x:c r="DR437" s="174"/>
      <x:c r="DS437" s="174"/>
      <x:c r="DT437" s="174"/>
      <x:c r="DU437" s="174"/>
      <x:c r="DV437" s="174"/>
      <x:c r="DW437" s="174"/>
      <x:c r="DX437" s="174"/>
      <x:c r="DY437" s="174"/>
      <x:c r="DZ437" s="174"/>
      <x:c r="EA437" s="174"/>
      <x:c r="EB437" s="175" t="str">
        <x:f>IF(L437="","",IF(AND(F437="Claim-ready",CJ437="Yes",CL437="Yes",DZ437&lt;&gt;""),"Yes","No / Pending"))</x:f>
      </x:c>
      <x:c r="EC437" s="174"/>
      <x:c r="ED437" s="174"/>
      <x:c r="EE437" s="174"/>
      <x:c r="EF437" s="174"/>
      <x:c r="EG437" s="174"/>
      <x:c r="EH437" s="177"/>
      <x:c r="EI437" s="174"/>
      <x:c r="EJ437" s="174"/>
      <x:c r="EK437" s="174"/>
      <x:c r="EL437" s="177"/>
      <x:c r="EM437" s="174"/>
      <x:c r="EN437" s="181" t="str">
        <x:f>IF(L437="","",(IF(N437&lt;&gt;"",1,0)+IF(O437&lt;&gt;"",1,0)+IF(AJ437&lt;&gt;"",1,0)+IF(AU437&lt;&gt;"",1,0)+IF(BE437&lt;&gt;"",1,0)+IF(CF437&lt;&gt;"",1,0)+IF(CJ437="Yes",1,0)+IF(CL437="Yes",1,0)+IF(DE437&lt;&gt;"Pending",1,0)+IF(F437&lt;&gt;"",1,0)+IF(DZ437&lt;&gt;"",1,0)+IF(EI437&lt;&gt;"",1,0))/12)</x:f>
      </x:c>
    </x:row>
    <x:row r="438">
      <x:c r="A438" s="175" t="str">
        <x:f>IF(L438="","","EV-"&amp;TEXT(ROW()-3,"0000"))</x:f>
      </x:c>
      <x:c r="B438" s="174"/>
      <x:c r="C438" s="175" t="str">
        <x:f>IF(L438="","",IF(OR(CM438="Retracted",CN438="Retracted",F438="Not used"),"🔴 Do not use for conclusion",IF(OR(R438="Official / Institutional",I438="Official / contextual"),"🔵 Official / contextual",IF(OR(I438="Definition",I438="Framework",I438="Paradigm shift"),"🟣 Conceptual key source",IF(AND(CJ438="Yes",CL438="Yes",OR(CG438="High",CG438="Moderate"),CH438&lt;&gt;"High",CH438&lt;&gt;"Critical",F438="Claim-ready"),"🟢 Claim-ready","🟡 Caution / context")))))</x:f>
      </x:c>
      <x:c r="D438" s="174"/>
      <x:c r="E438" s="174"/>
      <x:c r="F438" s="174"/>
      <x:c r="G438" s="174"/>
      <x:c r="H438" s="174"/>
      <x:c r="I438" s="174"/>
      <x:c r="J438" s="174"/>
      <x:c r="K438" s="174"/>
      <x:c r="L438" s="174"/>
      <x:c r="M438" s="174"/>
      <x:c r="N438" s="174"/>
      <x:c r="O438" s="176"/>
      <x:c r="P438" s="174"/>
      <x:c r="Q438" s="174"/>
      <x:c r="R438" s="174"/>
      <x:c r="S438" s="174"/>
      <x:c r="T438" s="174"/>
      <x:c r="U438" s="174"/>
      <x:c r="V438" s="174"/>
      <x:c r="W438" s="175" t="str">
        <x:f>IF(V438="","",LOWER(SUBSTITUTE(SUBSTITUTE(SUBSTITUTE(SUBSTITUTE(TRIM(V438),"https://doi.org/",""),"http://doi.org/",""),"https://dx.doi.org/",""),"doi:","")))</x:f>
      </x:c>
      <x:c r="X438" s="174"/>
      <x:c r="Y438" s="174"/>
      <x:c r="Z438" s="174"/>
      <x:c r="AA438" s="174"/>
      <x:c r="AB438" s="174"/>
      <x:c r="AC438" s="174"/>
      <x:c r="AD438" s="177"/>
      <x:c r="AE438" s="177"/>
      <x:c r="AF438" s="174"/>
      <x:c r="AG438" s="174"/>
      <x:c r="AH438" s="174"/>
      <x:c r="AI438" s="174"/>
      <x:c r="AJ438" s="174"/>
      <x:c r="AK438" s="175" t="str">
        <x:f>IF(AJ438="","",IF(OR(LOWER(AJ438)="brazil",LOWER(AJ438)="brasil"),"Yes","No"))</x:f>
      </x:c>
      <x:c r="AL438" s="174"/>
      <x:c r="AM438" s="174"/>
      <x:c r="AN438" s="174"/>
      <x:c r="AO438" s="178"/>
      <x:c r="AP438" s="174"/>
      <x:c r="AQ438" s="174"/>
      <x:c r="AR438" s="174"/>
      <x:c r="AS438" s="174"/>
      <x:c r="AT438" s="174"/>
      <x:c r="AU438" s="174"/>
      <x:c r="AV438" s="174"/>
      <x:c r="AW438" s="174"/>
      <x:c r="AX438" s="174"/>
      <x:c r="AY438" s="174"/>
      <x:c r="AZ438" s="174"/>
      <x:c r="BA438" s="174"/>
      <x:c r="BB438" s="174"/>
      <x:c r="BC438" s="174"/>
      <x:c r="BD438" s="174"/>
      <x:c r="BE438" s="174"/>
      <x:c r="BF438" s="174"/>
      <x:c r="BG438" s="174"/>
      <x:c r="BH438" s="174"/>
      <x:c r="BI438" s="174"/>
      <x:c r="BJ438" s="174"/>
      <x:c r="BK438" s="174"/>
      <x:c r="BL438" s="174"/>
      <x:c r="BM438" s="174"/>
      <x:c r="BN438" s="174"/>
      <x:c r="BO438" s="174"/>
      <x:c r="BP438" s="174"/>
      <x:c r="BQ438" s="174"/>
      <x:c r="BR438" s="174"/>
      <x:c r="BS438" s="174"/>
      <x:c r="BT438" s="174"/>
      <x:c r="BU438" s="174"/>
      <x:c r="BV438" s="174"/>
      <x:c r="BW438" s="174"/>
      <x:c r="BX438" s="174"/>
      <x:c r="BY438" s="174"/>
      <x:c r="BZ438" s="174"/>
      <x:c r="CA438" s="174"/>
      <x:c r="CB438" s="174"/>
      <x:c r="CC438" s="174"/>
      <x:c r="CD438" s="174"/>
      <x:c r="CE438" s="174"/>
      <x:c r="CF438" s="174"/>
      <x:c r="CG438" s="174"/>
      <x:c r="CH438" s="174"/>
      <x:c r="CI438" s="179"/>
      <x:c r="CJ438" s="174"/>
      <x:c r="CK438" s="174"/>
      <x:c r="CL438" s="174"/>
      <x:c r="CM438" s="174"/>
      <x:c r="CN438" s="174"/>
      <x:c r="CO438" s="177"/>
      <x:c r="CP438" s="174"/>
      <x:c r="CQ438" s="174"/>
      <x:c r="CR438" s="174"/>
      <x:c r="CS438" s="174"/>
      <x:c r="CT438" s="174"/>
      <x:c r="CU438" s="176"/>
      <x:c r="CV438" s="176"/>
      <x:c r="CW438" s="176"/>
      <x:c r="CX438" s="176"/>
      <x:c r="CY438" s="176"/>
      <x:c r="CZ438" s="176"/>
      <x:c r="DA438" s="176"/>
      <x:c r="DB438" s="175" t="str">
        <x:f>IF(L438="","",IF(COUNT(CU438:DA438)&lt;7,"",SUM(CU438:DA438)))</x:f>
      </x:c>
      <x:c r="DC438" s="180" t="str">
        <x:f>IF(DB438="","",ROUND(DB438/14*10,1))</x:f>
      </x:c>
      <x:c r="DD438" s="174"/>
      <x:c r="DE438" s="175" t="str">
        <x:f>IF(L438="","",IF(DC438="","Pending",IF(DD438="Yes","CONDITIONAL — safety override",IF(DC438&gt;=8,"HIGH",IF(DC438&gt;=5,"CONDITIONAL","LOW")))))</x:f>
      </x:c>
      <x:c r="DF438" s="174"/>
      <x:c r="DG438" s="174"/>
      <x:c r="DH438" s="174"/>
      <x:c r="DI438" s="174"/>
      <x:c r="DJ438" s="174"/>
      <x:c r="DK438" s="174"/>
      <x:c r="DL438" s="174"/>
      <x:c r="DM438" s="174"/>
      <x:c r="DN438" s="174"/>
      <x:c r="DO438" s="174"/>
      <x:c r="DP438" s="174"/>
      <x:c r="DQ438" s="174"/>
      <x:c r="DR438" s="174"/>
      <x:c r="DS438" s="174"/>
      <x:c r="DT438" s="174"/>
      <x:c r="DU438" s="174"/>
      <x:c r="DV438" s="174"/>
      <x:c r="DW438" s="174"/>
      <x:c r="DX438" s="174"/>
      <x:c r="DY438" s="174"/>
      <x:c r="DZ438" s="174"/>
      <x:c r="EA438" s="174"/>
      <x:c r="EB438" s="175" t="str">
        <x:f>IF(L438="","",IF(AND(F438="Claim-ready",CJ438="Yes",CL438="Yes",DZ438&lt;&gt;""),"Yes","No / Pending"))</x:f>
      </x:c>
      <x:c r="EC438" s="174"/>
      <x:c r="ED438" s="174"/>
      <x:c r="EE438" s="174"/>
      <x:c r="EF438" s="174"/>
      <x:c r="EG438" s="174"/>
      <x:c r="EH438" s="177"/>
      <x:c r="EI438" s="174"/>
      <x:c r="EJ438" s="174"/>
      <x:c r="EK438" s="174"/>
      <x:c r="EL438" s="177"/>
      <x:c r="EM438" s="174"/>
      <x:c r="EN438" s="181" t="str">
        <x:f>IF(L438="","",(IF(N438&lt;&gt;"",1,0)+IF(O438&lt;&gt;"",1,0)+IF(AJ438&lt;&gt;"",1,0)+IF(AU438&lt;&gt;"",1,0)+IF(BE438&lt;&gt;"",1,0)+IF(CF438&lt;&gt;"",1,0)+IF(CJ438="Yes",1,0)+IF(CL438="Yes",1,0)+IF(DE438&lt;&gt;"Pending",1,0)+IF(F438&lt;&gt;"",1,0)+IF(DZ438&lt;&gt;"",1,0)+IF(EI438&lt;&gt;"",1,0))/12)</x:f>
      </x:c>
    </x:row>
    <x:row r="439">
      <x:c r="A439" s="175" t="str">
        <x:f>IF(L439="","","EV-"&amp;TEXT(ROW()-3,"0000"))</x:f>
      </x:c>
      <x:c r="B439" s="174"/>
      <x:c r="C439" s="175" t="str">
        <x:f>IF(L439="","",IF(OR(CM439="Retracted",CN439="Retracted",F439="Not used"),"🔴 Do not use for conclusion",IF(OR(R439="Official / Institutional",I439="Official / contextual"),"🔵 Official / contextual",IF(OR(I439="Definition",I439="Framework",I439="Paradigm shift"),"🟣 Conceptual key source",IF(AND(CJ439="Yes",CL439="Yes",OR(CG439="High",CG439="Moderate"),CH439&lt;&gt;"High",CH439&lt;&gt;"Critical",F439="Claim-ready"),"🟢 Claim-ready","🟡 Caution / context")))))</x:f>
      </x:c>
      <x:c r="D439" s="174"/>
      <x:c r="E439" s="174"/>
      <x:c r="F439" s="174"/>
      <x:c r="G439" s="174"/>
      <x:c r="H439" s="174"/>
      <x:c r="I439" s="174"/>
      <x:c r="J439" s="174"/>
      <x:c r="K439" s="174"/>
      <x:c r="L439" s="174"/>
      <x:c r="M439" s="174"/>
      <x:c r="N439" s="174"/>
      <x:c r="O439" s="176"/>
      <x:c r="P439" s="174"/>
      <x:c r="Q439" s="174"/>
      <x:c r="R439" s="174"/>
      <x:c r="S439" s="174"/>
      <x:c r="T439" s="174"/>
      <x:c r="U439" s="174"/>
      <x:c r="V439" s="174"/>
      <x:c r="W439" s="175" t="str">
        <x:f>IF(V439="","",LOWER(SUBSTITUTE(SUBSTITUTE(SUBSTITUTE(SUBSTITUTE(TRIM(V439),"https://doi.org/",""),"http://doi.org/",""),"https://dx.doi.org/",""),"doi:","")))</x:f>
      </x:c>
      <x:c r="X439" s="174"/>
      <x:c r="Y439" s="174"/>
      <x:c r="Z439" s="174"/>
      <x:c r="AA439" s="174"/>
      <x:c r="AB439" s="174"/>
      <x:c r="AC439" s="174"/>
      <x:c r="AD439" s="177"/>
      <x:c r="AE439" s="177"/>
      <x:c r="AF439" s="174"/>
      <x:c r="AG439" s="174"/>
      <x:c r="AH439" s="174"/>
      <x:c r="AI439" s="174"/>
      <x:c r="AJ439" s="174"/>
      <x:c r="AK439" s="175" t="str">
        <x:f>IF(AJ439="","",IF(OR(LOWER(AJ439)="brazil",LOWER(AJ439)="brasil"),"Yes","No"))</x:f>
      </x:c>
      <x:c r="AL439" s="174"/>
      <x:c r="AM439" s="174"/>
      <x:c r="AN439" s="174"/>
      <x:c r="AO439" s="178"/>
      <x:c r="AP439" s="174"/>
      <x:c r="AQ439" s="174"/>
      <x:c r="AR439" s="174"/>
      <x:c r="AS439" s="174"/>
      <x:c r="AT439" s="174"/>
      <x:c r="AU439" s="174"/>
      <x:c r="AV439" s="174"/>
      <x:c r="AW439" s="174"/>
      <x:c r="AX439" s="174"/>
      <x:c r="AY439" s="174"/>
      <x:c r="AZ439" s="174"/>
      <x:c r="BA439" s="174"/>
      <x:c r="BB439" s="174"/>
      <x:c r="BC439" s="174"/>
      <x:c r="BD439" s="174"/>
      <x:c r="BE439" s="174"/>
      <x:c r="BF439" s="174"/>
      <x:c r="BG439" s="174"/>
      <x:c r="BH439" s="174"/>
      <x:c r="BI439" s="174"/>
      <x:c r="BJ439" s="174"/>
      <x:c r="BK439" s="174"/>
      <x:c r="BL439" s="174"/>
      <x:c r="BM439" s="174"/>
      <x:c r="BN439" s="174"/>
      <x:c r="BO439" s="174"/>
      <x:c r="BP439" s="174"/>
      <x:c r="BQ439" s="174"/>
      <x:c r="BR439" s="174"/>
      <x:c r="BS439" s="174"/>
      <x:c r="BT439" s="174"/>
      <x:c r="BU439" s="174"/>
      <x:c r="BV439" s="174"/>
      <x:c r="BW439" s="174"/>
      <x:c r="BX439" s="174"/>
      <x:c r="BY439" s="174"/>
      <x:c r="BZ439" s="174"/>
      <x:c r="CA439" s="174"/>
      <x:c r="CB439" s="174"/>
      <x:c r="CC439" s="174"/>
      <x:c r="CD439" s="174"/>
      <x:c r="CE439" s="174"/>
      <x:c r="CF439" s="174"/>
      <x:c r="CG439" s="174"/>
      <x:c r="CH439" s="174"/>
      <x:c r="CI439" s="179"/>
      <x:c r="CJ439" s="174"/>
      <x:c r="CK439" s="174"/>
      <x:c r="CL439" s="174"/>
      <x:c r="CM439" s="174"/>
      <x:c r="CN439" s="174"/>
      <x:c r="CO439" s="177"/>
      <x:c r="CP439" s="174"/>
      <x:c r="CQ439" s="174"/>
      <x:c r="CR439" s="174"/>
      <x:c r="CS439" s="174"/>
      <x:c r="CT439" s="174"/>
      <x:c r="CU439" s="176"/>
      <x:c r="CV439" s="176"/>
      <x:c r="CW439" s="176"/>
      <x:c r="CX439" s="176"/>
      <x:c r="CY439" s="176"/>
      <x:c r="CZ439" s="176"/>
      <x:c r="DA439" s="176"/>
      <x:c r="DB439" s="175" t="str">
        <x:f>IF(L439="","",IF(COUNT(CU439:DA439)&lt;7,"",SUM(CU439:DA439)))</x:f>
      </x:c>
      <x:c r="DC439" s="180" t="str">
        <x:f>IF(DB439="","",ROUND(DB439/14*10,1))</x:f>
      </x:c>
      <x:c r="DD439" s="174"/>
      <x:c r="DE439" s="175" t="str">
        <x:f>IF(L439="","",IF(DC439="","Pending",IF(DD439="Yes","CONDITIONAL — safety override",IF(DC439&gt;=8,"HIGH",IF(DC439&gt;=5,"CONDITIONAL","LOW")))))</x:f>
      </x:c>
      <x:c r="DF439" s="174"/>
      <x:c r="DG439" s="174"/>
      <x:c r="DH439" s="174"/>
      <x:c r="DI439" s="174"/>
      <x:c r="DJ439" s="174"/>
      <x:c r="DK439" s="174"/>
      <x:c r="DL439" s="174"/>
      <x:c r="DM439" s="174"/>
      <x:c r="DN439" s="174"/>
      <x:c r="DO439" s="174"/>
      <x:c r="DP439" s="174"/>
      <x:c r="DQ439" s="174"/>
      <x:c r="DR439" s="174"/>
      <x:c r="DS439" s="174"/>
      <x:c r="DT439" s="174"/>
      <x:c r="DU439" s="174"/>
      <x:c r="DV439" s="174"/>
      <x:c r="DW439" s="174"/>
      <x:c r="DX439" s="174"/>
      <x:c r="DY439" s="174"/>
      <x:c r="DZ439" s="174"/>
      <x:c r="EA439" s="174"/>
      <x:c r="EB439" s="175" t="str">
        <x:f>IF(L439="","",IF(AND(F439="Claim-ready",CJ439="Yes",CL439="Yes",DZ439&lt;&gt;""),"Yes","No / Pending"))</x:f>
      </x:c>
      <x:c r="EC439" s="174"/>
      <x:c r="ED439" s="174"/>
      <x:c r="EE439" s="174"/>
      <x:c r="EF439" s="174"/>
      <x:c r="EG439" s="174"/>
      <x:c r="EH439" s="177"/>
      <x:c r="EI439" s="174"/>
      <x:c r="EJ439" s="174"/>
      <x:c r="EK439" s="174"/>
      <x:c r="EL439" s="177"/>
      <x:c r="EM439" s="174"/>
      <x:c r="EN439" s="181" t="str">
        <x:f>IF(L439="","",(IF(N439&lt;&gt;"",1,0)+IF(O439&lt;&gt;"",1,0)+IF(AJ439&lt;&gt;"",1,0)+IF(AU439&lt;&gt;"",1,0)+IF(BE439&lt;&gt;"",1,0)+IF(CF439&lt;&gt;"",1,0)+IF(CJ439="Yes",1,0)+IF(CL439="Yes",1,0)+IF(DE439&lt;&gt;"Pending",1,0)+IF(F439&lt;&gt;"",1,0)+IF(DZ439&lt;&gt;"",1,0)+IF(EI439&lt;&gt;"",1,0))/12)</x:f>
      </x:c>
    </x:row>
    <x:row r="440">
      <x:c r="A440" s="175" t="str">
        <x:f>IF(L440="","","EV-"&amp;TEXT(ROW()-3,"0000"))</x:f>
      </x:c>
      <x:c r="B440" s="174"/>
      <x:c r="C440" s="175" t="str">
        <x:f>IF(L440="","",IF(OR(CM440="Retracted",CN440="Retracted",F440="Not used"),"🔴 Do not use for conclusion",IF(OR(R440="Official / Institutional",I440="Official / contextual"),"🔵 Official / contextual",IF(OR(I440="Definition",I440="Framework",I440="Paradigm shift"),"🟣 Conceptual key source",IF(AND(CJ440="Yes",CL440="Yes",OR(CG440="High",CG440="Moderate"),CH440&lt;&gt;"High",CH440&lt;&gt;"Critical",F440="Claim-ready"),"🟢 Claim-ready","🟡 Caution / context")))))</x:f>
      </x:c>
      <x:c r="D440" s="174"/>
      <x:c r="E440" s="174"/>
      <x:c r="F440" s="174"/>
      <x:c r="G440" s="174"/>
      <x:c r="H440" s="174"/>
      <x:c r="I440" s="174"/>
      <x:c r="J440" s="174"/>
      <x:c r="K440" s="174"/>
      <x:c r="L440" s="174"/>
      <x:c r="M440" s="174"/>
      <x:c r="N440" s="174"/>
      <x:c r="O440" s="176"/>
      <x:c r="P440" s="174"/>
      <x:c r="Q440" s="174"/>
      <x:c r="R440" s="174"/>
      <x:c r="S440" s="174"/>
      <x:c r="T440" s="174"/>
      <x:c r="U440" s="174"/>
      <x:c r="V440" s="174"/>
      <x:c r="W440" s="175" t="str">
        <x:f>IF(V440="","",LOWER(SUBSTITUTE(SUBSTITUTE(SUBSTITUTE(SUBSTITUTE(TRIM(V440),"https://doi.org/",""),"http://doi.org/",""),"https://dx.doi.org/",""),"doi:","")))</x:f>
      </x:c>
      <x:c r="X440" s="174"/>
      <x:c r="Y440" s="174"/>
      <x:c r="Z440" s="174"/>
      <x:c r="AA440" s="174"/>
      <x:c r="AB440" s="174"/>
      <x:c r="AC440" s="174"/>
      <x:c r="AD440" s="177"/>
      <x:c r="AE440" s="177"/>
      <x:c r="AF440" s="174"/>
      <x:c r="AG440" s="174"/>
      <x:c r="AH440" s="174"/>
      <x:c r="AI440" s="174"/>
      <x:c r="AJ440" s="174"/>
      <x:c r="AK440" s="175" t="str">
        <x:f>IF(AJ440="","",IF(OR(LOWER(AJ440)="brazil",LOWER(AJ440)="brasil"),"Yes","No"))</x:f>
      </x:c>
      <x:c r="AL440" s="174"/>
      <x:c r="AM440" s="174"/>
      <x:c r="AN440" s="174"/>
      <x:c r="AO440" s="178"/>
      <x:c r="AP440" s="174"/>
      <x:c r="AQ440" s="174"/>
      <x:c r="AR440" s="174"/>
      <x:c r="AS440" s="174"/>
      <x:c r="AT440" s="174"/>
      <x:c r="AU440" s="174"/>
      <x:c r="AV440" s="174"/>
      <x:c r="AW440" s="174"/>
      <x:c r="AX440" s="174"/>
      <x:c r="AY440" s="174"/>
      <x:c r="AZ440" s="174"/>
      <x:c r="BA440" s="174"/>
      <x:c r="BB440" s="174"/>
      <x:c r="BC440" s="174"/>
      <x:c r="BD440" s="174"/>
      <x:c r="BE440" s="174"/>
      <x:c r="BF440" s="174"/>
      <x:c r="BG440" s="174"/>
      <x:c r="BH440" s="174"/>
      <x:c r="BI440" s="174"/>
      <x:c r="BJ440" s="174"/>
      <x:c r="BK440" s="174"/>
      <x:c r="BL440" s="174"/>
      <x:c r="BM440" s="174"/>
      <x:c r="BN440" s="174"/>
      <x:c r="BO440" s="174"/>
      <x:c r="BP440" s="174"/>
      <x:c r="BQ440" s="174"/>
      <x:c r="BR440" s="174"/>
      <x:c r="BS440" s="174"/>
      <x:c r="BT440" s="174"/>
      <x:c r="BU440" s="174"/>
      <x:c r="BV440" s="174"/>
      <x:c r="BW440" s="174"/>
      <x:c r="BX440" s="174"/>
      <x:c r="BY440" s="174"/>
      <x:c r="BZ440" s="174"/>
      <x:c r="CA440" s="174"/>
      <x:c r="CB440" s="174"/>
      <x:c r="CC440" s="174"/>
      <x:c r="CD440" s="174"/>
      <x:c r="CE440" s="174"/>
      <x:c r="CF440" s="174"/>
      <x:c r="CG440" s="174"/>
      <x:c r="CH440" s="174"/>
      <x:c r="CI440" s="179"/>
      <x:c r="CJ440" s="174"/>
      <x:c r="CK440" s="174"/>
      <x:c r="CL440" s="174"/>
      <x:c r="CM440" s="174"/>
      <x:c r="CN440" s="174"/>
      <x:c r="CO440" s="177"/>
      <x:c r="CP440" s="174"/>
      <x:c r="CQ440" s="174"/>
      <x:c r="CR440" s="174"/>
      <x:c r="CS440" s="174"/>
      <x:c r="CT440" s="174"/>
      <x:c r="CU440" s="176"/>
      <x:c r="CV440" s="176"/>
      <x:c r="CW440" s="176"/>
      <x:c r="CX440" s="176"/>
      <x:c r="CY440" s="176"/>
      <x:c r="CZ440" s="176"/>
      <x:c r="DA440" s="176"/>
      <x:c r="DB440" s="175" t="str">
        <x:f>IF(L440="","",IF(COUNT(CU440:DA440)&lt;7,"",SUM(CU440:DA440)))</x:f>
      </x:c>
      <x:c r="DC440" s="180" t="str">
        <x:f>IF(DB440="","",ROUND(DB440/14*10,1))</x:f>
      </x:c>
      <x:c r="DD440" s="174"/>
      <x:c r="DE440" s="175" t="str">
        <x:f>IF(L440="","",IF(DC440="","Pending",IF(DD440="Yes","CONDITIONAL — safety override",IF(DC440&gt;=8,"HIGH",IF(DC440&gt;=5,"CONDITIONAL","LOW")))))</x:f>
      </x:c>
      <x:c r="DF440" s="174"/>
      <x:c r="DG440" s="174"/>
      <x:c r="DH440" s="174"/>
      <x:c r="DI440" s="174"/>
      <x:c r="DJ440" s="174"/>
      <x:c r="DK440" s="174"/>
      <x:c r="DL440" s="174"/>
      <x:c r="DM440" s="174"/>
      <x:c r="DN440" s="174"/>
      <x:c r="DO440" s="174"/>
      <x:c r="DP440" s="174"/>
      <x:c r="DQ440" s="174"/>
      <x:c r="DR440" s="174"/>
      <x:c r="DS440" s="174"/>
      <x:c r="DT440" s="174"/>
      <x:c r="DU440" s="174"/>
      <x:c r="DV440" s="174"/>
      <x:c r="DW440" s="174"/>
      <x:c r="DX440" s="174"/>
      <x:c r="DY440" s="174"/>
      <x:c r="DZ440" s="174"/>
      <x:c r="EA440" s="174"/>
      <x:c r="EB440" s="175" t="str">
        <x:f>IF(L440="","",IF(AND(F440="Claim-ready",CJ440="Yes",CL440="Yes",DZ440&lt;&gt;""),"Yes","No / Pending"))</x:f>
      </x:c>
      <x:c r="EC440" s="174"/>
      <x:c r="ED440" s="174"/>
      <x:c r="EE440" s="174"/>
      <x:c r="EF440" s="174"/>
      <x:c r="EG440" s="174"/>
      <x:c r="EH440" s="177"/>
      <x:c r="EI440" s="174"/>
      <x:c r="EJ440" s="174"/>
      <x:c r="EK440" s="174"/>
      <x:c r="EL440" s="177"/>
      <x:c r="EM440" s="174"/>
      <x:c r="EN440" s="181" t="str">
        <x:f>IF(L440="","",(IF(N440&lt;&gt;"",1,0)+IF(O440&lt;&gt;"",1,0)+IF(AJ440&lt;&gt;"",1,0)+IF(AU440&lt;&gt;"",1,0)+IF(BE440&lt;&gt;"",1,0)+IF(CF440&lt;&gt;"",1,0)+IF(CJ440="Yes",1,0)+IF(CL440="Yes",1,0)+IF(DE440&lt;&gt;"Pending",1,0)+IF(F440&lt;&gt;"",1,0)+IF(DZ440&lt;&gt;"",1,0)+IF(EI440&lt;&gt;"",1,0))/12)</x:f>
      </x:c>
    </x:row>
    <x:row r="441">
      <x:c r="A441" s="175" t="str">
        <x:f>IF(L441="","","EV-"&amp;TEXT(ROW()-3,"0000"))</x:f>
      </x:c>
      <x:c r="B441" s="174"/>
      <x:c r="C441" s="175" t="str">
        <x:f>IF(L441="","",IF(OR(CM441="Retracted",CN441="Retracted",F441="Not used"),"🔴 Do not use for conclusion",IF(OR(R441="Official / Institutional",I441="Official / contextual"),"🔵 Official / contextual",IF(OR(I441="Definition",I441="Framework",I441="Paradigm shift"),"🟣 Conceptual key source",IF(AND(CJ441="Yes",CL441="Yes",OR(CG441="High",CG441="Moderate"),CH441&lt;&gt;"High",CH441&lt;&gt;"Critical",F441="Claim-ready"),"🟢 Claim-ready","🟡 Caution / context")))))</x:f>
      </x:c>
      <x:c r="D441" s="174"/>
      <x:c r="E441" s="174"/>
      <x:c r="F441" s="174"/>
      <x:c r="G441" s="174"/>
      <x:c r="H441" s="174"/>
      <x:c r="I441" s="174"/>
      <x:c r="J441" s="174"/>
      <x:c r="K441" s="174"/>
      <x:c r="L441" s="174"/>
      <x:c r="M441" s="174"/>
      <x:c r="N441" s="174"/>
      <x:c r="O441" s="176"/>
      <x:c r="P441" s="174"/>
      <x:c r="Q441" s="174"/>
      <x:c r="R441" s="174"/>
      <x:c r="S441" s="174"/>
      <x:c r="T441" s="174"/>
      <x:c r="U441" s="174"/>
      <x:c r="V441" s="174"/>
      <x:c r="W441" s="175" t="str">
        <x:f>IF(V441="","",LOWER(SUBSTITUTE(SUBSTITUTE(SUBSTITUTE(SUBSTITUTE(TRIM(V441),"https://doi.org/",""),"http://doi.org/",""),"https://dx.doi.org/",""),"doi:","")))</x:f>
      </x:c>
      <x:c r="X441" s="174"/>
      <x:c r="Y441" s="174"/>
      <x:c r="Z441" s="174"/>
      <x:c r="AA441" s="174"/>
      <x:c r="AB441" s="174"/>
      <x:c r="AC441" s="174"/>
      <x:c r="AD441" s="177"/>
      <x:c r="AE441" s="177"/>
      <x:c r="AF441" s="174"/>
      <x:c r="AG441" s="174"/>
      <x:c r="AH441" s="174"/>
      <x:c r="AI441" s="174"/>
      <x:c r="AJ441" s="174"/>
      <x:c r="AK441" s="175" t="str">
        <x:f>IF(AJ441="","",IF(OR(LOWER(AJ441)="brazil",LOWER(AJ441)="brasil"),"Yes","No"))</x:f>
      </x:c>
      <x:c r="AL441" s="174"/>
      <x:c r="AM441" s="174"/>
      <x:c r="AN441" s="174"/>
      <x:c r="AO441" s="178"/>
      <x:c r="AP441" s="174"/>
      <x:c r="AQ441" s="174"/>
      <x:c r="AR441" s="174"/>
      <x:c r="AS441" s="174"/>
      <x:c r="AT441" s="174"/>
      <x:c r="AU441" s="174"/>
      <x:c r="AV441" s="174"/>
      <x:c r="AW441" s="174"/>
      <x:c r="AX441" s="174"/>
      <x:c r="AY441" s="174"/>
      <x:c r="AZ441" s="174"/>
      <x:c r="BA441" s="174"/>
      <x:c r="BB441" s="174"/>
      <x:c r="BC441" s="174"/>
      <x:c r="BD441" s="174"/>
      <x:c r="BE441" s="174"/>
      <x:c r="BF441" s="174"/>
      <x:c r="BG441" s="174"/>
      <x:c r="BH441" s="174"/>
      <x:c r="BI441" s="174"/>
      <x:c r="BJ441" s="174"/>
      <x:c r="BK441" s="174"/>
      <x:c r="BL441" s="174"/>
      <x:c r="BM441" s="174"/>
      <x:c r="BN441" s="174"/>
      <x:c r="BO441" s="174"/>
      <x:c r="BP441" s="174"/>
      <x:c r="BQ441" s="174"/>
      <x:c r="BR441" s="174"/>
      <x:c r="BS441" s="174"/>
      <x:c r="BT441" s="174"/>
      <x:c r="BU441" s="174"/>
      <x:c r="BV441" s="174"/>
      <x:c r="BW441" s="174"/>
      <x:c r="BX441" s="174"/>
      <x:c r="BY441" s="174"/>
      <x:c r="BZ441" s="174"/>
      <x:c r="CA441" s="174"/>
      <x:c r="CB441" s="174"/>
      <x:c r="CC441" s="174"/>
      <x:c r="CD441" s="174"/>
      <x:c r="CE441" s="174"/>
      <x:c r="CF441" s="174"/>
      <x:c r="CG441" s="174"/>
      <x:c r="CH441" s="174"/>
      <x:c r="CI441" s="179"/>
      <x:c r="CJ441" s="174"/>
      <x:c r="CK441" s="174"/>
      <x:c r="CL441" s="174"/>
      <x:c r="CM441" s="174"/>
      <x:c r="CN441" s="174"/>
      <x:c r="CO441" s="177"/>
      <x:c r="CP441" s="174"/>
      <x:c r="CQ441" s="174"/>
      <x:c r="CR441" s="174"/>
      <x:c r="CS441" s="174"/>
      <x:c r="CT441" s="174"/>
      <x:c r="CU441" s="176"/>
      <x:c r="CV441" s="176"/>
      <x:c r="CW441" s="176"/>
      <x:c r="CX441" s="176"/>
      <x:c r="CY441" s="176"/>
      <x:c r="CZ441" s="176"/>
      <x:c r="DA441" s="176"/>
      <x:c r="DB441" s="175" t="str">
        <x:f>IF(L441="","",IF(COUNT(CU441:DA441)&lt;7,"",SUM(CU441:DA441)))</x:f>
      </x:c>
      <x:c r="DC441" s="180" t="str">
        <x:f>IF(DB441="","",ROUND(DB441/14*10,1))</x:f>
      </x:c>
      <x:c r="DD441" s="174"/>
      <x:c r="DE441" s="175" t="str">
        <x:f>IF(L441="","",IF(DC441="","Pending",IF(DD441="Yes","CONDITIONAL — safety override",IF(DC441&gt;=8,"HIGH",IF(DC441&gt;=5,"CONDITIONAL","LOW")))))</x:f>
      </x:c>
      <x:c r="DF441" s="174"/>
      <x:c r="DG441" s="174"/>
      <x:c r="DH441" s="174"/>
      <x:c r="DI441" s="174"/>
      <x:c r="DJ441" s="174"/>
      <x:c r="DK441" s="174"/>
      <x:c r="DL441" s="174"/>
      <x:c r="DM441" s="174"/>
      <x:c r="DN441" s="174"/>
      <x:c r="DO441" s="174"/>
      <x:c r="DP441" s="174"/>
      <x:c r="DQ441" s="174"/>
      <x:c r="DR441" s="174"/>
      <x:c r="DS441" s="174"/>
      <x:c r="DT441" s="174"/>
      <x:c r="DU441" s="174"/>
      <x:c r="DV441" s="174"/>
      <x:c r="DW441" s="174"/>
      <x:c r="DX441" s="174"/>
      <x:c r="DY441" s="174"/>
      <x:c r="DZ441" s="174"/>
      <x:c r="EA441" s="174"/>
      <x:c r="EB441" s="175" t="str">
        <x:f>IF(L441="","",IF(AND(F441="Claim-ready",CJ441="Yes",CL441="Yes",DZ441&lt;&gt;""),"Yes","No / Pending"))</x:f>
      </x:c>
      <x:c r="EC441" s="174"/>
      <x:c r="ED441" s="174"/>
      <x:c r="EE441" s="174"/>
      <x:c r="EF441" s="174"/>
      <x:c r="EG441" s="174"/>
      <x:c r="EH441" s="177"/>
      <x:c r="EI441" s="174"/>
      <x:c r="EJ441" s="174"/>
      <x:c r="EK441" s="174"/>
      <x:c r="EL441" s="177"/>
      <x:c r="EM441" s="174"/>
      <x:c r="EN441" s="181" t="str">
        <x:f>IF(L441="","",(IF(N441&lt;&gt;"",1,0)+IF(O441&lt;&gt;"",1,0)+IF(AJ441&lt;&gt;"",1,0)+IF(AU441&lt;&gt;"",1,0)+IF(BE441&lt;&gt;"",1,0)+IF(CF441&lt;&gt;"",1,0)+IF(CJ441="Yes",1,0)+IF(CL441="Yes",1,0)+IF(DE441&lt;&gt;"Pending",1,0)+IF(F441&lt;&gt;"",1,0)+IF(DZ441&lt;&gt;"",1,0)+IF(EI441&lt;&gt;"",1,0))/12)</x:f>
      </x:c>
    </x:row>
    <x:row r="442">
      <x:c r="A442" s="175" t="str">
        <x:f>IF(L442="","","EV-"&amp;TEXT(ROW()-3,"0000"))</x:f>
      </x:c>
      <x:c r="B442" s="174"/>
      <x:c r="C442" s="175" t="str">
        <x:f>IF(L442="","",IF(OR(CM442="Retracted",CN442="Retracted",F442="Not used"),"🔴 Do not use for conclusion",IF(OR(R442="Official / Institutional",I442="Official / contextual"),"🔵 Official / contextual",IF(OR(I442="Definition",I442="Framework",I442="Paradigm shift"),"🟣 Conceptual key source",IF(AND(CJ442="Yes",CL442="Yes",OR(CG442="High",CG442="Moderate"),CH442&lt;&gt;"High",CH442&lt;&gt;"Critical",F442="Claim-ready"),"🟢 Claim-ready","🟡 Caution / context")))))</x:f>
      </x:c>
      <x:c r="D442" s="174"/>
      <x:c r="E442" s="174"/>
      <x:c r="F442" s="174"/>
      <x:c r="G442" s="174"/>
      <x:c r="H442" s="174"/>
      <x:c r="I442" s="174"/>
      <x:c r="J442" s="174"/>
      <x:c r="K442" s="174"/>
      <x:c r="L442" s="174"/>
      <x:c r="M442" s="174"/>
      <x:c r="N442" s="174"/>
      <x:c r="O442" s="176"/>
      <x:c r="P442" s="174"/>
      <x:c r="Q442" s="174"/>
      <x:c r="R442" s="174"/>
      <x:c r="S442" s="174"/>
      <x:c r="T442" s="174"/>
      <x:c r="U442" s="174"/>
      <x:c r="V442" s="174"/>
      <x:c r="W442" s="175" t="str">
        <x:f>IF(V442="","",LOWER(SUBSTITUTE(SUBSTITUTE(SUBSTITUTE(SUBSTITUTE(TRIM(V442),"https://doi.org/",""),"http://doi.org/",""),"https://dx.doi.org/",""),"doi:","")))</x:f>
      </x:c>
      <x:c r="X442" s="174"/>
      <x:c r="Y442" s="174"/>
      <x:c r="Z442" s="174"/>
      <x:c r="AA442" s="174"/>
      <x:c r="AB442" s="174"/>
      <x:c r="AC442" s="174"/>
      <x:c r="AD442" s="177"/>
      <x:c r="AE442" s="177"/>
      <x:c r="AF442" s="174"/>
      <x:c r="AG442" s="174"/>
      <x:c r="AH442" s="174"/>
      <x:c r="AI442" s="174"/>
      <x:c r="AJ442" s="174"/>
      <x:c r="AK442" s="175" t="str">
        <x:f>IF(AJ442="","",IF(OR(LOWER(AJ442)="brazil",LOWER(AJ442)="brasil"),"Yes","No"))</x:f>
      </x:c>
      <x:c r="AL442" s="174"/>
      <x:c r="AM442" s="174"/>
      <x:c r="AN442" s="174"/>
      <x:c r="AO442" s="178"/>
      <x:c r="AP442" s="174"/>
      <x:c r="AQ442" s="174"/>
      <x:c r="AR442" s="174"/>
      <x:c r="AS442" s="174"/>
      <x:c r="AT442" s="174"/>
      <x:c r="AU442" s="174"/>
      <x:c r="AV442" s="174"/>
      <x:c r="AW442" s="174"/>
      <x:c r="AX442" s="174"/>
      <x:c r="AY442" s="174"/>
      <x:c r="AZ442" s="174"/>
      <x:c r="BA442" s="174"/>
      <x:c r="BB442" s="174"/>
      <x:c r="BC442" s="174"/>
      <x:c r="BD442" s="174"/>
      <x:c r="BE442" s="174"/>
      <x:c r="BF442" s="174"/>
      <x:c r="BG442" s="174"/>
      <x:c r="BH442" s="174"/>
      <x:c r="BI442" s="174"/>
      <x:c r="BJ442" s="174"/>
      <x:c r="BK442" s="174"/>
      <x:c r="BL442" s="174"/>
      <x:c r="BM442" s="174"/>
      <x:c r="BN442" s="174"/>
      <x:c r="BO442" s="174"/>
      <x:c r="BP442" s="174"/>
      <x:c r="BQ442" s="174"/>
      <x:c r="BR442" s="174"/>
      <x:c r="BS442" s="174"/>
      <x:c r="BT442" s="174"/>
      <x:c r="BU442" s="174"/>
      <x:c r="BV442" s="174"/>
      <x:c r="BW442" s="174"/>
      <x:c r="BX442" s="174"/>
      <x:c r="BY442" s="174"/>
      <x:c r="BZ442" s="174"/>
      <x:c r="CA442" s="174"/>
      <x:c r="CB442" s="174"/>
      <x:c r="CC442" s="174"/>
      <x:c r="CD442" s="174"/>
      <x:c r="CE442" s="174"/>
      <x:c r="CF442" s="174"/>
      <x:c r="CG442" s="174"/>
      <x:c r="CH442" s="174"/>
      <x:c r="CI442" s="179"/>
      <x:c r="CJ442" s="174"/>
      <x:c r="CK442" s="174"/>
      <x:c r="CL442" s="174"/>
      <x:c r="CM442" s="174"/>
      <x:c r="CN442" s="174"/>
      <x:c r="CO442" s="177"/>
      <x:c r="CP442" s="174"/>
      <x:c r="CQ442" s="174"/>
      <x:c r="CR442" s="174"/>
      <x:c r="CS442" s="174"/>
      <x:c r="CT442" s="174"/>
      <x:c r="CU442" s="176"/>
      <x:c r="CV442" s="176"/>
      <x:c r="CW442" s="176"/>
      <x:c r="CX442" s="176"/>
      <x:c r="CY442" s="176"/>
      <x:c r="CZ442" s="176"/>
      <x:c r="DA442" s="176"/>
      <x:c r="DB442" s="175" t="str">
        <x:f>IF(L442="","",IF(COUNT(CU442:DA442)&lt;7,"",SUM(CU442:DA442)))</x:f>
      </x:c>
      <x:c r="DC442" s="180" t="str">
        <x:f>IF(DB442="","",ROUND(DB442/14*10,1))</x:f>
      </x:c>
      <x:c r="DD442" s="174"/>
      <x:c r="DE442" s="175" t="str">
        <x:f>IF(L442="","",IF(DC442="","Pending",IF(DD442="Yes","CONDITIONAL — safety override",IF(DC442&gt;=8,"HIGH",IF(DC442&gt;=5,"CONDITIONAL","LOW")))))</x:f>
      </x:c>
      <x:c r="DF442" s="174"/>
      <x:c r="DG442" s="174"/>
      <x:c r="DH442" s="174"/>
      <x:c r="DI442" s="174"/>
      <x:c r="DJ442" s="174"/>
      <x:c r="DK442" s="174"/>
      <x:c r="DL442" s="174"/>
      <x:c r="DM442" s="174"/>
      <x:c r="DN442" s="174"/>
      <x:c r="DO442" s="174"/>
      <x:c r="DP442" s="174"/>
      <x:c r="DQ442" s="174"/>
      <x:c r="DR442" s="174"/>
      <x:c r="DS442" s="174"/>
      <x:c r="DT442" s="174"/>
      <x:c r="DU442" s="174"/>
      <x:c r="DV442" s="174"/>
      <x:c r="DW442" s="174"/>
      <x:c r="DX442" s="174"/>
      <x:c r="DY442" s="174"/>
      <x:c r="DZ442" s="174"/>
      <x:c r="EA442" s="174"/>
      <x:c r="EB442" s="175" t="str">
        <x:f>IF(L442="","",IF(AND(F442="Claim-ready",CJ442="Yes",CL442="Yes",DZ442&lt;&gt;""),"Yes","No / Pending"))</x:f>
      </x:c>
      <x:c r="EC442" s="174"/>
      <x:c r="ED442" s="174"/>
      <x:c r="EE442" s="174"/>
      <x:c r="EF442" s="174"/>
      <x:c r="EG442" s="174"/>
      <x:c r="EH442" s="177"/>
      <x:c r="EI442" s="174"/>
      <x:c r="EJ442" s="174"/>
      <x:c r="EK442" s="174"/>
      <x:c r="EL442" s="177"/>
      <x:c r="EM442" s="174"/>
      <x:c r="EN442" s="181" t="str">
        <x:f>IF(L442="","",(IF(N442&lt;&gt;"",1,0)+IF(O442&lt;&gt;"",1,0)+IF(AJ442&lt;&gt;"",1,0)+IF(AU442&lt;&gt;"",1,0)+IF(BE442&lt;&gt;"",1,0)+IF(CF442&lt;&gt;"",1,0)+IF(CJ442="Yes",1,0)+IF(CL442="Yes",1,0)+IF(DE442&lt;&gt;"Pending",1,0)+IF(F442&lt;&gt;"",1,0)+IF(DZ442&lt;&gt;"",1,0)+IF(EI442&lt;&gt;"",1,0))/12)</x:f>
      </x:c>
    </x:row>
    <x:row r="443">
      <x:c r="A443" s="175" t="str">
        <x:f>IF(L443="","","EV-"&amp;TEXT(ROW()-3,"0000"))</x:f>
      </x:c>
      <x:c r="B443" s="174"/>
      <x:c r="C443" s="175" t="str">
        <x:f>IF(L443="","",IF(OR(CM443="Retracted",CN443="Retracted",F443="Not used"),"🔴 Do not use for conclusion",IF(OR(R443="Official / Institutional",I443="Official / contextual"),"🔵 Official / contextual",IF(OR(I443="Definition",I443="Framework",I443="Paradigm shift"),"🟣 Conceptual key source",IF(AND(CJ443="Yes",CL443="Yes",OR(CG443="High",CG443="Moderate"),CH443&lt;&gt;"High",CH443&lt;&gt;"Critical",F443="Claim-ready"),"🟢 Claim-ready","🟡 Caution / context")))))</x:f>
      </x:c>
      <x:c r="D443" s="174"/>
      <x:c r="E443" s="174"/>
      <x:c r="F443" s="174"/>
      <x:c r="G443" s="174"/>
      <x:c r="H443" s="174"/>
      <x:c r="I443" s="174"/>
      <x:c r="J443" s="174"/>
      <x:c r="K443" s="174"/>
      <x:c r="L443" s="174"/>
      <x:c r="M443" s="174"/>
      <x:c r="N443" s="174"/>
      <x:c r="O443" s="176"/>
      <x:c r="P443" s="174"/>
      <x:c r="Q443" s="174"/>
      <x:c r="R443" s="174"/>
      <x:c r="S443" s="174"/>
      <x:c r="T443" s="174"/>
      <x:c r="U443" s="174"/>
      <x:c r="V443" s="174"/>
      <x:c r="W443" s="175" t="str">
        <x:f>IF(V443="","",LOWER(SUBSTITUTE(SUBSTITUTE(SUBSTITUTE(SUBSTITUTE(TRIM(V443),"https://doi.org/",""),"http://doi.org/",""),"https://dx.doi.org/",""),"doi:","")))</x:f>
      </x:c>
      <x:c r="X443" s="174"/>
      <x:c r="Y443" s="174"/>
      <x:c r="Z443" s="174"/>
      <x:c r="AA443" s="174"/>
      <x:c r="AB443" s="174"/>
      <x:c r="AC443" s="174"/>
      <x:c r="AD443" s="177"/>
      <x:c r="AE443" s="177"/>
      <x:c r="AF443" s="174"/>
      <x:c r="AG443" s="174"/>
      <x:c r="AH443" s="174"/>
      <x:c r="AI443" s="174"/>
      <x:c r="AJ443" s="174"/>
      <x:c r="AK443" s="175" t="str">
        <x:f>IF(AJ443="","",IF(OR(LOWER(AJ443)="brazil",LOWER(AJ443)="brasil"),"Yes","No"))</x:f>
      </x:c>
      <x:c r="AL443" s="174"/>
      <x:c r="AM443" s="174"/>
      <x:c r="AN443" s="174"/>
      <x:c r="AO443" s="178"/>
      <x:c r="AP443" s="174"/>
      <x:c r="AQ443" s="174"/>
      <x:c r="AR443" s="174"/>
      <x:c r="AS443" s="174"/>
      <x:c r="AT443" s="174"/>
      <x:c r="AU443" s="174"/>
      <x:c r="AV443" s="174"/>
      <x:c r="AW443" s="174"/>
      <x:c r="AX443" s="174"/>
      <x:c r="AY443" s="174"/>
      <x:c r="AZ443" s="174"/>
      <x:c r="BA443" s="174"/>
      <x:c r="BB443" s="174"/>
      <x:c r="BC443" s="174"/>
      <x:c r="BD443" s="174"/>
      <x:c r="BE443" s="174"/>
      <x:c r="BF443" s="174"/>
      <x:c r="BG443" s="174"/>
      <x:c r="BH443" s="174"/>
      <x:c r="BI443" s="174"/>
      <x:c r="BJ443" s="174"/>
      <x:c r="BK443" s="174"/>
      <x:c r="BL443" s="174"/>
      <x:c r="BM443" s="174"/>
      <x:c r="BN443" s="174"/>
      <x:c r="BO443" s="174"/>
      <x:c r="BP443" s="174"/>
      <x:c r="BQ443" s="174"/>
      <x:c r="BR443" s="174"/>
      <x:c r="BS443" s="174"/>
      <x:c r="BT443" s="174"/>
      <x:c r="BU443" s="174"/>
      <x:c r="BV443" s="174"/>
      <x:c r="BW443" s="174"/>
      <x:c r="BX443" s="174"/>
      <x:c r="BY443" s="174"/>
      <x:c r="BZ443" s="174"/>
      <x:c r="CA443" s="174"/>
      <x:c r="CB443" s="174"/>
      <x:c r="CC443" s="174"/>
      <x:c r="CD443" s="174"/>
      <x:c r="CE443" s="174"/>
      <x:c r="CF443" s="174"/>
      <x:c r="CG443" s="174"/>
      <x:c r="CH443" s="174"/>
      <x:c r="CI443" s="179"/>
      <x:c r="CJ443" s="174"/>
      <x:c r="CK443" s="174"/>
      <x:c r="CL443" s="174"/>
      <x:c r="CM443" s="174"/>
      <x:c r="CN443" s="174"/>
      <x:c r="CO443" s="177"/>
      <x:c r="CP443" s="174"/>
      <x:c r="CQ443" s="174"/>
      <x:c r="CR443" s="174"/>
      <x:c r="CS443" s="174"/>
      <x:c r="CT443" s="174"/>
      <x:c r="CU443" s="176"/>
      <x:c r="CV443" s="176"/>
      <x:c r="CW443" s="176"/>
      <x:c r="CX443" s="176"/>
      <x:c r="CY443" s="176"/>
      <x:c r="CZ443" s="176"/>
      <x:c r="DA443" s="176"/>
      <x:c r="DB443" s="175" t="str">
        <x:f>IF(L443="","",IF(COUNT(CU443:DA443)&lt;7,"",SUM(CU443:DA443)))</x:f>
      </x:c>
      <x:c r="DC443" s="180" t="str">
        <x:f>IF(DB443="","",ROUND(DB443/14*10,1))</x:f>
      </x:c>
      <x:c r="DD443" s="174"/>
      <x:c r="DE443" s="175" t="str">
        <x:f>IF(L443="","",IF(DC443="","Pending",IF(DD443="Yes","CONDITIONAL — safety override",IF(DC443&gt;=8,"HIGH",IF(DC443&gt;=5,"CONDITIONAL","LOW")))))</x:f>
      </x:c>
      <x:c r="DF443" s="174"/>
      <x:c r="DG443" s="174"/>
      <x:c r="DH443" s="174"/>
      <x:c r="DI443" s="174"/>
      <x:c r="DJ443" s="174"/>
      <x:c r="DK443" s="174"/>
      <x:c r="DL443" s="174"/>
      <x:c r="DM443" s="174"/>
      <x:c r="DN443" s="174"/>
      <x:c r="DO443" s="174"/>
      <x:c r="DP443" s="174"/>
      <x:c r="DQ443" s="174"/>
      <x:c r="DR443" s="174"/>
      <x:c r="DS443" s="174"/>
      <x:c r="DT443" s="174"/>
      <x:c r="DU443" s="174"/>
      <x:c r="DV443" s="174"/>
      <x:c r="DW443" s="174"/>
      <x:c r="DX443" s="174"/>
      <x:c r="DY443" s="174"/>
      <x:c r="DZ443" s="174"/>
      <x:c r="EA443" s="174"/>
      <x:c r="EB443" s="175" t="str">
        <x:f>IF(L443="","",IF(AND(F443="Claim-ready",CJ443="Yes",CL443="Yes",DZ443&lt;&gt;""),"Yes","No / Pending"))</x:f>
      </x:c>
      <x:c r="EC443" s="174"/>
      <x:c r="ED443" s="174"/>
      <x:c r="EE443" s="174"/>
      <x:c r="EF443" s="174"/>
      <x:c r="EG443" s="174"/>
      <x:c r="EH443" s="177"/>
      <x:c r="EI443" s="174"/>
      <x:c r="EJ443" s="174"/>
      <x:c r="EK443" s="174"/>
      <x:c r="EL443" s="177"/>
      <x:c r="EM443" s="174"/>
      <x:c r="EN443" s="181" t="str">
        <x:f>IF(L443="","",(IF(N443&lt;&gt;"",1,0)+IF(O443&lt;&gt;"",1,0)+IF(AJ443&lt;&gt;"",1,0)+IF(AU443&lt;&gt;"",1,0)+IF(BE443&lt;&gt;"",1,0)+IF(CF443&lt;&gt;"",1,0)+IF(CJ443="Yes",1,0)+IF(CL443="Yes",1,0)+IF(DE443&lt;&gt;"Pending",1,0)+IF(F443&lt;&gt;"",1,0)+IF(DZ443&lt;&gt;"",1,0)+IF(EI443&lt;&gt;"",1,0))/12)</x:f>
      </x:c>
    </x:row>
    <x:row r="444">
      <x:c r="A444" s="175" t="str">
        <x:f>IF(L444="","","EV-"&amp;TEXT(ROW()-3,"0000"))</x:f>
      </x:c>
      <x:c r="B444" s="174"/>
      <x:c r="C444" s="175" t="str">
        <x:f>IF(L444="","",IF(OR(CM444="Retracted",CN444="Retracted",F444="Not used"),"🔴 Do not use for conclusion",IF(OR(R444="Official / Institutional",I444="Official / contextual"),"🔵 Official / contextual",IF(OR(I444="Definition",I444="Framework",I444="Paradigm shift"),"🟣 Conceptual key source",IF(AND(CJ444="Yes",CL444="Yes",OR(CG444="High",CG444="Moderate"),CH444&lt;&gt;"High",CH444&lt;&gt;"Critical",F444="Claim-ready"),"🟢 Claim-ready","🟡 Caution / context")))))</x:f>
      </x:c>
      <x:c r="D444" s="174"/>
      <x:c r="E444" s="174"/>
      <x:c r="F444" s="174"/>
      <x:c r="G444" s="174"/>
      <x:c r="H444" s="174"/>
      <x:c r="I444" s="174"/>
      <x:c r="J444" s="174"/>
      <x:c r="K444" s="174"/>
      <x:c r="L444" s="174"/>
      <x:c r="M444" s="174"/>
      <x:c r="N444" s="174"/>
      <x:c r="O444" s="176"/>
      <x:c r="P444" s="174"/>
      <x:c r="Q444" s="174"/>
      <x:c r="R444" s="174"/>
      <x:c r="S444" s="174"/>
      <x:c r="T444" s="174"/>
      <x:c r="U444" s="174"/>
      <x:c r="V444" s="174"/>
      <x:c r="W444" s="175" t="str">
        <x:f>IF(V444="","",LOWER(SUBSTITUTE(SUBSTITUTE(SUBSTITUTE(SUBSTITUTE(TRIM(V444),"https://doi.org/",""),"http://doi.org/",""),"https://dx.doi.org/",""),"doi:","")))</x:f>
      </x:c>
      <x:c r="X444" s="174"/>
      <x:c r="Y444" s="174"/>
      <x:c r="Z444" s="174"/>
      <x:c r="AA444" s="174"/>
      <x:c r="AB444" s="174"/>
      <x:c r="AC444" s="174"/>
      <x:c r="AD444" s="177"/>
      <x:c r="AE444" s="177"/>
      <x:c r="AF444" s="174"/>
      <x:c r="AG444" s="174"/>
      <x:c r="AH444" s="174"/>
      <x:c r="AI444" s="174"/>
      <x:c r="AJ444" s="174"/>
      <x:c r="AK444" s="175" t="str">
        <x:f>IF(AJ444="","",IF(OR(LOWER(AJ444)="brazil",LOWER(AJ444)="brasil"),"Yes","No"))</x:f>
      </x:c>
      <x:c r="AL444" s="174"/>
      <x:c r="AM444" s="174"/>
      <x:c r="AN444" s="174"/>
      <x:c r="AO444" s="178"/>
      <x:c r="AP444" s="174"/>
      <x:c r="AQ444" s="174"/>
      <x:c r="AR444" s="174"/>
      <x:c r="AS444" s="174"/>
      <x:c r="AT444" s="174"/>
      <x:c r="AU444" s="174"/>
      <x:c r="AV444" s="174"/>
      <x:c r="AW444" s="174"/>
      <x:c r="AX444" s="174"/>
      <x:c r="AY444" s="174"/>
      <x:c r="AZ444" s="174"/>
      <x:c r="BA444" s="174"/>
      <x:c r="BB444" s="174"/>
      <x:c r="BC444" s="174"/>
      <x:c r="BD444" s="174"/>
      <x:c r="BE444" s="174"/>
      <x:c r="BF444" s="174"/>
      <x:c r="BG444" s="174"/>
      <x:c r="BH444" s="174"/>
      <x:c r="BI444" s="174"/>
      <x:c r="BJ444" s="174"/>
      <x:c r="BK444" s="174"/>
      <x:c r="BL444" s="174"/>
      <x:c r="BM444" s="174"/>
      <x:c r="BN444" s="174"/>
      <x:c r="BO444" s="174"/>
      <x:c r="BP444" s="174"/>
      <x:c r="BQ444" s="174"/>
      <x:c r="BR444" s="174"/>
      <x:c r="BS444" s="174"/>
      <x:c r="BT444" s="174"/>
      <x:c r="BU444" s="174"/>
      <x:c r="BV444" s="174"/>
      <x:c r="BW444" s="174"/>
      <x:c r="BX444" s="174"/>
      <x:c r="BY444" s="174"/>
      <x:c r="BZ444" s="174"/>
      <x:c r="CA444" s="174"/>
      <x:c r="CB444" s="174"/>
      <x:c r="CC444" s="174"/>
      <x:c r="CD444" s="174"/>
      <x:c r="CE444" s="174"/>
      <x:c r="CF444" s="174"/>
      <x:c r="CG444" s="174"/>
      <x:c r="CH444" s="174"/>
      <x:c r="CI444" s="179"/>
      <x:c r="CJ444" s="174"/>
      <x:c r="CK444" s="174"/>
      <x:c r="CL444" s="174"/>
      <x:c r="CM444" s="174"/>
      <x:c r="CN444" s="174"/>
      <x:c r="CO444" s="177"/>
      <x:c r="CP444" s="174"/>
      <x:c r="CQ444" s="174"/>
      <x:c r="CR444" s="174"/>
      <x:c r="CS444" s="174"/>
      <x:c r="CT444" s="174"/>
      <x:c r="CU444" s="176"/>
      <x:c r="CV444" s="176"/>
      <x:c r="CW444" s="176"/>
      <x:c r="CX444" s="176"/>
      <x:c r="CY444" s="176"/>
      <x:c r="CZ444" s="176"/>
      <x:c r="DA444" s="176"/>
      <x:c r="DB444" s="175" t="str">
        <x:f>IF(L444="","",IF(COUNT(CU444:DA444)&lt;7,"",SUM(CU444:DA444)))</x:f>
      </x:c>
      <x:c r="DC444" s="180" t="str">
        <x:f>IF(DB444="","",ROUND(DB444/14*10,1))</x:f>
      </x:c>
      <x:c r="DD444" s="174"/>
      <x:c r="DE444" s="175" t="str">
        <x:f>IF(L444="","",IF(DC444="","Pending",IF(DD444="Yes","CONDITIONAL — safety override",IF(DC444&gt;=8,"HIGH",IF(DC444&gt;=5,"CONDITIONAL","LOW")))))</x:f>
      </x:c>
      <x:c r="DF444" s="174"/>
      <x:c r="DG444" s="174"/>
      <x:c r="DH444" s="174"/>
      <x:c r="DI444" s="174"/>
      <x:c r="DJ444" s="174"/>
      <x:c r="DK444" s="174"/>
      <x:c r="DL444" s="174"/>
      <x:c r="DM444" s="174"/>
      <x:c r="DN444" s="174"/>
      <x:c r="DO444" s="174"/>
      <x:c r="DP444" s="174"/>
      <x:c r="DQ444" s="174"/>
      <x:c r="DR444" s="174"/>
      <x:c r="DS444" s="174"/>
      <x:c r="DT444" s="174"/>
      <x:c r="DU444" s="174"/>
      <x:c r="DV444" s="174"/>
      <x:c r="DW444" s="174"/>
      <x:c r="DX444" s="174"/>
      <x:c r="DY444" s="174"/>
      <x:c r="DZ444" s="174"/>
      <x:c r="EA444" s="174"/>
      <x:c r="EB444" s="175" t="str">
        <x:f>IF(L444="","",IF(AND(F444="Claim-ready",CJ444="Yes",CL444="Yes",DZ444&lt;&gt;""),"Yes","No / Pending"))</x:f>
      </x:c>
      <x:c r="EC444" s="174"/>
      <x:c r="ED444" s="174"/>
      <x:c r="EE444" s="174"/>
      <x:c r="EF444" s="174"/>
      <x:c r="EG444" s="174"/>
      <x:c r="EH444" s="177"/>
      <x:c r="EI444" s="174"/>
      <x:c r="EJ444" s="174"/>
      <x:c r="EK444" s="174"/>
      <x:c r="EL444" s="177"/>
      <x:c r="EM444" s="174"/>
      <x:c r="EN444" s="181" t="str">
        <x:f>IF(L444="","",(IF(N444&lt;&gt;"",1,0)+IF(O444&lt;&gt;"",1,0)+IF(AJ444&lt;&gt;"",1,0)+IF(AU444&lt;&gt;"",1,0)+IF(BE444&lt;&gt;"",1,0)+IF(CF444&lt;&gt;"",1,0)+IF(CJ444="Yes",1,0)+IF(CL444="Yes",1,0)+IF(DE444&lt;&gt;"Pending",1,0)+IF(F444&lt;&gt;"",1,0)+IF(DZ444&lt;&gt;"",1,0)+IF(EI444&lt;&gt;"",1,0))/12)</x:f>
      </x:c>
    </x:row>
    <x:row r="445">
      <x:c r="A445" s="175" t="str">
        <x:f>IF(L445="","","EV-"&amp;TEXT(ROW()-3,"0000"))</x:f>
      </x:c>
      <x:c r="B445" s="174"/>
      <x:c r="C445" s="175" t="str">
        <x:f>IF(L445="","",IF(OR(CM445="Retracted",CN445="Retracted",F445="Not used"),"🔴 Do not use for conclusion",IF(OR(R445="Official / Institutional",I445="Official / contextual"),"🔵 Official / contextual",IF(OR(I445="Definition",I445="Framework",I445="Paradigm shift"),"🟣 Conceptual key source",IF(AND(CJ445="Yes",CL445="Yes",OR(CG445="High",CG445="Moderate"),CH445&lt;&gt;"High",CH445&lt;&gt;"Critical",F445="Claim-ready"),"🟢 Claim-ready","🟡 Caution / context")))))</x:f>
      </x:c>
      <x:c r="D445" s="174"/>
      <x:c r="E445" s="174"/>
      <x:c r="F445" s="174"/>
      <x:c r="G445" s="174"/>
      <x:c r="H445" s="174"/>
      <x:c r="I445" s="174"/>
      <x:c r="J445" s="174"/>
      <x:c r="K445" s="174"/>
      <x:c r="L445" s="174"/>
      <x:c r="M445" s="174"/>
      <x:c r="N445" s="174"/>
      <x:c r="O445" s="176"/>
      <x:c r="P445" s="174"/>
      <x:c r="Q445" s="174"/>
      <x:c r="R445" s="174"/>
      <x:c r="S445" s="174"/>
      <x:c r="T445" s="174"/>
      <x:c r="U445" s="174"/>
      <x:c r="V445" s="174"/>
      <x:c r="W445" s="175" t="str">
        <x:f>IF(V445="","",LOWER(SUBSTITUTE(SUBSTITUTE(SUBSTITUTE(SUBSTITUTE(TRIM(V445),"https://doi.org/",""),"http://doi.org/",""),"https://dx.doi.org/",""),"doi:","")))</x:f>
      </x:c>
      <x:c r="X445" s="174"/>
      <x:c r="Y445" s="174"/>
      <x:c r="Z445" s="174"/>
      <x:c r="AA445" s="174"/>
      <x:c r="AB445" s="174"/>
      <x:c r="AC445" s="174"/>
      <x:c r="AD445" s="177"/>
      <x:c r="AE445" s="177"/>
      <x:c r="AF445" s="174"/>
      <x:c r="AG445" s="174"/>
      <x:c r="AH445" s="174"/>
      <x:c r="AI445" s="174"/>
      <x:c r="AJ445" s="174"/>
      <x:c r="AK445" s="175" t="str">
        <x:f>IF(AJ445="","",IF(OR(LOWER(AJ445)="brazil",LOWER(AJ445)="brasil"),"Yes","No"))</x:f>
      </x:c>
      <x:c r="AL445" s="174"/>
      <x:c r="AM445" s="174"/>
      <x:c r="AN445" s="174"/>
      <x:c r="AO445" s="178"/>
      <x:c r="AP445" s="174"/>
      <x:c r="AQ445" s="174"/>
      <x:c r="AR445" s="174"/>
      <x:c r="AS445" s="174"/>
      <x:c r="AT445" s="174"/>
      <x:c r="AU445" s="174"/>
      <x:c r="AV445" s="174"/>
      <x:c r="AW445" s="174"/>
      <x:c r="AX445" s="174"/>
      <x:c r="AY445" s="174"/>
      <x:c r="AZ445" s="174"/>
      <x:c r="BA445" s="174"/>
      <x:c r="BB445" s="174"/>
      <x:c r="BC445" s="174"/>
      <x:c r="BD445" s="174"/>
      <x:c r="BE445" s="174"/>
      <x:c r="BF445" s="174"/>
      <x:c r="BG445" s="174"/>
      <x:c r="BH445" s="174"/>
      <x:c r="BI445" s="174"/>
      <x:c r="BJ445" s="174"/>
      <x:c r="BK445" s="174"/>
      <x:c r="BL445" s="174"/>
      <x:c r="BM445" s="174"/>
      <x:c r="BN445" s="174"/>
      <x:c r="BO445" s="174"/>
      <x:c r="BP445" s="174"/>
      <x:c r="BQ445" s="174"/>
      <x:c r="BR445" s="174"/>
      <x:c r="BS445" s="174"/>
      <x:c r="BT445" s="174"/>
      <x:c r="BU445" s="174"/>
      <x:c r="BV445" s="174"/>
      <x:c r="BW445" s="174"/>
      <x:c r="BX445" s="174"/>
      <x:c r="BY445" s="174"/>
      <x:c r="BZ445" s="174"/>
      <x:c r="CA445" s="174"/>
      <x:c r="CB445" s="174"/>
      <x:c r="CC445" s="174"/>
      <x:c r="CD445" s="174"/>
      <x:c r="CE445" s="174"/>
      <x:c r="CF445" s="174"/>
      <x:c r="CG445" s="174"/>
      <x:c r="CH445" s="174"/>
      <x:c r="CI445" s="179"/>
      <x:c r="CJ445" s="174"/>
      <x:c r="CK445" s="174"/>
      <x:c r="CL445" s="174"/>
      <x:c r="CM445" s="174"/>
      <x:c r="CN445" s="174"/>
      <x:c r="CO445" s="177"/>
      <x:c r="CP445" s="174"/>
      <x:c r="CQ445" s="174"/>
      <x:c r="CR445" s="174"/>
      <x:c r="CS445" s="174"/>
      <x:c r="CT445" s="174"/>
      <x:c r="CU445" s="176"/>
      <x:c r="CV445" s="176"/>
      <x:c r="CW445" s="176"/>
      <x:c r="CX445" s="176"/>
      <x:c r="CY445" s="176"/>
      <x:c r="CZ445" s="176"/>
      <x:c r="DA445" s="176"/>
      <x:c r="DB445" s="175" t="str">
        <x:f>IF(L445="","",IF(COUNT(CU445:DA445)&lt;7,"",SUM(CU445:DA445)))</x:f>
      </x:c>
      <x:c r="DC445" s="180" t="str">
        <x:f>IF(DB445="","",ROUND(DB445/14*10,1))</x:f>
      </x:c>
      <x:c r="DD445" s="174"/>
      <x:c r="DE445" s="175" t="str">
        <x:f>IF(L445="","",IF(DC445="","Pending",IF(DD445="Yes","CONDITIONAL — safety override",IF(DC445&gt;=8,"HIGH",IF(DC445&gt;=5,"CONDITIONAL","LOW")))))</x:f>
      </x:c>
      <x:c r="DF445" s="174"/>
      <x:c r="DG445" s="174"/>
      <x:c r="DH445" s="174"/>
      <x:c r="DI445" s="174"/>
      <x:c r="DJ445" s="174"/>
      <x:c r="DK445" s="174"/>
      <x:c r="DL445" s="174"/>
      <x:c r="DM445" s="174"/>
      <x:c r="DN445" s="174"/>
      <x:c r="DO445" s="174"/>
      <x:c r="DP445" s="174"/>
      <x:c r="DQ445" s="174"/>
      <x:c r="DR445" s="174"/>
      <x:c r="DS445" s="174"/>
      <x:c r="DT445" s="174"/>
      <x:c r="DU445" s="174"/>
      <x:c r="DV445" s="174"/>
      <x:c r="DW445" s="174"/>
      <x:c r="DX445" s="174"/>
      <x:c r="DY445" s="174"/>
      <x:c r="DZ445" s="174"/>
      <x:c r="EA445" s="174"/>
      <x:c r="EB445" s="175" t="str">
        <x:f>IF(L445="","",IF(AND(F445="Claim-ready",CJ445="Yes",CL445="Yes",DZ445&lt;&gt;""),"Yes","No / Pending"))</x:f>
      </x:c>
      <x:c r="EC445" s="174"/>
      <x:c r="ED445" s="174"/>
      <x:c r="EE445" s="174"/>
      <x:c r="EF445" s="174"/>
      <x:c r="EG445" s="174"/>
      <x:c r="EH445" s="177"/>
      <x:c r="EI445" s="174"/>
      <x:c r="EJ445" s="174"/>
      <x:c r="EK445" s="174"/>
      <x:c r="EL445" s="177"/>
      <x:c r="EM445" s="174"/>
      <x:c r="EN445" s="181" t="str">
        <x:f>IF(L445="","",(IF(N445&lt;&gt;"",1,0)+IF(O445&lt;&gt;"",1,0)+IF(AJ445&lt;&gt;"",1,0)+IF(AU445&lt;&gt;"",1,0)+IF(BE445&lt;&gt;"",1,0)+IF(CF445&lt;&gt;"",1,0)+IF(CJ445="Yes",1,0)+IF(CL445="Yes",1,0)+IF(DE445&lt;&gt;"Pending",1,0)+IF(F445&lt;&gt;"",1,0)+IF(DZ445&lt;&gt;"",1,0)+IF(EI445&lt;&gt;"",1,0))/12)</x:f>
      </x:c>
    </x:row>
    <x:row r="446">
      <x:c r="A446" s="175" t="str">
        <x:f>IF(L446="","","EV-"&amp;TEXT(ROW()-3,"0000"))</x:f>
      </x:c>
      <x:c r="B446" s="174"/>
      <x:c r="C446" s="175" t="str">
        <x:f>IF(L446="","",IF(OR(CM446="Retracted",CN446="Retracted",F446="Not used"),"🔴 Do not use for conclusion",IF(OR(R446="Official / Institutional",I446="Official / contextual"),"🔵 Official / contextual",IF(OR(I446="Definition",I446="Framework",I446="Paradigm shift"),"🟣 Conceptual key source",IF(AND(CJ446="Yes",CL446="Yes",OR(CG446="High",CG446="Moderate"),CH446&lt;&gt;"High",CH446&lt;&gt;"Critical",F446="Claim-ready"),"🟢 Claim-ready","🟡 Caution / context")))))</x:f>
      </x:c>
      <x:c r="D446" s="174"/>
      <x:c r="E446" s="174"/>
      <x:c r="F446" s="174"/>
      <x:c r="G446" s="174"/>
      <x:c r="H446" s="174"/>
      <x:c r="I446" s="174"/>
      <x:c r="J446" s="174"/>
      <x:c r="K446" s="174"/>
      <x:c r="L446" s="174"/>
      <x:c r="M446" s="174"/>
      <x:c r="N446" s="174"/>
      <x:c r="O446" s="176"/>
      <x:c r="P446" s="174"/>
      <x:c r="Q446" s="174"/>
      <x:c r="R446" s="174"/>
      <x:c r="S446" s="174"/>
      <x:c r="T446" s="174"/>
      <x:c r="U446" s="174"/>
      <x:c r="V446" s="174"/>
      <x:c r="W446" s="175" t="str">
        <x:f>IF(V446="","",LOWER(SUBSTITUTE(SUBSTITUTE(SUBSTITUTE(SUBSTITUTE(TRIM(V446),"https://doi.org/",""),"http://doi.org/",""),"https://dx.doi.org/",""),"doi:","")))</x:f>
      </x:c>
      <x:c r="X446" s="174"/>
      <x:c r="Y446" s="174"/>
      <x:c r="Z446" s="174"/>
      <x:c r="AA446" s="174"/>
      <x:c r="AB446" s="174"/>
      <x:c r="AC446" s="174"/>
      <x:c r="AD446" s="177"/>
      <x:c r="AE446" s="177"/>
      <x:c r="AF446" s="174"/>
      <x:c r="AG446" s="174"/>
      <x:c r="AH446" s="174"/>
      <x:c r="AI446" s="174"/>
      <x:c r="AJ446" s="174"/>
      <x:c r="AK446" s="175" t="str">
        <x:f>IF(AJ446="","",IF(OR(LOWER(AJ446)="brazil",LOWER(AJ446)="brasil"),"Yes","No"))</x:f>
      </x:c>
      <x:c r="AL446" s="174"/>
      <x:c r="AM446" s="174"/>
      <x:c r="AN446" s="174"/>
      <x:c r="AO446" s="178"/>
      <x:c r="AP446" s="174"/>
      <x:c r="AQ446" s="174"/>
      <x:c r="AR446" s="174"/>
      <x:c r="AS446" s="174"/>
      <x:c r="AT446" s="174"/>
      <x:c r="AU446" s="174"/>
      <x:c r="AV446" s="174"/>
      <x:c r="AW446" s="174"/>
      <x:c r="AX446" s="174"/>
      <x:c r="AY446" s="174"/>
      <x:c r="AZ446" s="174"/>
      <x:c r="BA446" s="174"/>
      <x:c r="BB446" s="174"/>
      <x:c r="BC446" s="174"/>
      <x:c r="BD446" s="174"/>
      <x:c r="BE446" s="174"/>
      <x:c r="BF446" s="174"/>
      <x:c r="BG446" s="174"/>
      <x:c r="BH446" s="174"/>
      <x:c r="BI446" s="174"/>
      <x:c r="BJ446" s="174"/>
      <x:c r="BK446" s="174"/>
      <x:c r="BL446" s="174"/>
      <x:c r="BM446" s="174"/>
      <x:c r="BN446" s="174"/>
      <x:c r="BO446" s="174"/>
      <x:c r="BP446" s="174"/>
      <x:c r="BQ446" s="174"/>
      <x:c r="BR446" s="174"/>
      <x:c r="BS446" s="174"/>
      <x:c r="BT446" s="174"/>
      <x:c r="BU446" s="174"/>
      <x:c r="BV446" s="174"/>
      <x:c r="BW446" s="174"/>
      <x:c r="BX446" s="174"/>
      <x:c r="BY446" s="174"/>
      <x:c r="BZ446" s="174"/>
      <x:c r="CA446" s="174"/>
      <x:c r="CB446" s="174"/>
      <x:c r="CC446" s="174"/>
      <x:c r="CD446" s="174"/>
      <x:c r="CE446" s="174"/>
      <x:c r="CF446" s="174"/>
      <x:c r="CG446" s="174"/>
      <x:c r="CH446" s="174"/>
      <x:c r="CI446" s="179"/>
      <x:c r="CJ446" s="174"/>
      <x:c r="CK446" s="174"/>
      <x:c r="CL446" s="174"/>
      <x:c r="CM446" s="174"/>
      <x:c r="CN446" s="174"/>
      <x:c r="CO446" s="177"/>
      <x:c r="CP446" s="174"/>
      <x:c r="CQ446" s="174"/>
      <x:c r="CR446" s="174"/>
      <x:c r="CS446" s="174"/>
      <x:c r="CT446" s="174"/>
      <x:c r="CU446" s="176"/>
      <x:c r="CV446" s="176"/>
      <x:c r="CW446" s="176"/>
      <x:c r="CX446" s="176"/>
      <x:c r="CY446" s="176"/>
      <x:c r="CZ446" s="176"/>
      <x:c r="DA446" s="176"/>
      <x:c r="DB446" s="175" t="str">
        <x:f>IF(L446="","",IF(COUNT(CU446:DA446)&lt;7,"",SUM(CU446:DA446)))</x:f>
      </x:c>
      <x:c r="DC446" s="180" t="str">
        <x:f>IF(DB446="","",ROUND(DB446/14*10,1))</x:f>
      </x:c>
      <x:c r="DD446" s="174"/>
      <x:c r="DE446" s="175" t="str">
        <x:f>IF(L446="","",IF(DC446="","Pending",IF(DD446="Yes","CONDITIONAL — safety override",IF(DC446&gt;=8,"HIGH",IF(DC446&gt;=5,"CONDITIONAL","LOW")))))</x:f>
      </x:c>
      <x:c r="DF446" s="174"/>
      <x:c r="DG446" s="174"/>
      <x:c r="DH446" s="174"/>
      <x:c r="DI446" s="174"/>
      <x:c r="DJ446" s="174"/>
      <x:c r="DK446" s="174"/>
      <x:c r="DL446" s="174"/>
      <x:c r="DM446" s="174"/>
      <x:c r="DN446" s="174"/>
      <x:c r="DO446" s="174"/>
      <x:c r="DP446" s="174"/>
      <x:c r="DQ446" s="174"/>
      <x:c r="DR446" s="174"/>
      <x:c r="DS446" s="174"/>
      <x:c r="DT446" s="174"/>
      <x:c r="DU446" s="174"/>
      <x:c r="DV446" s="174"/>
      <x:c r="DW446" s="174"/>
      <x:c r="DX446" s="174"/>
      <x:c r="DY446" s="174"/>
      <x:c r="DZ446" s="174"/>
      <x:c r="EA446" s="174"/>
      <x:c r="EB446" s="175" t="str">
        <x:f>IF(L446="","",IF(AND(F446="Claim-ready",CJ446="Yes",CL446="Yes",DZ446&lt;&gt;""),"Yes","No / Pending"))</x:f>
      </x:c>
      <x:c r="EC446" s="174"/>
      <x:c r="ED446" s="174"/>
      <x:c r="EE446" s="174"/>
      <x:c r="EF446" s="174"/>
      <x:c r="EG446" s="174"/>
      <x:c r="EH446" s="177"/>
      <x:c r="EI446" s="174"/>
      <x:c r="EJ446" s="174"/>
      <x:c r="EK446" s="174"/>
      <x:c r="EL446" s="177"/>
      <x:c r="EM446" s="174"/>
      <x:c r="EN446" s="181" t="str">
        <x:f>IF(L446="","",(IF(N446&lt;&gt;"",1,0)+IF(O446&lt;&gt;"",1,0)+IF(AJ446&lt;&gt;"",1,0)+IF(AU446&lt;&gt;"",1,0)+IF(BE446&lt;&gt;"",1,0)+IF(CF446&lt;&gt;"",1,0)+IF(CJ446="Yes",1,0)+IF(CL446="Yes",1,0)+IF(DE446&lt;&gt;"Pending",1,0)+IF(F446&lt;&gt;"",1,0)+IF(DZ446&lt;&gt;"",1,0)+IF(EI446&lt;&gt;"",1,0))/12)</x:f>
      </x:c>
    </x:row>
    <x:row r="447">
      <x:c r="A447" s="175" t="str">
        <x:f>IF(L447="","","EV-"&amp;TEXT(ROW()-3,"0000"))</x:f>
      </x:c>
      <x:c r="B447" s="174"/>
      <x:c r="C447" s="175" t="str">
        <x:f>IF(L447="","",IF(OR(CM447="Retracted",CN447="Retracted",F447="Not used"),"🔴 Do not use for conclusion",IF(OR(R447="Official / Institutional",I447="Official / contextual"),"🔵 Official / contextual",IF(OR(I447="Definition",I447="Framework",I447="Paradigm shift"),"🟣 Conceptual key source",IF(AND(CJ447="Yes",CL447="Yes",OR(CG447="High",CG447="Moderate"),CH447&lt;&gt;"High",CH447&lt;&gt;"Critical",F447="Claim-ready"),"🟢 Claim-ready","🟡 Caution / context")))))</x:f>
      </x:c>
      <x:c r="D447" s="174"/>
      <x:c r="E447" s="174"/>
      <x:c r="F447" s="174"/>
      <x:c r="G447" s="174"/>
      <x:c r="H447" s="174"/>
      <x:c r="I447" s="174"/>
      <x:c r="J447" s="174"/>
      <x:c r="K447" s="174"/>
      <x:c r="L447" s="174"/>
      <x:c r="M447" s="174"/>
      <x:c r="N447" s="174"/>
      <x:c r="O447" s="176"/>
      <x:c r="P447" s="174"/>
      <x:c r="Q447" s="174"/>
      <x:c r="R447" s="174"/>
      <x:c r="S447" s="174"/>
      <x:c r="T447" s="174"/>
      <x:c r="U447" s="174"/>
      <x:c r="V447" s="174"/>
      <x:c r="W447" s="175" t="str">
        <x:f>IF(V447="","",LOWER(SUBSTITUTE(SUBSTITUTE(SUBSTITUTE(SUBSTITUTE(TRIM(V447),"https://doi.org/",""),"http://doi.org/",""),"https://dx.doi.org/",""),"doi:","")))</x:f>
      </x:c>
      <x:c r="X447" s="174"/>
      <x:c r="Y447" s="174"/>
      <x:c r="Z447" s="174"/>
      <x:c r="AA447" s="174"/>
      <x:c r="AB447" s="174"/>
      <x:c r="AC447" s="174"/>
      <x:c r="AD447" s="177"/>
      <x:c r="AE447" s="177"/>
      <x:c r="AF447" s="174"/>
      <x:c r="AG447" s="174"/>
      <x:c r="AH447" s="174"/>
      <x:c r="AI447" s="174"/>
      <x:c r="AJ447" s="174"/>
      <x:c r="AK447" s="175" t="str">
        <x:f>IF(AJ447="","",IF(OR(LOWER(AJ447)="brazil",LOWER(AJ447)="brasil"),"Yes","No"))</x:f>
      </x:c>
      <x:c r="AL447" s="174"/>
      <x:c r="AM447" s="174"/>
      <x:c r="AN447" s="174"/>
      <x:c r="AO447" s="178"/>
      <x:c r="AP447" s="174"/>
      <x:c r="AQ447" s="174"/>
      <x:c r="AR447" s="174"/>
      <x:c r="AS447" s="174"/>
      <x:c r="AT447" s="174"/>
      <x:c r="AU447" s="174"/>
      <x:c r="AV447" s="174"/>
      <x:c r="AW447" s="174"/>
      <x:c r="AX447" s="174"/>
      <x:c r="AY447" s="174"/>
      <x:c r="AZ447" s="174"/>
      <x:c r="BA447" s="174"/>
      <x:c r="BB447" s="174"/>
      <x:c r="BC447" s="174"/>
      <x:c r="BD447" s="174"/>
      <x:c r="BE447" s="174"/>
      <x:c r="BF447" s="174"/>
      <x:c r="BG447" s="174"/>
      <x:c r="BH447" s="174"/>
      <x:c r="BI447" s="174"/>
      <x:c r="BJ447" s="174"/>
      <x:c r="BK447" s="174"/>
      <x:c r="BL447" s="174"/>
      <x:c r="BM447" s="174"/>
      <x:c r="BN447" s="174"/>
      <x:c r="BO447" s="174"/>
      <x:c r="BP447" s="174"/>
      <x:c r="BQ447" s="174"/>
      <x:c r="BR447" s="174"/>
      <x:c r="BS447" s="174"/>
      <x:c r="BT447" s="174"/>
      <x:c r="BU447" s="174"/>
      <x:c r="BV447" s="174"/>
      <x:c r="BW447" s="174"/>
      <x:c r="BX447" s="174"/>
      <x:c r="BY447" s="174"/>
      <x:c r="BZ447" s="174"/>
      <x:c r="CA447" s="174"/>
      <x:c r="CB447" s="174"/>
      <x:c r="CC447" s="174"/>
      <x:c r="CD447" s="174"/>
      <x:c r="CE447" s="174"/>
      <x:c r="CF447" s="174"/>
      <x:c r="CG447" s="174"/>
      <x:c r="CH447" s="174"/>
      <x:c r="CI447" s="179"/>
      <x:c r="CJ447" s="174"/>
      <x:c r="CK447" s="174"/>
      <x:c r="CL447" s="174"/>
      <x:c r="CM447" s="174"/>
      <x:c r="CN447" s="174"/>
      <x:c r="CO447" s="177"/>
      <x:c r="CP447" s="174"/>
      <x:c r="CQ447" s="174"/>
      <x:c r="CR447" s="174"/>
      <x:c r="CS447" s="174"/>
      <x:c r="CT447" s="174"/>
      <x:c r="CU447" s="176"/>
      <x:c r="CV447" s="176"/>
      <x:c r="CW447" s="176"/>
      <x:c r="CX447" s="176"/>
      <x:c r="CY447" s="176"/>
      <x:c r="CZ447" s="176"/>
      <x:c r="DA447" s="176"/>
      <x:c r="DB447" s="175" t="str">
        <x:f>IF(L447="","",IF(COUNT(CU447:DA447)&lt;7,"",SUM(CU447:DA447)))</x:f>
      </x:c>
      <x:c r="DC447" s="180" t="str">
        <x:f>IF(DB447="","",ROUND(DB447/14*10,1))</x:f>
      </x:c>
      <x:c r="DD447" s="174"/>
      <x:c r="DE447" s="175" t="str">
        <x:f>IF(L447="","",IF(DC447="","Pending",IF(DD447="Yes","CONDITIONAL — safety override",IF(DC447&gt;=8,"HIGH",IF(DC447&gt;=5,"CONDITIONAL","LOW")))))</x:f>
      </x:c>
      <x:c r="DF447" s="174"/>
      <x:c r="DG447" s="174"/>
      <x:c r="DH447" s="174"/>
      <x:c r="DI447" s="174"/>
      <x:c r="DJ447" s="174"/>
      <x:c r="DK447" s="174"/>
      <x:c r="DL447" s="174"/>
      <x:c r="DM447" s="174"/>
      <x:c r="DN447" s="174"/>
      <x:c r="DO447" s="174"/>
      <x:c r="DP447" s="174"/>
      <x:c r="DQ447" s="174"/>
      <x:c r="DR447" s="174"/>
      <x:c r="DS447" s="174"/>
      <x:c r="DT447" s="174"/>
      <x:c r="DU447" s="174"/>
      <x:c r="DV447" s="174"/>
      <x:c r="DW447" s="174"/>
      <x:c r="DX447" s="174"/>
      <x:c r="DY447" s="174"/>
      <x:c r="DZ447" s="174"/>
      <x:c r="EA447" s="174"/>
      <x:c r="EB447" s="175" t="str">
        <x:f>IF(L447="","",IF(AND(F447="Claim-ready",CJ447="Yes",CL447="Yes",DZ447&lt;&gt;""),"Yes","No / Pending"))</x:f>
      </x:c>
      <x:c r="EC447" s="174"/>
      <x:c r="ED447" s="174"/>
      <x:c r="EE447" s="174"/>
      <x:c r="EF447" s="174"/>
      <x:c r="EG447" s="174"/>
      <x:c r="EH447" s="177"/>
      <x:c r="EI447" s="174"/>
      <x:c r="EJ447" s="174"/>
      <x:c r="EK447" s="174"/>
      <x:c r="EL447" s="177"/>
      <x:c r="EM447" s="174"/>
      <x:c r="EN447" s="181" t="str">
        <x:f>IF(L447="","",(IF(N447&lt;&gt;"",1,0)+IF(O447&lt;&gt;"",1,0)+IF(AJ447&lt;&gt;"",1,0)+IF(AU447&lt;&gt;"",1,0)+IF(BE447&lt;&gt;"",1,0)+IF(CF447&lt;&gt;"",1,0)+IF(CJ447="Yes",1,0)+IF(CL447="Yes",1,0)+IF(DE447&lt;&gt;"Pending",1,0)+IF(F447&lt;&gt;"",1,0)+IF(DZ447&lt;&gt;"",1,0)+IF(EI447&lt;&gt;"",1,0))/12)</x:f>
      </x:c>
    </x:row>
    <x:row r="448">
      <x:c r="A448" s="175" t="str">
        <x:f>IF(L448="","","EV-"&amp;TEXT(ROW()-3,"0000"))</x:f>
      </x:c>
      <x:c r="B448" s="174"/>
      <x:c r="C448" s="175" t="str">
        <x:f>IF(L448="","",IF(OR(CM448="Retracted",CN448="Retracted",F448="Not used"),"🔴 Do not use for conclusion",IF(OR(R448="Official / Institutional",I448="Official / contextual"),"🔵 Official / contextual",IF(OR(I448="Definition",I448="Framework",I448="Paradigm shift"),"🟣 Conceptual key source",IF(AND(CJ448="Yes",CL448="Yes",OR(CG448="High",CG448="Moderate"),CH448&lt;&gt;"High",CH448&lt;&gt;"Critical",F448="Claim-ready"),"🟢 Claim-ready","🟡 Caution / context")))))</x:f>
      </x:c>
      <x:c r="D448" s="174"/>
      <x:c r="E448" s="174"/>
      <x:c r="F448" s="174"/>
      <x:c r="G448" s="174"/>
      <x:c r="H448" s="174"/>
      <x:c r="I448" s="174"/>
      <x:c r="J448" s="174"/>
      <x:c r="K448" s="174"/>
      <x:c r="L448" s="174"/>
      <x:c r="M448" s="174"/>
      <x:c r="N448" s="174"/>
      <x:c r="O448" s="176"/>
      <x:c r="P448" s="174"/>
      <x:c r="Q448" s="174"/>
      <x:c r="R448" s="174"/>
      <x:c r="S448" s="174"/>
      <x:c r="T448" s="174"/>
      <x:c r="U448" s="174"/>
      <x:c r="V448" s="174"/>
      <x:c r="W448" s="175" t="str">
        <x:f>IF(V448="","",LOWER(SUBSTITUTE(SUBSTITUTE(SUBSTITUTE(SUBSTITUTE(TRIM(V448),"https://doi.org/",""),"http://doi.org/",""),"https://dx.doi.org/",""),"doi:","")))</x:f>
      </x:c>
      <x:c r="X448" s="174"/>
      <x:c r="Y448" s="174"/>
      <x:c r="Z448" s="174"/>
      <x:c r="AA448" s="174"/>
      <x:c r="AB448" s="174"/>
      <x:c r="AC448" s="174"/>
      <x:c r="AD448" s="177"/>
      <x:c r="AE448" s="177"/>
      <x:c r="AF448" s="174"/>
      <x:c r="AG448" s="174"/>
      <x:c r="AH448" s="174"/>
      <x:c r="AI448" s="174"/>
      <x:c r="AJ448" s="174"/>
      <x:c r="AK448" s="175" t="str">
        <x:f>IF(AJ448="","",IF(OR(LOWER(AJ448)="brazil",LOWER(AJ448)="brasil"),"Yes","No"))</x:f>
      </x:c>
      <x:c r="AL448" s="174"/>
      <x:c r="AM448" s="174"/>
      <x:c r="AN448" s="174"/>
      <x:c r="AO448" s="178"/>
      <x:c r="AP448" s="174"/>
      <x:c r="AQ448" s="174"/>
      <x:c r="AR448" s="174"/>
      <x:c r="AS448" s="174"/>
      <x:c r="AT448" s="174"/>
      <x:c r="AU448" s="174"/>
      <x:c r="AV448" s="174"/>
      <x:c r="AW448" s="174"/>
      <x:c r="AX448" s="174"/>
      <x:c r="AY448" s="174"/>
      <x:c r="AZ448" s="174"/>
      <x:c r="BA448" s="174"/>
      <x:c r="BB448" s="174"/>
      <x:c r="BC448" s="174"/>
      <x:c r="BD448" s="174"/>
      <x:c r="BE448" s="174"/>
      <x:c r="BF448" s="174"/>
      <x:c r="BG448" s="174"/>
      <x:c r="BH448" s="174"/>
      <x:c r="BI448" s="174"/>
      <x:c r="BJ448" s="174"/>
      <x:c r="BK448" s="174"/>
      <x:c r="BL448" s="174"/>
      <x:c r="BM448" s="174"/>
      <x:c r="BN448" s="174"/>
      <x:c r="BO448" s="174"/>
      <x:c r="BP448" s="174"/>
      <x:c r="BQ448" s="174"/>
      <x:c r="BR448" s="174"/>
      <x:c r="BS448" s="174"/>
      <x:c r="BT448" s="174"/>
      <x:c r="BU448" s="174"/>
      <x:c r="BV448" s="174"/>
      <x:c r="BW448" s="174"/>
      <x:c r="BX448" s="174"/>
      <x:c r="BY448" s="174"/>
      <x:c r="BZ448" s="174"/>
      <x:c r="CA448" s="174"/>
      <x:c r="CB448" s="174"/>
      <x:c r="CC448" s="174"/>
      <x:c r="CD448" s="174"/>
      <x:c r="CE448" s="174"/>
      <x:c r="CF448" s="174"/>
      <x:c r="CG448" s="174"/>
      <x:c r="CH448" s="174"/>
      <x:c r="CI448" s="179"/>
      <x:c r="CJ448" s="174"/>
      <x:c r="CK448" s="174"/>
      <x:c r="CL448" s="174"/>
      <x:c r="CM448" s="174"/>
      <x:c r="CN448" s="174"/>
      <x:c r="CO448" s="177"/>
      <x:c r="CP448" s="174"/>
      <x:c r="CQ448" s="174"/>
      <x:c r="CR448" s="174"/>
      <x:c r="CS448" s="174"/>
      <x:c r="CT448" s="174"/>
      <x:c r="CU448" s="176"/>
      <x:c r="CV448" s="176"/>
      <x:c r="CW448" s="176"/>
      <x:c r="CX448" s="176"/>
      <x:c r="CY448" s="176"/>
      <x:c r="CZ448" s="176"/>
      <x:c r="DA448" s="176"/>
      <x:c r="DB448" s="175" t="str">
        <x:f>IF(L448="","",IF(COUNT(CU448:DA448)&lt;7,"",SUM(CU448:DA448)))</x:f>
      </x:c>
      <x:c r="DC448" s="180" t="str">
        <x:f>IF(DB448="","",ROUND(DB448/14*10,1))</x:f>
      </x:c>
      <x:c r="DD448" s="174"/>
      <x:c r="DE448" s="175" t="str">
        <x:f>IF(L448="","",IF(DC448="","Pending",IF(DD448="Yes","CONDITIONAL — safety override",IF(DC448&gt;=8,"HIGH",IF(DC448&gt;=5,"CONDITIONAL","LOW")))))</x:f>
      </x:c>
      <x:c r="DF448" s="174"/>
      <x:c r="DG448" s="174"/>
      <x:c r="DH448" s="174"/>
      <x:c r="DI448" s="174"/>
      <x:c r="DJ448" s="174"/>
      <x:c r="DK448" s="174"/>
      <x:c r="DL448" s="174"/>
      <x:c r="DM448" s="174"/>
      <x:c r="DN448" s="174"/>
      <x:c r="DO448" s="174"/>
      <x:c r="DP448" s="174"/>
      <x:c r="DQ448" s="174"/>
      <x:c r="DR448" s="174"/>
      <x:c r="DS448" s="174"/>
      <x:c r="DT448" s="174"/>
      <x:c r="DU448" s="174"/>
      <x:c r="DV448" s="174"/>
      <x:c r="DW448" s="174"/>
      <x:c r="DX448" s="174"/>
      <x:c r="DY448" s="174"/>
      <x:c r="DZ448" s="174"/>
      <x:c r="EA448" s="174"/>
      <x:c r="EB448" s="175" t="str">
        <x:f>IF(L448="","",IF(AND(F448="Claim-ready",CJ448="Yes",CL448="Yes",DZ448&lt;&gt;""),"Yes","No / Pending"))</x:f>
      </x:c>
      <x:c r="EC448" s="174"/>
      <x:c r="ED448" s="174"/>
      <x:c r="EE448" s="174"/>
      <x:c r="EF448" s="174"/>
      <x:c r="EG448" s="174"/>
      <x:c r="EH448" s="177"/>
      <x:c r="EI448" s="174"/>
      <x:c r="EJ448" s="174"/>
      <x:c r="EK448" s="174"/>
      <x:c r="EL448" s="177"/>
      <x:c r="EM448" s="174"/>
      <x:c r="EN448" s="181" t="str">
        <x:f>IF(L448="","",(IF(N448&lt;&gt;"",1,0)+IF(O448&lt;&gt;"",1,0)+IF(AJ448&lt;&gt;"",1,0)+IF(AU448&lt;&gt;"",1,0)+IF(BE448&lt;&gt;"",1,0)+IF(CF448&lt;&gt;"",1,0)+IF(CJ448="Yes",1,0)+IF(CL448="Yes",1,0)+IF(DE448&lt;&gt;"Pending",1,0)+IF(F448&lt;&gt;"",1,0)+IF(DZ448&lt;&gt;"",1,0)+IF(EI448&lt;&gt;"",1,0))/12)</x:f>
      </x:c>
    </x:row>
    <x:row r="449">
      <x:c r="A449" s="175" t="str">
        <x:f>IF(L449="","","EV-"&amp;TEXT(ROW()-3,"0000"))</x:f>
      </x:c>
      <x:c r="B449" s="174"/>
      <x:c r="C449" s="175" t="str">
        <x:f>IF(L449="","",IF(OR(CM449="Retracted",CN449="Retracted",F449="Not used"),"🔴 Do not use for conclusion",IF(OR(R449="Official / Institutional",I449="Official / contextual"),"🔵 Official / contextual",IF(OR(I449="Definition",I449="Framework",I449="Paradigm shift"),"🟣 Conceptual key source",IF(AND(CJ449="Yes",CL449="Yes",OR(CG449="High",CG449="Moderate"),CH449&lt;&gt;"High",CH449&lt;&gt;"Critical",F449="Claim-ready"),"🟢 Claim-ready","🟡 Caution / context")))))</x:f>
      </x:c>
      <x:c r="D449" s="174"/>
      <x:c r="E449" s="174"/>
      <x:c r="F449" s="174"/>
      <x:c r="G449" s="174"/>
      <x:c r="H449" s="174"/>
      <x:c r="I449" s="174"/>
      <x:c r="J449" s="174"/>
      <x:c r="K449" s="174"/>
      <x:c r="L449" s="174"/>
      <x:c r="M449" s="174"/>
      <x:c r="N449" s="174"/>
      <x:c r="O449" s="176"/>
      <x:c r="P449" s="174"/>
      <x:c r="Q449" s="174"/>
      <x:c r="R449" s="174"/>
      <x:c r="S449" s="174"/>
      <x:c r="T449" s="174"/>
      <x:c r="U449" s="174"/>
      <x:c r="V449" s="174"/>
      <x:c r="W449" s="175" t="str">
        <x:f>IF(V449="","",LOWER(SUBSTITUTE(SUBSTITUTE(SUBSTITUTE(SUBSTITUTE(TRIM(V449),"https://doi.org/",""),"http://doi.org/",""),"https://dx.doi.org/",""),"doi:","")))</x:f>
      </x:c>
      <x:c r="X449" s="174"/>
      <x:c r="Y449" s="174"/>
      <x:c r="Z449" s="174"/>
      <x:c r="AA449" s="174"/>
      <x:c r="AB449" s="174"/>
      <x:c r="AC449" s="174"/>
      <x:c r="AD449" s="177"/>
      <x:c r="AE449" s="177"/>
      <x:c r="AF449" s="174"/>
      <x:c r="AG449" s="174"/>
      <x:c r="AH449" s="174"/>
      <x:c r="AI449" s="174"/>
      <x:c r="AJ449" s="174"/>
      <x:c r="AK449" s="175" t="str">
        <x:f>IF(AJ449="","",IF(OR(LOWER(AJ449)="brazil",LOWER(AJ449)="brasil"),"Yes","No"))</x:f>
      </x:c>
      <x:c r="AL449" s="174"/>
      <x:c r="AM449" s="174"/>
      <x:c r="AN449" s="174"/>
      <x:c r="AO449" s="178"/>
      <x:c r="AP449" s="174"/>
      <x:c r="AQ449" s="174"/>
      <x:c r="AR449" s="174"/>
      <x:c r="AS449" s="174"/>
      <x:c r="AT449" s="174"/>
      <x:c r="AU449" s="174"/>
      <x:c r="AV449" s="174"/>
      <x:c r="AW449" s="174"/>
      <x:c r="AX449" s="174"/>
      <x:c r="AY449" s="174"/>
      <x:c r="AZ449" s="174"/>
      <x:c r="BA449" s="174"/>
      <x:c r="BB449" s="174"/>
      <x:c r="BC449" s="174"/>
      <x:c r="BD449" s="174"/>
      <x:c r="BE449" s="174"/>
      <x:c r="BF449" s="174"/>
      <x:c r="BG449" s="174"/>
      <x:c r="BH449" s="174"/>
      <x:c r="BI449" s="174"/>
      <x:c r="BJ449" s="174"/>
      <x:c r="BK449" s="174"/>
      <x:c r="BL449" s="174"/>
      <x:c r="BM449" s="174"/>
      <x:c r="BN449" s="174"/>
      <x:c r="BO449" s="174"/>
      <x:c r="BP449" s="174"/>
      <x:c r="BQ449" s="174"/>
      <x:c r="BR449" s="174"/>
      <x:c r="BS449" s="174"/>
      <x:c r="BT449" s="174"/>
      <x:c r="BU449" s="174"/>
      <x:c r="BV449" s="174"/>
      <x:c r="BW449" s="174"/>
      <x:c r="BX449" s="174"/>
      <x:c r="BY449" s="174"/>
      <x:c r="BZ449" s="174"/>
      <x:c r="CA449" s="174"/>
      <x:c r="CB449" s="174"/>
      <x:c r="CC449" s="174"/>
      <x:c r="CD449" s="174"/>
      <x:c r="CE449" s="174"/>
      <x:c r="CF449" s="174"/>
      <x:c r="CG449" s="174"/>
      <x:c r="CH449" s="174"/>
      <x:c r="CI449" s="179"/>
      <x:c r="CJ449" s="174"/>
      <x:c r="CK449" s="174"/>
      <x:c r="CL449" s="174"/>
      <x:c r="CM449" s="174"/>
      <x:c r="CN449" s="174"/>
      <x:c r="CO449" s="177"/>
      <x:c r="CP449" s="174"/>
      <x:c r="CQ449" s="174"/>
      <x:c r="CR449" s="174"/>
      <x:c r="CS449" s="174"/>
      <x:c r="CT449" s="174"/>
      <x:c r="CU449" s="176"/>
      <x:c r="CV449" s="176"/>
      <x:c r="CW449" s="176"/>
      <x:c r="CX449" s="176"/>
      <x:c r="CY449" s="176"/>
      <x:c r="CZ449" s="176"/>
      <x:c r="DA449" s="176"/>
      <x:c r="DB449" s="175" t="str">
        <x:f>IF(L449="","",IF(COUNT(CU449:DA449)&lt;7,"",SUM(CU449:DA449)))</x:f>
      </x:c>
      <x:c r="DC449" s="180" t="str">
        <x:f>IF(DB449="","",ROUND(DB449/14*10,1))</x:f>
      </x:c>
      <x:c r="DD449" s="174"/>
      <x:c r="DE449" s="175" t="str">
        <x:f>IF(L449="","",IF(DC449="","Pending",IF(DD449="Yes","CONDITIONAL — safety override",IF(DC449&gt;=8,"HIGH",IF(DC449&gt;=5,"CONDITIONAL","LOW")))))</x:f>
      </x:c>
      <x:c r="DF449" s="174"/>
      <x:c r="DG449" s="174"/>
      <x:c r="DH449" s="174"/>
      <x:c r="DI449" s="174"/>
      <x:c r="DJ449" s="174"/>
      <x:c r="DK449" s="174"/>
      <x:c r="DL449" s="174"/>
      <x:c r="DM449" s="174"/>
      <x:c r="DN449" s="174"/>
      <x:c r="DO449" s="174"/>
      <x:c r="DP449" s="174"/>
      <x:c r="DQ449" s="174"/>
      <x:c r="DR449" s="174"/>
      <x:c r="DS449" s="174"/>
      <x:c r="DT449" s="174"/>
      <x:c r="DU449" s="174"/>
      <x:c r="DV449" s="174"/>
      <x:c r="DW449" s="174"/>
      <x:c r="DX449" s="174"/>
      <x:c r="DY449" s="174"/>
      <x:c r="DZ449" s="174"/>
      <x:c r="EA449" s="174"/>
      <x:c r="EB449" s="175" t="str">
        <x:f>IF(L449="","",IF(AND(F449="Claim-ready",CJ449="Yes",CL449="Yes",DZ449&lt;&gt;""),"Yes","No / Pending"))</x:f>
      </x:c>
      <x:c r="EC449" s="174"/>
      <x:c r="ED449" s="174"/>
      <x:c r="EE449" s="174"/>
      <x:c r="EF449" s="174"/>
      <x:c r="EG449" s="174"/>
      <x:c r="EH449" s="177"/>
      <x:c r="EI449" s="174"/>
      <x:c r="EJ449" s="174"/>
      <x:c r="EK449" s="174"/>
      <x:c r="EL449" s="177"/>
      <x:c r="EM449" s="174"/>
      <x:c r="EN449" s="181" t="str">
        <x:f>IF(L449="","",(IF(N449&lt;&gt;"",1,0)+IF(O449&lt;&gt;"",1,0)+IF(AJ449&lt;&gt;"",1,0)+IF(AU449&lt;&gt;"",1,0)+IF(BE449&lt;&gt;"",1,0)+IF(CF449&lt;&gt;"",1,0)+IF(CJ449="Yes",1,0)+IF(CL449="Yes",1,0)+IF(DE449&lt;&gt;"Pending",1,0)+IF(F449&lt;&gt;"",1,0)+IF(DZ449&lt;&gt;"",1,0)+IF(EI449&lt;&gt;"",1,0))/12)</x:f>
      </x:c>
    </x:row>
    <x:row r="450">
      <x:c r="A450" s="175" t="str">
        <x:f>IF(L450="","","EV-"&amp;TEXT(ROW()-3,"0000"))</x:f>
      </x:c>
      <x:c r="B450" s="174"/>
      <x:c r="C450" s="175" t="str">
        <x:f>IF(L450="","",IF(OR(CM450="Retracted",CN450="Retracted",F450="Not used"),"🔴 Do not use for conclusion",IF(OR(R450="Official / Institutional",I450="Official / contextual"),"🔵 Official / contextual",IF(OR(I450="Definition",I450="Framework",I450="Paradigm shift"),"🟣 Conceptual key source",IF(AND(CJ450="Yes",CL450="Yes",OR(CG450="High",CG450="Moderate"),CH450&lt;&gt;"High",CH450&lt;&gt;"Critical",F450="Claim-ready"),"🟢 Claim-ready","🟡 Caution / context")))))</x:f>
      </x:c>
      <x:c r="D450" s="174"/>
      <x:c r="E450" s="174"/>
      <x:c r="F450" s="174"/>
      <x:c r="G450" s="174"/>
      <x:c r="H450" s="174"/>
      <x:c r="I450" s="174"/>
      <x:c r="J450" s="174"/>
      <x:c r="K450" s="174"/>
      <x:c r="L450" s="174"/>
      <x:c r="M450" s="174"/>
      <x:c r="N450" s="174"/>
      <x:c r="O450" s="176"/>
      <x:c r="P450" s="174"/>
      <x:c r="Q450" s="174"/>
      <x:c r="R450" s="174"/>
      <x:c r="S450" s="174"/>
      <x:c r="T450" s="174"/>
      <x:c r="U450" s="174"/>
      <x:c r="V450" s="174"/>
      <x:c r="W450" s="175" t="str">
        <x:f>IF(V450="","",LOWER(SUBSTITUTE(SUBSTITUTE(SUBSTITUTE(SUBSTITUTE(TRIM(V450),"https://doi.org/",""),"http://doi.org/",""),"https://dx.doi.org/",""),"doi:","")))</x:f>
      </x:c>
      <x:c r="X450" s="174"/>
      <x:c r="Y450" s="174"/>
      <x:c r="Z450" s="174"/>
      <x:c r="AA450" s="174"/>
      <x:c r="AB450" s="174"/>
      <x:c r="AC450" s="174"/>
      <x:c r="AD450" s="177"/>
      <x:c r="AE450" s="177"/>
      <x:c r="AF450" s="174"/>
      <x:c r="AG450" s="174"/>
      <x:c r="AH450" s="174"/>
      <x:c r="AI450" s="174"/>
      <x:c r="AJ450" s="174"/>
      <x:c r="AK450" s="175" t="str">
        <x:f>IF(AJ450="","",IF(OR(LOWER(AJ450)="brazil",LOWER(AJ450)="brasil"),"Yes","No"))</x:f>
      </x:c>
      <x:c r="AL450" s="174"/>
      <x:c r="AM450" s="174"/>
      <x:c r="AN450" s="174"/>
      <x:c r="AO450" s="178"/>
      <x:c r="AP450" s="174"/>
      <x:c r="AQ450" s="174"/>
      <x:c r="AR450" s="174"/>
      <x:c r="AS450" s="174"/>
      <x:c r="AT450" s="174"/>
      <x:c r="AU450" s="174"/>
      <x:c r="AV450" s="174"/>
      <x:c r="AW450" s="174"/>
      <x:c r="AX450" s="174"/>
      <x:c r="AY450" s="174"/>
      <x:c r="AZ450" s="174"/>
      <x:c r="BA450" s="174"/>
      <x:c r="BB450" s="174"/>
      <x:c r="BC450" s="174"/>
      <x:c r="BD450" s="174"/>
      <x:c r="BE450" s="174"/>
      <x:c r="BF450" s="174"/>
      <x:c r="BG450" s="174"/>
      <x:c r="BH450" s="174"/>
      <x:c r="BI450" s="174"/>
      <x:c r="BJ450" s="174"/>
      <x:c r="BK450" s="174"/>
      <x:c r="BL450" s="174"/>
      <x:c r="BM450" s="174"/>
      <x:c r="BN450" s="174"/>
      <x:c r="BO450" s="174"/>
      <x:c r="BP450" s="174"/>
      <x:c r="BQ450" s="174"/>
      <x:c r="BR450" s="174"/>
      <x:c r="BS450" s="174"/>
      <x:c r="BT450" s="174"/>
      <x:c r="BU450" s="174"/>
      <x:c r="BV450" s="174"/>
      <x:c r="BW450" s="174"/>
      <x:c r="BX450" s="174"/>
      <x:c r="BY450" s="174"/>
      <x:c r="BZ450" s="174"/>
      <x:c r="CA450" s="174"/>
      <x:c r="CB450" s="174"/>
      <x:c r="CC450" s="174"/>
      <x:c r="CD450" s="174"/>
      <x:c r="CE450" s="174"/>
      <x:c r="CF450" s="174"/>
      <x:c r="CG450" s="174"/>
      <x:c r="CH450" s="174"/>
      <x:c r="CI450" s="179"/>
      <x:c r="CJ450" s="174"/>
      <x:c r="CK450" s="174"/>
      <x:c r="CL450" s="174"/>
      <x:c r="CM450" s="174"/>
      <x:c r="CN450" s="174"/>
      <x:c r="CO450" s="177"/>
      <x:c r="CP450" s="174"/>
      <x:c r="CQ450" s="174"/>
      <x:c r="CR450" s="174"/>
      <x:c r="CS450" s="174"/>
      <x:c r="CT450" s="174"/>
      <x:c r="CU450" s="176"/>
      <x:c r="CV450" s="176"/>
      <x:c r="CW450" s="176"/>
      <x:c r="CX450" s="176"/>
      <x:c r="CY450" s="176"/>
      <x:c r="CZ450" s="176"/>
      <x:c r="DA450" s="176"/>
      <x:c r="DB450" s="175" t="str">
        <x:f>IF(L450="","",IF(COUNT(CU450:DA450)&lt;7,"",SUM(CU450:DA450)))</x:f>
      </x:c>
      <x:c r="DC450" s="180" t="str">
        <x:f>IF(DB450="","",ROUND(DB450/14*10,1))</x:f>
      </x:c>
      <x:c r="DD450" s="174"/>
      <x:c r="DE450" s="175" t="str">
        <x:f>IF(L450="","",IF(DC450="","Pending",IF(DD450="Yes","CONDITIONAL — safety override",IF(DC450&gt;=8,"HIGH",IF(DC450&gt;=5,"CONDITIONAL","LOW")))))</x:f>
      </x:c>
      <x:c r="DF450" s="174"/>
      <x:c r="DG450" s="174"/>
      <x:c r="DH450" s="174"/>
      <x:c r="DI450" s="174"/>
      <x:c r="DJ450" s="174"/>
      <x:c r="DK450" s="174"/>
      <x:c r="DL450" s="174"/>
      <x:c r="DM450" s="174"/>
      <x:c r="DN450" s="174"/>
      <x:c r="DO450" s="174"/>
      <x:c r="DP450" s="174"/>
      <x:c r="DQ450" s="174"/>
      <x:c r="DR450" s="174"/>
      <x:c r="DS450" s="174"/>
      <x:c r="DT450" s="174"/>
      <x:c r="DU450" s="174"/>
      <x:c r="DV450" s="174"/>
      <x:c r="DW450" s="174"/>
      <x:c r="DX450" s="174"/>
      <x:c r="DY450" s="174"/>
      <x:c r="DZ450" s="174"/>
      <x:c r="EA450" s="174"/>
      <x:c r="EB450" s="175" t="str">
        <x:f>IF(L450="","",IF(AND(F450="Claim-ready",CJ450="Yes",CL450="Yes",DZ450&lt;&gt;""),"Yes","No / Pending"))</x:f>
      </x:c>
      <x:c r="EC450" s="174"/>
      <x:c r="ED450" s="174"/>
      <x:c r="EE450" s="174"/>
      <x:c r="EF450" s="174"/>
      <x:c r="EG450" s="174"/>
      <x:c r="EH450" s="177"/>
      <x:c r="EI450" s="174"/>
      <x:c r="EJ450" s="174"/>
      <x:c r="EK450" s="174"/>
      <x:c r="EL450" s="177"/>
      <x:c r="EM450" s="174"/>
      <x:c r="EN450" s="181" t="str">
        <x:f>IF(L450="","",(IF(N450&lt;&gt;"",1,0)+IF(O450&lt;&gt;"",1,0)+IF(AJ450&lt;&gt;"",1,0)+IF(AU450&lt;&gt;"",1,0)+IF(BE450&lt;&gt;"",1,0)+IF(CF450&lt;&gt;"",1,0)+IF(CJ450="Yes",1,0)+IF(CL450="Yes",1,0)+IF(DE450&lt;&gt;"Pending",1,0)+IF(F450&lt;&gt;"",1,0)+IF(DZ450&lt;&gt;"",1,0)+IF(EI450&lt;&gt;"",1,0))/12)</x:f>
      </x:c>
    </x:row>
    <x:row r="451">
      <x:c r="A451" s="175" t="str">
        <x:f>IF(L451="","","EV-"&amp;TEXT(ROW()-3,"0000"))</x:f>
      </x:c>
      <x:c r="B451" s="174"/>
      <x:c r="C451" s="175" t="str">
        <x:f>IF(L451="","",IF(OR(CM451="Retracted",CN451="Retracted",F451="Not used"),"🔴 Do not use for conclusion",IF(OR(R451="Official / Institutional",I451="Official / contextual"),"🔵 Official / contextual",IF(OR(I451="Definition",I451="Framework",I451="Paradigm shift"),"🟣 Conceptual key source",IF(AND(CJ451="Yes",CL451="Yes",OR(CG451="High",CG451="Moderate"),CH451&lt;&gt;"High",CH451&lt;&gt;"Critical",F451="Claim-ready"),"🟢 Claim-ready","🟡 Caution / context")))))</x:f>
      </x:c>
      <x:c r="D451" s="174"/>
      <x:c r="E451" s="174"/>
      <x:c r="F451" s="174"/>
      <x:c r="G451" s="174"/>
      <x:c r="H451" s="174"/>
      <x:c r="I451" s="174"/>
      <x:c r="J451" s="174"/>
      <x:c r="K451" s="174"/>
      <x:c r="L451" s="174"/>
      <x:c r="M451" s="174"/>
      <x:c r="N451" s="174"/>
      <x:c r="O451" s="176"/>
      <x:c r="P451" s="174"/>
      <x:c r="Q451" s="174"/>
      <x:c r="R451" s="174"/>
      <x:c r="S451" s="174"/>
      <x:c r="T451" s="174"/>
      <x:c r="U451" s="174"/>
      <x:c r="V451" s="174"/>
      <x:c r="W451" s="175" t="str">
        <x:f>IF(V451="","",LOWER(SUBSTITUTE(SUBSTITUTE(SUBSTITUTE(SUBSTITUTE(TRIM(V451),"https://doi.org/",""),"http://doi.org/",""),"https://dx.doi.org/",""),"doi:","")))</x:f>
      </x:c>
      <x:c r="X451" s="174"/>
      <x:c r="Y451" s="174"/>
      <x:c r="Z451" s="174"/>
      <x:c r="AA451" s="174"/>
      <x:c r="AB451" s="174"/>
      <x:c r="AC451" s="174"/>
      <x:c r="AD451" s="177"/>
      <x:c r="AE451" s="177"/>
      <x:c r="AF451" s="174"/>
      <x:c r="AG451" s="174"/>
      <x:c r="AH451" s="174"/>
      <x:c r="AI451" s="174"/>
      <x:c r="AJ451" s="174"/>
      <x:c r="AK451" s="175" t="str">
        <x:f>IF(AJ451="","",IF(OR(LOWER(AJ451)="brazil",LOWER(AJ451)="brasil"),"Yes","No"))</x:f>
      </x:c>
      <x:c r="AL451" s="174"/>
      <x:c r="AM451" s="174"/>
      <x:c r="AN451" s="174"/>
      <x:c r="AO451" s="178"/>
      <x:c r="AP451" s="174"/>
      <x:c r="AQ451" s="174"/>
      <x:c r="AR451" s="174"/>
      <x:c r="AS451" s="174"/>
      <x:c r="AT451" s="174"/>
      <x:c r="AU451" s="174"/>
      <x:c r="AV451" s="174"/>
      <x:c r="AW451" s="174"/>
      <x:c r="AX451" s="174"/>
      <x:c r="AY451" s="174"/>
      <x:c r="AZ451" s="174"/>
      <x:c r="BA451" s="174"/>
      <x:c r="BB451" s="174"/>
      <x:c r="BC451" s="174"/>
      <x:c r="BD451" s="174"/>
      <x:c r="BE451" s="174"/>
      <x:c r="BF451" s="174"/>
      <x:c r="BG451" s="174"/>
      <x:c r="BH451" s="174"/>
      <x:c r="BI451" s="174"/>
      <x:c r="BJ451" s="174"/>
      <x:c r="BK451" s="174"/>
      <x:c r="BL451" s="174"/>
      <x:c r="BM451" s="174"/>
      <x:c r="BN451" s="174"/>
      <x:c r="BO451" s="174"/>
      <x:c r="BP451" s="174"/>
      <x:c r="BQ451" s="174"/>
      <x:c r="BR451" s="174"/>
      <x:c r="BS451" s="174"/>
      <x:c r="BT451" s="174"/>
      <x:c r="BU451" s="174"/>
      <x:c r="BV451" s="174"/>
      <x:c r="BW451" s="174"/>
      <x:c r="BX451" s="174"/>
      <x:c r="BY451" s="174"/>
      <x:c r="BZ451" s="174"/>
      <x:c r="CA451" s="174"/>
      <x:c r="CB451" s="174"/>
      <x:c r="CC451" s="174"/>
      <x:c r="CD451" s="174"/>
      <x:c r="CE451" s="174"/>
      <x:c r="CF451" s="174"/>
      <x:c r="CG451" s="174"/>
      <x:c r="CH451" s="174"/>
      <x:c r="CI451" s="179"/>
      <x:c r="CJ451" s="174"/>
      <x:c r="CK451" s="174"/>
      <x:c r="CL451" s="174"/>
      <x:c r="CM451" s="174"/>
      <x:c r="CN451" s="174"/>
      <x:c r="CO451" s="177"/>
      <x:c r="CP451" s="174"/>
      <x:c r="CQ451" s="174"/>
      <x:c r="CR451" s="174"/>
      <x:c r="CS451" s="174"/>
      <x:c r="CT451" s="174"/>
      <x:c r="CU451" s="176"/>
      <x:c r="CV451" s="176"/>
      <x:c r="CW451" s="176"/>
      <x:c r="CX451" s="176"/>
      <x:c r="CY451" s="176"/>
      <x:c r="CZ451" s="176"/>
      <x:c r="DA451" s="176"/>
      <x:c r="DB451" s="175" t="str">
        <x:f>IF(L451="","",IF(COUNT(CU451:DA451)&lt;7,"",SUM(CU451:DA451)))</x:f>
      </x:c>
      <x:c r="DC451" s="180" t="str">
        <x:f>IF(DB451="","",ROUND(DB451/14*10,1))</x:f>
      </x:c>
      <x:c r="DD451" s="174"/>
      <x:c r="DE451" s="175" t="str">
        <x:f>IF(L451="","",IF(DC451="","Pending",IF(DD451="Yes","CONDITIONAL — safety override",IF(DC451&gt;=8,"HIGH",IF(DC451&gt;=5,"CONDITIONAL","LOW")))))</x:f>
      </x:c>
      <x:c r="DF451" s="174"/>
      <x:c r="DG451" s="174"/>
      <x:c r="DH451" s="174"/>
      <x:c r="DI451" s="174"/>
      <x:c r="DJ451" s="174"/>
      <x:c r="DK451" s="174"/>
      <x:c r="DL451" s="174"/>
      <x:c r="DM451" s="174"/>
      <x:c r="DN451" s="174"/>
      <x:c r="DO451" s="174"/>
      <x:c r="DP451" s="174"/>
      <x:c r="DQ451" s="174"/>
      <x:c r="DR451" s="174"/>
      <x:c r="DS451" s="174"/>
      <x:c r="DT451" s="174"/>
      <x:c r="DU451" s="174"/>
      <x:c r="DV451" s="174"/>
      <x:c r="DW451" s="174"/>
      <x:c r="DX451" s="174"/>
      <x:c r="DY451" s="174"/>
      <x:c r="DZ451" s="174"/>
      <x:c r="EA451" s="174"/>
      <x:c r="EB451" s="175" t="str">
        <x:f>IF(L451="","",IF(AND(F451="Claim-ready",CJ451="Yes",CL451="Yes",DZ451&lt;&gt;""),"Yes","No / Pending"))</x:f>
      </x:c>
      <x:c r="EC451" s="174"/>
      <x:c r="ED451" s="174"/>
      <x:c r="EE451" s="174"/>
      <x:c r="EF451" s="174"/>
      <x:c r="EG451" s="174"/>
      <x:c r="EH451" s="177"/>
      <x:c r="EI451" s="174"/>
      <x:c r="EJ451" s="174"/>
      <x:c r="EK451" s="174"/>
      <x:c r="EL451" s="177"/>
      <x:c r="EM451" s="174"/>
      <x:c r="EN451" s="181" t="str">
        <x:f>IF(L451="","",(IF(N451&lt;&gt;"",1,0)+IF(O451&lt;&gt;"",1,0)+IF(AJ451&lt;&gt;"",1,0)+IF(AU451&lt;&gt;"",1,0)+IF(BE451&lt;&gt;"",1,0)+IF(CF451&lt;&gt;"",1,0)+IF(CJ451="Yes",1,0)+IF(CL451="Yes",1,0)+IF(DE451&lt;&gt;"Pending",1,0)+IF(F451&lt;&gt;"",1,0)+IF(DZ451&lt;&gt;"",1,0)+IF(EI451&lt;&gt;"",1,0))/12)</x:f>
      </x:c>
    </x:row>
    <x:row r="452">
      <x:c r="A452" s="175" t="str">
        <x:f>IF(L452="","","EV-"&amp;TEXT(ROW()-3,"0000"))</x:f>
      </x:c>
      <x:c r="B452" s="174"/>
      <x:c r="C452" s="175" t="str">
        <x:f>IF(L452="","",IF(OR(CM452="Retracted",CN452="Retracted",F452="Not used"),"🔴 Do not use for conclusion",IF(OR(R452="Official / Institutional",I452="Official / contextual"),"🔵 Official / contextual",IF(OR(I452="Definition",I452="Framework",I452="Paradigm shift"),"🟣 Conceptual key source",IF(AND(CJ452="Yes",CL452="Yes",OR(CG452="High",CG452="Moderate"),CH452&lt;&gt;"High",CH452&lt;&gt;"Critical",F452="Claim-ready"),"🟢 Claim-ready","🟡 Caution / context")))))</x:f>
      </x:c>
      <x:c r="D452" s="174"/>
      <x:c r="E452" s="174"/>
      <x:c r="F452" s="174"/>
      <x:c r="G452" s="174"/>
      <x:c r="H452" s="174"/>
      <x:c r="I452" s="174"/>
      <x:c r="J452" s="174"/>
      <x:c r="K452" s="174"/>
      <x:c r="L452" s="174"/>
      <x:c r="M452" s="174"/>
      <x:c r="N452" s="174"/>
      <x:c r="O452" s="176"/>
      <x:c r="P452" s="174"/>
      <x:c r="Q452" s="174"/>
      <x:c r="R452" s="174"/>
      <x:c r="S452" s="174"/>
      <x:c r="T452" s="174"/>
      <x:c r="U452" s="174"/>
      <x:c r="V452" s="174"/>
      <x:c r="W452" s="175" t="str">
        <x:f>IF(V452="","",LOWER(SUBSTITUTE(SUBSTITUTE(SUBSTITUTE(SUBSTITUTE(TRIM(V452),"https://doi.org/",""),"http://doi.org/",""),"https://dx.doi.org/",""),"doi:","")))</x:f>
      </x:c>
      <x:c r="X452" s="174"/>
      <x:c r="Y452" s="174"/>
      <x:c r="Z452" s="174"/>
      <x:c r="AA452" s="174"/>
      <x:c r="AB452" s="174"/>
      <x:c r="AC452" s="174"/>
      <x:c r="AD452" s="177"/>
      <x:c r="AE452" s="177"/>
      <x:c r="AF452" s="174"/>
      <x:c r="AG452" s="174"/>
      <x:c r="AH452" s="174"/>
      <x:c r="AI452" s="174"/>
      <x:c r="AJ452" s="174"/>
      <x:c r="AK452" s="175" t="str">
        <x:f>IF(AJ452="","",IF(OR(LOWER(AJ452)="brazil",LOWER(AJ452)="brasil"),"Yes","No"))</x:f>
      </x:c>
      <x:c r="AL452" s="174"/>
      <x:c r="AM452" s="174"/>
      <x:c r="AN452" s="174"/>
      <x:c r="AO452" s="178"/>
      <x:c r="AP452" s="174"/>
      <x:c r="AQ452" s="174"/>
      <x:c r="AR452" s="174"/>
      <x:c r="AS452" s="174"/>
      <x:c r="AT452" s="174"/>
      <x:c r="AU452" s="174"/>
      <x:c r="AV452" s="174"/>
      <x:c r="AW452" s="174"/>
      <x:c r="AX452" s="174"/>
      <x:c r="AY452" s="174"/>
      <x:c r="AZ452" s="174"/>
      <x:c r="BA452" s="174"/>
      <x:c r="BB452" s="174"/>
      <x:c r="BC452" s="174"/>
      <x:c r="BD452" s="174"/>
      <x:c r="BE452" s="174"/>
      <x:c r="BF452" s="174"/>
      <x:c r="BG452" s="174"/>
      <x:c r="BH452" s="174"/>
      <x:c r="BI452" s="174"/>
      <x:c r="BJ452" s="174"/>
      <x:c r="BK452" s="174"/>
      <x:c r="BL452" s="174"/>
      <x:c r="BM452" s="174"/>
      <x:c r="BN452" s="174"/>
      <x:c r="BO452" s="174"/>
      <x:c r="BP452" s="174"/>
      <x:c r="BQ452" s="174"/>
      <x:c r="BR452" s="174"/>
      <x:c r="BS452" s="174"/>
      <x:c r="BT452" s="174"/>
      <x:c r="BU452" s="174"/>
      <x:c r="BV452" s="174"/>
      <x:c r="BW452" s="174"/>
      <x:c r="BX452" s="174"/>
      <x:c r="BY452" s="174"/>
      <x:c r="BZ452" s="174"/>
      <x:c r="CA452" s="174"/>
      <x:c r="CB452" s="174"/>
      <x:c r="CC452" s="174"/>
      <x:c r="CD452" s="174"/>
      <x:c r="CE452" s="174"/>
      <x:c r="CF452" s="174"/>
      <x:c r="CG452" s="174"/>
      <x:c r="CH452" s="174"/>
      <x:c r="CI452" s="179"/>
      <x:c r="CJ452" s="174"/>
      <x:c r="CK452" s="174"/>
      <x:c r="CL452" s="174"/>
      <x:c r="CM452" s="174"/>
      <x:c r="CN452" s="174"/>
      <x:c r="CO452" s="177"/>
      <x:c r="CP452" s="174"/>
      <x:c r="CQ452" s="174"/>
      <x:c r="CR452" s="174"/>
      <x:c r="CS452" s="174"/>
      <x:c r="CT452" s="174"/>
      <x:c r="CU452" s="176"/>
      <x:c r="CV452" s="176"/>
      <x:c r="CW452" s="176"/>
      <x:c r="CX452" s="176"/>
      <x:c r="CY452" s="176"/>
      <x:c r="CZ452" s="176"/>
      <x:c r="DA452" s="176"/>
      <x:c r="DB452" s="175" t="str">
        <x:f>IF(L452="","",IF(COUNT(CU452:DA452)&lt;7,"",SUM(CU452:DA452)))</x:f>
      </x:c>
      <x:c r="DC452" s="180" t="str">
        <x:f>IF(DB452="","",ROUND(DB452/14*10,1))</x:f>
      </x:c>
      <x:c r="DD452" s="174"/>
      <x:c r="DE452" s="175" t="str">
        <x:f>IF(L452="","",IF(DC452="","Pending",IF(DD452="Yes","CONDITIONAL — safety override",IF(DC452&gt;=8,"HIGH",IF(DC452&gt;=5,"CONDITIONAL","LOW")))))</x:f>
      </x:c>
      <x:c r="DF452" s="174"/>
      <x:c r="DG452" s="174"/>
      <x:c r="DH452" s="174"/>
      <x:c r="DI452" s="174"/>
      <x:c r="DJ452" s="174"/>
      <x:c r="DK452" s="174"/>
      <x:c r="DL452" s="174"/>
      <x:c r="DM452" s="174"/>
      <x:c r="DN452" s="174"/>
      <x:c r="DO452" s="174"/>
      <x:c r="DP452" s="174"/>
      <x:c r="DQ452" s="174"/>
      <x:c r="DR452" s="174"/>
      <x:c r="DS452" s="174"/>
      <x:c r="DT452" s="174"/>
      <x:c r="DU452" s="174"/>
      <x:c r="DV452" s="174"/>
      <x:c r="DW452" s="174"/>
      <x:c r="DX452" s="174"/>
      <x:c r="DY452" s="174"/>
      <x:c r="DZ452" s="174"/>
      <x:c r="EA452" s="174"/>
      <x:c r="EB452" s="175" t="str">
        <x:f>IF(L452="","",IF(AND(F452="Claim-ready",CJ452="Yes",CL452="Yes",DZ452&lt;&gt;""),"Yes","No / Pending"))</x:f>
      </x:c>
      <x:c r="EC452" s="174"/>
      <x:c r="ED452" s="174"/>
      <x:c r="EE452" s="174"/>
      <x:c r="EF452" s="174"/>
      <x:c r="EG452" s="174"/>
      <x:c r="EH452" s="177"/>
      <x:c r="EI452" s="174"/>
      <x:c r="EJ452" s="174"/>
      <x:c r="EK452" s="174"/>
      <x:c r="EL452" s="177"/>
      <x:c r="EM452" s="174"/>
      <x:c r="EN452" s="181" t="str">
        <x:f>IF(L452="","",(IF(N452&lt;&gt;"",1,0)+IF(O452&lt;&gt;"",1,0)+IF(AJ452&lt;&gt;"",1,0)+IF(AU452&lt;&gt;"",1,0)+IF(BE452&lt;&gt;"",1,0)+IF(CF452&lt;&gt;"",1,0)+IF(CJ452="Yes",1,0)+IF(CL452="Yes",1,0)+IF(DE452&lt;&gt;"Pending",1,0)+IF(F452&lt;&gt;"",1,0)+IF(DZ452&lt;&gt;"",1,0)+IF(EI452&lt;&gt;"",1,0))/12)</x:f>
      </x:c>
    </x:row>
    <x:row r="453">
      <x:c r="A453" s="175" t="str">
        <x:f>IF(L453="","","EV-"&amp;TEXT(ROW()-3,"0000"))</x:f>
      </x:c>
      <x:c r="B453" s="174"/>
      <x:c r="C453" s="175" t="str">
        <x:f>IF(L453="","",IF(OR(CM453="Retracted",CN453="Retracted",F453="Not used"),"🔴 Do not use for conclusion",IF(OR(R453="Official / Institutional",I453="Official / contextual"),"🔵 Official / contextual",IF(OR(I453="Definition",I453="Framework",I453="Paradigm shift"),"🟣 Conceptual key source",IF(AND(CJ453="Yes",CL453="Yes",OR(CG453="High",CG453="Moderate"),CH453&lt;&gt;"High",CH453&lt;&gt;"Critical",F453="Claim-ready"),"🟢 Claim-ready","🟡 Caution / context")))))</x:f>
      </x:c>
      <x:c r="D453" s="174"/>
      <x:c r="E453" s="174"/>
      <x:c r="F453" s="174"/>
      <x:c r="G453" s="174"/>
      <x:c r="H453" s="174"/>
      <x:c r="I453" s="174"/>
      <x:c r="J453" s="174"/>
      <x:c r="K453" s="174"/>
      <x:c r="L453" s="174"/>
      <x:c r="M453" s="174"/>
      <x:c r="N453" s="174"/>
      <x:c r="O453" s="176"/>
      <x:c r="P453" s="174"/>
      <x:c r="Q453" s="174"/>
      <x:c r="R453" s="174"/>
      <x:c r="S453" s="174"/>
      <x:c r="T453" s="174"/>
      <x:c r="U453" s="174"/>
      <x:c r="V453" s="174"/>
      <x:c r="W453" s="175" t="str">
        <x:f>IF(V453="","",LOWER(SUBSTITUTE(SUBSTITUTE(SUBSTITUTE(SUBSTITUTE(TRIM(V453),"https://doi.org/",""),"http://doi.org/",""),"https://dx.doi.org/",""),"doi:","")))</x:f>
      </x:c>
      <x:c r="X453" s="174"/>
      <x:c r="Y453" s="174"/>
      <x:c r="Z453" s="174"/>
      <x:c r="AA453" s="174"/>
      <x:c r="AB453" s="174"/>
      <x:c r="AC453" s="174"/>
      <x:c r="AD453" s="177"/>
      <x:c r="AE453" s="177"/>
      <x:c r="AF453" s="174"/>
      <x:c r="AG453" s="174"/>
      <x:c r="AH453" s="174"/>
      <x:c r="AI453" s="174"/>
      <x:c r="AJ453" s="174"/>
      <x:c r="AK453" s="175" t="str">
        <x:f>IF(AJ453="","",IF(OR(LOWER(AJ453)="brazil",LOWER(AJ453)="brasil"),"Yes","No"))</x:f>
      </x:c>
      <x:c r="AL453" s="174"/>
      <x:c r="AM453" s="174"/>
      <x:c r="AN453" s="174"/>
      <x:c r="AO453" s="178"/>
      <x:c r="AP453" s="174"/>
      <x:c r="AQ453" s="174"/>
      <x:c r="AR453" s="174"/>
      <x:c r="AS453" s="174"/>
      <x:c r="AT453" s="174"/>
      <x:c r="AU453" s="174"/>
      <x:c r="AV453" s="174"/>
      <x:c r="AW453" s="174"/>
      <x:c r="AX453" s="174"/>
      <x:c r="AY453" s="174"/>
      <x:c r="AZ453" s="174"/>
      <x:c r="BA453" s="174"/>
      <x:c r="BB453" s="174"/>
      <x:c r="BC453" s="174"/>
      <x:c r="BD453" s="174"/>
      <x:c r="BE453" s="174"/>
      <x:c r="BF453" s="174"/>
      <x:c r="BG453" s="174"/>
      <x:c r="BH453" s="174"/>
      <x:c r="BI453" s="174"/>
      <x:c r="BJ453" s="174"/>
      <x:c r="BK453" s="174"/>
      <x:c r="BL453" s="174"/>
      <x:c r="BM453" s="174"/>
      <x:c r="BN453" s="174"/>
      <x:c r="BO453" s="174"/>
      <x:c r="BP453" s="174"/>
      <x:c r="BQ453" s="174"/>
      <x:c r="BR453" s="174"/>
      <x:c r="BS453" s="174"/>
      <x:c r="BT453" s="174"/>
      <x:c r="BU453" s="174"/>
      <x:c r="BV453" s="174"/>
      <x:c r="BW453" s="174"/>
      <x:c r="BX453" s="174"/>
      <x:c r="BY453" s="174"/>
      <x:c r="BZ453" s="174"/>
      <x:c r="CA453" s="174"/>
      <x:c r="CB453" s="174"/>
      <x:c r="CC453" s="174"/>
      <x:c r="CD453" s="174"/>
      <x:c r="CE453" s="174"/>
      <x:c r="CF453" s="174"/>
      <x:c r="CG453" s="174"/>
      <x:c r="CH453" s="174"/>
      <x:c r="CI453" s="179"/>
      <x:c r="CJ453" s="174"/>
      <x:c r="CK453" s="174"/>
      <x:c r="CL453" s="174"/>
      <x:c r="CM453" s="174"/>
      <x:c r="CN453" s="174"/>
      <x:c r="CO453" s="177"/>
      <x:c r="CP453" s="174"/>
      <x:c r="CQ453" s="174"/>
      <x:c r="CR453" s="174"/>
      <x:c r="CS453" s="174"/>
      <x:c r="CT453" s="174"/>
      <x:c r="CU453" s="176"/>
      <x:c r="CV453" s="176"/>
      <x:c r="CW453" s="176"/>
      <x:c r="CX453" s="176"/>
      <x:c r="CY453" s="176"/>
      <x:c r="CZ453" s="176"/>
      <x:c r="DA453" s="176"/>
      <x:c r="DB453" s="175" t="str">
        <x:f>IF(L453="","",IF(COUNT(CU453:DA453)&lt;7,"",SUM(CU453:DA453)))</x:f>
      </x:c>
      <x:c r="DC453" s="180" t="str">
        <x:f>IF(DB453="","",ROUND(DB453/14*10,1))</x:f>
      </x:c>
      <x:c r="DD453" s="174"/>
      <x:c r="DE453" s="175" t="str">
        <x:f>IF(L453="","",IF(DC453="","Pending",IF(DD453="Yes","CONDITIONAL — safety override",IF(DC453&gt;=8,"HIGH",IF(DC453&gt;=5,"CONDITIONAL","LOW")))))</x:f>
      </x:c>
      <x:c r="DF453" s="174"/>
      <x:c r="DG453" s="174"/>
      <x:c r="DH453" s="174"/>
      <x:c r="DI453" s="174"/>
      <x:c r="DJ453" s="174"/>
      <x:c r="DK453" s="174"/>
      <x:c r="DL453" s="174"/>
      <x:c r="DM453" s="174"/>
      <x:c r="DN453" s="174"/>
      <x:c r="DO453" s="174"/>
      <x:c r="DP453" s="174"/>
      <x:c r="DQ453" s="174"/>
      <x:c r="DR453" s="174"/>
      <x:c r="DS453" s="174"/>
      <x:c r="DT453" s="174"/>
      <x:c r="DU453" s="174"/>
      <x:c r="DV453" s="174"/>
      <x:c r="DW453" s="174"/>
      <x:c r="DX453" s="174"/>
      <x:c r="DY453" s="174"/>
      <x:c r="DZ453" s="174"/>
      <x:c r="EA453" s="174"/>
      <x:c r="EB453" s="175" t="str">
        <x:f>IF(L453="","",IF(AND(F453="Claim-ready",CJ453="Yes",CL453="Yes",DZ453&lt;&gt;""),"Yes","No / Pending"))</x:f>
      </x:c>
      <x:c r="EC453" s="174"/>
      <x:c r="ED453" s="174"/>
      <x:c r="EE453" s="174"/>
      <x:c r="EF453" s="174"/>
      <x:c r="EG453" s="174"/>
      <x:c r="EH453" s="177"/>
      <x:c r="EI453" s="174"/>
      <x:c r="EJ453" s="174"/>
      <x:c r="EK453" s="174"/>
      <x:c r="EL453" s="177"/>
      <x:c r="EM453" s="174"/>
      <x:c r="EN453" s="181" t="str">
        <x:f>IF(L453="","",(IF(N453&lt;&gt;"",1,0)+IF(O453&lt;&gt;"",1,0)+IF(AJ453&lt;&gt;"",1,0)+IF(AU453&lt;&gt;"",1,0)+IF(BE453&lt;&gt;"",1,0)+IF(CF453&lt;&gt;"",1,0)+IF(CJ453="Yes",1,0)+IF(CL453="Yes",1,0)+IF(DE453&lt;&gt;"Pending",1,0)+IF(F453&lt;&gt;"",1,0)+IF(DZ453&lt;&gt;"",1,0)+IF(EI453&lt;&gt;"",1,0))/12)</x:f>
      </x:c>
    </x:row>
    <x:row r="454">
      <x:c r="A454" s="175" t="str">
        <x:f>IF(L454="","","EV-"&amp;TEXT(ROW()-3,"0000"))</x:f>
      </x:c>
      <x:c r="B454" s="174"/>
      <x:c r="C454" s="175" t="str">
        <x:f>IF(L454="","",IF(OR(CM454="Retracted",CN454="Retracted",F454="Not used"),"🔴 Do not use for conclusion",IF(OR(R454="Official / Institutional",I454="Official / contextual"),"🔵 Official / contextual",IF(OR(I454="Definition",I454="Framework",I454="Paradigm shift"),"🟣 Conceptual key source",IF(AND(CJ454="Yes",CL454="Yes",OR(CG454="High",CG454="Moderate"),CH454&lt;&gt;"High",CH454&lt;&gt;"Critical",F454="Claim-ready"),"🟢 Claim-ready","🟡 Caution / context")))))</x:f>
      </x:c>
      <x:c r="D454" s="174"/>
      <x:c r="E454" s="174"/>
      <x:c r="F454" s="174"/>
      <x:c r="G454" s="174"/>
      <x:c r="H454" s="174"/>
      <x:c r="I454" s="174"/>
      <x:c r="J454" s="174"/>
      <x:c r="K454" s="174"/>
      <x:c r="L454" s="174"/>
      <x:c r="M454" s="174"/>
      <x:c r="N454" s="174"/>
      <x:c r="O454" s="176"/>
      <x:c r="P454" s="174"/>
      <x:c r="Q454" s="174"/>
      <x:c r="R454" s="174"/>
      <x:c r="S454" s="174"/>
      <x:c r="T454" s="174"/>
      <x:c r="U454" s="174"/>
      <x:c r="V454" s="174"/>
      <x:c r="W454" s="175" t="str">
        <x:f>IF(V454="","",LOWER(SUBSTITUTE(SUBSTITUTE(SUBSTITUTE(SUBSTITUTE(TRIM(V454),"https://doi.org/",""),"http://doi.org/",""),"https://dx.doi.org/",""),"doi:","")))</x:f>
      </x:c>
      <x:c r="X454" s="174"/>
      <x:c r="Y454" s="174"/>
      <x:c r="Z454" s="174"/>
      <x:c r="AA454" s="174"/>
      <x:c r="AB454" s="174"/>
      <x:c r="AC454" s="174"/>
      <x:c r="AD454" s="177"/>
      <x:c r="AE454" s="177"/>
      <x:c r="AF454" s="174"/>
      <x:c r="AG454" s="174"/>
      <x:c r="AH454" s="174"/>
      <x:c r="AI454" s="174"/>
      <x:c r="AJ454" s="174"/>
      <x:c r="AK454" s="175" t="str">
        <x:f>IF(AJ454="","",IF(OR(LOWER(AJ454)="brazil",LOWER(AJ454)="brasil"),"Yes","No"))</x:f>
      </x:c>
      <x:c r="AL454" s="174"/>
      <x:c r="AM454" s="174"/>
      <x:c r="AN454" s="174"/>
      <x:c r="AO454" s="178"/>
      <x:c r="AP454" s="174"/>
      <x:c r="AQ454" s="174"/>
      <x:c r="AR454" s="174"/>
      <x:c r="AS454" s="174"/>
      <x:c r="AT454" s="174"/>
      <x:c r="AU454" s="174"/>
      <x:c r="AV454" s="174"/>
      <x:c r="AW454" s="174"/>
      <x:c r="AX454" s="174"/>
      <x:c r="AY454" s="174"/>
      <x:c r="AZ454" s="174"/>
      <x:c r="BA454" s="174"/>
      <x:c r="BB454" s="174"/>
      <x:c r="BC454" s="174"/>
      <x:c r="BD454" s="174"/>
      <x:c r="BE454" s="174"/>
      <x:c r="BF454" s="174"/>
      <x:c r="BG454" s="174"/>
      <x:c r="BH454" s="174"/>
      <x:c r="BI454" s="174"/>
      <x:c r="BJ454" s="174"/>
      <x:c r="BK454" s="174"/>
      <x:c r="BL454" s="174"/>
      <x:c r="BM454" s="174"/>
      <x:c r="BN454" s="174"/>
      <x:c r="BO454" s="174"/>
      <x:c r="BP454" s="174"/>
      <x:c r="BQ454" s="174"/>
      <x:c r="BR454" s="174"/>
      <x:c r="BS454" s="174"/>
      <x:c r="BT454" s="174"/>
      <x:c r="BU454" s="174"/>
      <x:c r="BV454" s="174"/>
      <x:c r="BW454" s="174"/>
      <x:c r="BX454" s="174"/>
      <x:c r="BY454" s="174"/>
      <x:c r="BZ454" s="174"/>
      <x:c r="CA454" s="174"/>
      <x:c r="CB454" s="174"/>
      <x:c r="CC454" s="174"/>
      <x:c r="CD454" s="174"/>
      <x:c r="CE454" s="174"/>
      <x:c r="CF454" s="174"/>
      <x:c r="CG454" s="174"/>
      <x:c r="CH454" s="174"/>
      <x:c r="CI454" s="179"/>
      <x:c r="CJ454" s="174"/>
      <x:c r="CK454" s="174"/>
      <x:c r="CL454" s="174"/>
      <x:c r="CM454" s="174"/>
      <x:c r="CN454" s="174"/>
      <x:c r="CO454" s="177"/>
      <x:c r="CP454" s="174"/>
      <x:c r="CQ454" s="174"/>
      <x:c r="CR454" s="174"/>
      <x:c r="CS454" s="174"/>
      <x:c r="CT454" s="174"/>
      <x:c r="CU454" s="176"/>
      <x:c r="CV454" s="176"/>
      <x:c r="CW454" s="176"/>
      <x:c r="CX454" s="176"/>
      <x:c r="CY454" s="176"/>
      <x:c r="CZ454" s="176"/>
      <x:c r="DA454" s="176"/>
      <x:c r="DB454" s="175" t="str">
        <x:f>IF(L454="","",IF(COUNT(CU454:DA454)&lt;7,"",SUM(CU454:DA454)))</x:f>
      </x:c>
      <x:c r="DC454" s="180" t="str">
        <x:f>IF(DB454="","",ROUND(DB454/14*10,1))</x:f>
      </x:c>
      <x:c r="DD454" s="174"/>
      <x:c r="DE454" s="175" t="str">
        <x:f>IF(L454="","",IF(DC454="","Pending",IF(DD454="Yes","CONDITIONAL — safety override",IF(DC454&gt;=8,"HIGH",IF(DC454&gt;=5,"CONDITIONAL","LOW")))))</x:f>
      </x:c>
      <x:c r="DF454" s="174"/>
      <x:c r="DG454" s="174"/>
      <x:c r="DH454" s="174"/>
      <x:c r="DI454" s="174"/>
      <x:c r="DJ454" s="174"/>
      <x:c r="DK454" s="174"/>
      <x:c r="DL454" s="174"/>
      <x:c r="DM454" s="174"/>
      <x:c r="DN454" s="174"/>
      <x:c r="DO454" s="174"/>
      <x:c r="DP454" s="174"/>
      <x:c r="DQ454" s="174"/>
      <x:c r="DR454" s="174"/>
      <x:c r="DS454" s="174"/>
      <x:c r="DT454" s="174"/>
      <x:c r="DU454" s="174"/>
      <x:c r="DV454" s="174"/>
      <x:c r="DW454" s="174"/>
      <x:c r="DX454" s="174"/>
      <x:c r="DY454" s="174"/>
      <x:c r="DZ454" s="174"/>
      <x:c r="EA454" s="174"/>
      <x:c r="EB454" s="175" t="str">
        <x:f>IF(L454="","",IF(AND(F454="Claim-ready",CJ454="Yes",CL454="Yes",DZ454&lt;&gt;""),"Yes","No / Pending"))</x:f>
      </x:c>
      <x:c r="EC454" s="174"/>
      <x:c r="ED454" s="174"/>
      <x:c r="EE454" s="174"/>
      <x:c r="EF454" s="174"/>
      <x:c r="EG454" s="174"/>
      <x:c r="EH454" s="177"/>
      <x:c r="EI454" s="174"/>
      <x:c r="EJ454" s="174"/>
      <x:c r="EK454" s="174"/>
      <x:c r="EL454" s="177"/>
      <x:c r="EM454" s="174"/>
      <x:c r="EN454" s="181" t="str">
        <x:f>IF(L454="","",(IF(N454&lt;&gt;"",1,0)+IF(O454&lt;&gt;"",1,0)+IF(AJ454&lt;&gt;"",1,0)+IF(AU454&lt;&gt;"",1,0)+IF(BE454&lt;&gt;"",1,0)+IF(CF454&lt;&gt;"",1,0)+IF(CJ454="Yes",1,0)+IF(CL454="Yes",1,0)+IF(DE454&lt;&gt;"Pending",1,0)+IF(F454&lt;&gt;"",1,0)+IF(DZ454&lt;&gt;"",1,0)+IF(EI454&lt;&gt;"",1,0))/12)</x:f>
      </x:c>
    </x:row>
    <x:row r="455">
      <x:c r="A455" s="175" t="str">
        <x:f>IF(L455="","","EV-"&amp;TEXT(ROW()-3,"0000"))</x:f>
      </x:c>
      <x:c r="B455" s="174"/>
      <x:c r="C455" s="175" t="str">
        <x:f>IF(L455="","",IF(OR(CM455="Retracted",CN455="Retracted",F455="Not used"),"🔴 Do not use for conclusion",IF(OR(R455="Official / Institutional",I455="Official / contextual"),"🔵 Official / contextual",IF(OR(I455="Definition",I455="Framework",I455="Paradigm shift"),"🟣 Conceptual key source",IF(AND(CJ455="Yes",CL455="Yes",OR(CG455="High",CG455="Moderate"),CH455&lt;&gt;"High",CH455&lt;&gt;"Critical",F455="Claim-ready"),"🟢 Claim-ready","🟡 Caution / context")))))</x:f>
      </x:c>
      <x:c r="D455" s="174"/>
      <x:c r="E455" s="174"/>
      <x:c r="F455" s="174"/>
      <x:c r="G455" s="174"/>
      <x:c r="H455" s="174"/>
      <x:c r="I455" s="174"/>
      <x:c r="J455" s="174"/>
      <x:c r="K455" s="174"/>
      <x:c r="L455" s="174"/>
      <x:c r="M455" s="174"/>
      <x:c r="N455" s="174"/>
      <x:c r="O455" s="176"/>
      <x:c r="P455" s="174"/>
      <x:c r="Q455" s="174"/>
      <x:c r="R455" s="174"/>
      <x:c r="S455" s="174"/>
      <x:c r="T455" s="174"/>
      <x:c r="U455" s="174"/>
      <x:c r="V455" s="174"/>
      <x:c r="W455" s="175" t="str">
        <x:f>IF(V455="","",LOWER(SUBSTITUTE(SUBSTITUTE(SUBSTITUTE(SUBSTITUTE(TRIM(V455),"https://doi.org/",""),"http://doi.org/",""),"https://dx.doi.org/",""),"doi:","")))</x:f>
      </x:c>
      <x:c r="X455" s="174"/>
      <x:c r="Y455" s="174"/>
      <x:c r="Z455" s="174"/>
      <x:c r="AA455" s="174"/>
      <x:c r="AB455" s="174"/>
      <x:c r="AC455" s="174"/>
      <x:c r="AD455" s="177"/>
      <x:c r="AE455" s="177"/>
      <x:c r="AF455" s="174"/>
      <x:c r="AG455" s="174"/>
      <x:c r="AH455" s="174"/>
      <x:c r="AI455" s="174"/>
      <x:c r="AJ455" s="174"/>
      <x:c r="AK455" s="175" t="str">
        <x:f>IF(AJ455="","",IF(OR(LOWER(AJ455)="brazil",LOWER(AJ455)="brasil"),"Yes","No"))</x:f>
      </x:c>
      <x:c r="AL455" s="174"/>
      <x:c r="AM455" s="174"/>
      <x:c r="AN455" s="174"/>
      <x:c r="AO455" s="178"/>
      <x:c r="AP455" s="174"/>
      <x:c r="AQ455" s="174"/>
      <x:c r="AR455" s="174"/>
      <x:c r="AS455" s="174"/>
      <x:c r="AT455" s="174"/>
      <x:c r="AU455" s="174"/>
      <x:c r="AV455" s="174"/>
      <x:c r="AW455" s="174"/>
      <x:c r="AX455" s="174"/>
      <x:c r="AY455" s="174"/>
      <x:c r="AZ455" s="174"/>
      <x:c r="BA455" s="174"/>
      <x:c r="BB455" s="174"/>
      <x:c r="BC455" s="174"/>
      <x:c r="BD455" s="174"/>
      <x:c r="BE455" s="174"/>
      <x:c r="BF455" s="174"/>
      <x:c r="BG455" s="174"/>
      <x:c r="BH455" s="174"/>
      <x:c r="BI455" s="174"/>
      <x:c r="BJ455" s="174"/>
      <x:c r="BK455" s="174"/>
      <x:c r="BL455" s="174"/>
      <x:c r="BM455" s="174"/>
      <x:c r="BN455" s="174"/>
      <x:c r="BO455" s="174"/>
      <x:c r="BP455" s="174"/>
      <x:c r="BQ455" s="174"/>
      <x:c r="BR455" s="174"/>
      <x:c r="BS455" s="174"/>
      <x:c r="BT455" s="174"/>
      <x:c r="BU455" s="174"/>
      <x:c r="BV455" s="174"/>
      <x:c r="BW455" s="174"/>
      <x:c r="BX455" s="174"/>
      <x:c r="BY455" s="174"/>
      <x:c r="BZ455" s="174"/>
      <x:c r="CA455" s="174"/>
      <x:c r="CB455" s="174"/>
      <x:c r="CC455" s="174"/>
      <x:c r="CD455" s="174"/>
      <x:c r="CE455" s="174"/>
      <x:c r="CF455" s="174"/>
      <x:c r="CG455" s="174"/>
      <x:c r="CH455" s="174"/>
      <x:c r="CI455" s="179"/>
      <x:c r="CJ455" s="174"/>
      <x:c r="CK455" s="174"/>
      <x:c r="CL455" s="174"/>
      <x:c r="CM455" s="174"/>
      <x:c r="CN455" s="174"/>
      <x:c r="CO455" s="177"/>
      <x:c r="CP455" s="174"/>
      <x:c r="CQ455" s="174"/>
      <x:c r="CR455" s="174"/>
      <x:c r="CS455" s="174"/>
      <x:c r="CT455" s="174"/>
      <x:c r="CU455" s="176"/>
      <x:c r="CV455" s="176"/>
      <x:c r="CW455" s="176"/>
      <x:c r="CX455" s="176"/>
      <x:c r="CY455" s="176"/>
      <x:c r="CZ455" s="176"/>
      <x:c r="DA455" s="176"/>
      <x:c r="DB455" s="175" t="str">
        <x:f>IF(L455="","",IF(COUNT(CU455:DA455)&lt;7,"",SUM(CU455:DA455)))</x:f>
      </x:c>
      <x:c r="DC455" s="180" t="str">
        <x:f>IF(DB455="","",ROUND(DB455/14*10,1))</x:f>
      </x:c>
      <x:c r="DD455" s="174"/>
      <x:c r="DE455" s="175" t="str">
        <x:f>IF(L455="","",IF(DC455="","Pending",IF(DD455="Yes","CONDITIONAL — safety override",IF(DC455&gt;=8,"HIGH",IF(DC455&gt;=5,"CONDITIONAL","LOW")))))</x:f>
      </x:c>
      <x:c r="DF455" s="174"/>
      <x:c r="DG455" s="174"/>
      <x:c r="DH455" s="174"/>
      <x:c r="DI455" s="174"/>
      <x:c r="DJ455" s="174"/>
      <x:c r="DK455" s="174"/>
      <x:c r="DL455" s="174"/>
      <x:c r="DM455" s="174"/>
      <x:c r="DN455" s="174"/>
      <x:c r="DO455" s="174"/>
      <x:c r="DP455" s="174"/>
      <x:c r="DQ455" s="174"/>
      <x:c r="DR455" s="174"/>
      <x:c r="DS455" s="174"/>
      <x:c r="DT455" s="174"/>
      <x:c r="DU455" s="174"/>
      <x:c r="DV455" s="174"/>
      <x:c r="DW455" s="174"/>
      <x:c r="DX455" s="174"/>
      <x:c r="DY455" s="174"/>
      <x:c r="DZ455" s="174"/>
      <x:c r="EA455" s="174"/>
      <x:c r="EB455" s="175" t="str">
        <x:f>IF(L455="","",IF(AND(F455="Claim-ready",CJ455="Yes",CL455="Yes",DZ455&lt;&gt;""),"Yes","No / Pending"))</x:f>
      </x:c>
      <x:c r="EC455" s="174"/>
      <x:c r="ED455" s="174"/>
      <x:c r="EE455" s="174"/>
      <x:c r="EF455" s="174"/>
      <x:c r="EG455" s="174"/>
      <x:c r="EH455" s="177"/>
      <x:c r="EI455" s="174"/>
      <x:c r="EJ455" s="174"/>
      <x:c r="EK455" s="174"/>
      <x:c r="EL455" s="177"/>
      <x:c r="EM455" s="174"/>
      <x:c r="EN455" s="181" t="str">
        <x:f>IF(L455="","",(IF(N455&lt;&gt;"",1,0)+IF(O455&lt;&gt;"",1,0)+IF(AJ455&lt;&gt;"",1,0)+IF(AU455&lt;&gt;"",1,0)+IF(BE455&lt;&gt;"",1,0)+IF(CF455&lt;&gt;"",1,0)+IF(CJ455="Yes",1,0)+IF(CL455="Yes",1,0)+IF(DE455&lt;&gt;"Pending",1,0)+IF(F455&lt;&gt;"",1,0)+IF(DZ455&lt;&gt;"",1,0)+IF(EI455&lt;&gt;"",1,0))/12)</x:f>
      </x:c>
    </x:row>
    <x:row r="456">
      <x:c r="A456" s="175" t="str">
        <x:f>IF(L456="","","EV-"&amp;TEXT(ROW()-3,"0000"))</x:f>
      </x:c>
      <x:c r="B456" s="174"/>
      <x:c r="C456" s="175" t="str">
        <x:f>IF(L456="","",IF(OR(CM456="Retracted",CN456="Retracted",F456="Not used"),"🔴 Do not use for conclusion",IF(OR(R456="Official / Institutional",I456="Official / contextual"),"🔵 Official / contextual",IF(OR(I456="Definition",I456="Framework",I456="Paradigm shift"),"🟣 Conceptual key source",IF(AND(CJ456="Yes",CL456="Yes",OR(CG456="High",CG456="Moderate"),CH456&lt;&gt;"High",CH456&lt;&gt;"Critical",F456="Claim-ready"),"🟢 Claim-ready","🟡 Caution / context")))))</x:f>
      </x:c>
      <x:c r="D456" s="174"/>
      <x:c r="E456" s="174"/>
      <x:c r="F456" s="174"/>
      <x:c r="G456" s="174"/>
      <x:c r="H456" s="174"/>
      <x:c r="I456" s="174"/>
      <x:c r="J456" s="174"/>
      <x:c r="K456" s="174"/>
      <x:c r="L456" s="174"/>
      <x:c r="M456" s="174"/>
      <x:c r="N456" s="174"/>
      <x:c r="O456" s="176"/>
      <x:c r="P456" s="174"/>
      <x:c r="Q456" s="174"/>
      <x:c r="R456" s="174"/>
      <x:c r="S456" s="174"/>
      <x:c r="T456" s="174"/>
      <x:c r="U456" s="174"/>
      <x:c r="V456" s="174"/>
      <x:c r="W456" s="175" t="str">
        <x:f>IF(V456="","",LOWER(SUBSTITUTE(SUBSTITUTE(SUBSTITUTE(SUBSTITUTE(TRIM(V456),"https://doi.org/",""),"http://doi.org/",""),"https://dx.doi.org/",""),"doi:","")))</x:f>
      </x:c>
      <x:c r="X456" s="174"/>
      <x:c r="Y456" s="174"/>
      <x:c r="Z456" s="174"/>
      <x:c r="AA456" s="174"/>
      <x:c r="AB456" s="174"/>
      <x:c r="AC456" s="174"/>
      <x:c r="AD456" s="177"/>
      <x:c r="AE456" s="177"/>
      <x:c r="AF456" s="174"/>
      <x:c r="AG456" s="174"/>
      <x:c r="AH456" s="174"/>
      <x:c r="AI456" s="174"/>
      <x:c r="AJ456" s="174"/>
      <x:c r="AK456" s="175" t="str">
        <x:f>IF(AJ456="","",IF(OR(LOWER(AJ456)="brazil",LOWER(AJ456)="brasil"),"Yes","No"))</x:f>
      </x:c>
      <x:c r="AL456" s="174"/>
      <x:c r="AM456" s="174"/>
      <x:c r="AN456" s="174"/>
      <x:c r="AO456" s="178"/>
      <x:c r="AP456" s="174"/>
      <x:c r="AQ456" s="174"/>
      <x:c r="AR456" s="174"/>
      <x:c r="AS456" s="174"/>
      <x:c r="AT456" s="174"/>
      <x:c r="AU456" s="174"/>
      <x:c r="AV456" s="174"/>
      <x:c r="AW456" s="174"/>
      <x:c r="AX456" s="174"/>
      <x:c r="AY456" s="174"/>
      <x:c r="AZ456" s="174"/>
      <x:c r="BA456" s="174"/>
      <x:c r="BB456" s="174"/>
      <x:c r="BC456" s="174"/>
      <x:c r="BD456" s="174"/>
      <x:c r="BE456" s="174"/>
      <x:c r="BF456" s="174"/>
      <x:c r="BG456" s="174"/>
      <x:c r="BH456" s="174"/>
      <x:c r="BI456" s="174"/>
      <x:c r="BJ456" s="174"/>
      <x:c r="BK456" s="174"/>
      <x:c r="BL456" s="174"/>
      <x:c r="BM456" s="174"/>
      <x:c r="BN456" s="174"/>
      <x:c r="BO456" s="174"/>
      <x:c r="BP456" s="174"/>
      <x:c r="BQ456" s="174"/>
      <x:c r="BR456" s="174"/>
      <x:c r="BS456" s="174"/>
      <x:c r="BT456" s="174"/>
      <x:c r="BU456" s="174"/>
      <x:c r="BV456" s="174"/>
      <x:c r="BW456" s="174"/>
      <x:c r="BX456" s="174"/>
      <x:c r="BY456" s="174"/>
      <x:c r="BZ456" s="174"/>
      <x:c r="CA456" s="174"/>
      <x:c r="CB456" s="174"/>
      <x:c r="CC456" s="174"/>
      <x:c r="CD456" s="174"/>
      <x:c r="CE456" s="174"/>
      <x:c r="CF456" s="174"/>
      <x:c r="CG456" s="174"/>
      <x:c r="CH456" s="174"/>
      <x:c r="CI456" s="179"/>
      <x:c r="CJ456" s="174"/>
      <x:c r="CK456" s="174"/>
      <x:c r="CL456" s="174"/>
      <x:c r="CM456" s="174"/>
      <x:c r="CN456" s="174"/>
      <x:c r="CO456" s="177"/>
      <x:c r="CP456" s="174"/>
      <x:c r="CQ456" s="174"/>
      <x:c r="CR456" s="174"/>
      <x:c r="CS456" s="174"/>
      <x:c r="CT456" s="174"/>
      <x:c r="CU456" s="176"/>
      <x:c r="CV456" s="176"/>
      <x:c r="CW456" s="176"/>
      <x:c r="CX456" s="176"/>
      <x:c r="CY456" s="176"/>
      <x:c r="CZ456" s="176"/>
      <x:c r="DA456" s="176"/>
      <x:c r="DB456" s="175" t="str">
        <x:f>IF(L456="","",IF(COUNT(CU456:DA456)&lt;7,"",SUM(CU456:DA456)))</x:f>
      </x:c>
      <x:c r="DC456" s="180" t="str">
        <x:f>IF(DB456="","",ROUND(DB456/14*10,1))</x:f>
      </x:c>
      <x:c r="DD456" s="174"/>
      <x:c r="DE456" s="175" t="str">
        <x:f>IF(L456="","",IF(DC456="","Pending",IF(DD456="Yes","CONDITIONAL — safety override",IF(DC456&gt;=8,"HIGH",IF(DC456&gt;=5,"CONDITIONAL","LOW")))))</x:f>
      </x:c>
      <x:c r="DF456" s="174"/>
      <x:c r="DG456" s="174"/>
      <x:c r="DH456" s="174"/>
      <x:c r="DI456" s="174"/>
      <x:c r="DJ456" s="174"/>
      <x:c r="DK456" s="174"/>
      <x:c r="DL456" s="174"/>
      <x:c r="DM456" s="174"/>
      <x:c r="DN456" s="174"/>
      <x:c r="DO456" s="174"/>
      <x:c r="DP456" s="174"/>
      <x:c r="DQ456" s="174"/>
      <x:c r="DR456" s="174"/>
      <x:c r="DS456" s="174"/>
      <x:c r="DT456" s="174"/>
      <x:c r="DU456" s="174"/>
      <x:c r="DV456" s="174"/>
      <x:c r="DW456" s="174"/>
      <x:c r="DX456" s="174"/>
      <x:c r="DY456" s="174"/>
      <x:c r="DZ456" s="174"/>
      <x:c r="EA456" s="174"/>
      <x:c r="EB456" s="175" t="str">
        <x:f>IF(L456="","",IF(AND(F456="Claim-ready",CJ456="Yes",CL456="Yes",DZ456&lt;&gt;""),"Yes","No / Pending"))</x:f>
      </x:c>
      <x:c r="EC456" s="174"/>
      <x:c r="ED456" s="174"/>
      <x:c r="EE456" s="174"/>
      <x:c r="EF456" s="174"/>
      <x:c r="EG456" s="174"/>
      <x:c r="EH456" s="177"/>
      <x:c r="EI456" s="174"/>
      <x:c r="EJ456" s="174"/>
      <x:c r="EK456" s="174"/>
      <x:c r="EL456" s="177"/>
      <x:c r="EM456" s="174"/>
      <x:c r="EN456" s="181" t="str">
        <x:f>IF(L456="","",(IF(N456&lt;&gt;"",1,0)+IF(O456&lt;&gt;"",1,0)+IF(AJ456&lt;&gt;"",1,0)+IF(AU456&lt;&gt;"",1,0)+IF(BE456&lt;&gt;"",1,0)+IF(CF456&lt;&gt;"",1,0)+IF(CJ456="Yes",1,0)+IF(CL456="Yes",1,0)+IF(DE456&lt;&gt;"Pending",1,0)+IF(F456&lt;&gt;"",1,0)+IF(DZ456&lt;&gt;"",1,0)+IF(EI456&lt;&gt;"",1,0))/12)</x:f>
      </x:c>
    </x:row>
    <x:row r="457">
      <x:c r="A457" s="175" t="str">
        <x:f>IF(L457="","","EV-"&amp;TEXT(ROW()-3,"0000"))</x:f>
      </x:c>
      <x:c r="B457" s="174"/>
      <x:c r="C457" s="175" t="str">
        <x:f>IF(L457="","",IF(OR(CM457="Retracted",CN457="Retracted",F457="Not used"),"🔴 Do not use for conclusion",IF(OR(R457="Official / Institutional",I457="Official / contextual"),"🔵 Official / contextual",IF(OR(I457="Definition",I457="Framework",I457="Paradigm shift"),"🟣 Conceptual key source",IF(AND(CJ457="Yes",CL457="Yes",OR(CG457="High",CG457="Moderate"),CH457&lt;&gt;"High",CH457&lt;&gt;"Critical",F457="Claim-ready"),"🟢 Claim-ready","🟡 Caution / context")))))</x:f>
      </x:c>
      <x:c r="D457" s="174"/>
      <x:c r="E457" s="174"/>
      <x:c r="F457" s="174"/>
      <x:c r="G457" s="174"/>
      <x:c r="H457" s="174"/>
      <x:c r="I457" s="174"/>
      <x:c r="J457" s="174"/>
      <x:c r="K457" s="174"/>
      <x:c r="L457" s="174"/>
      <x:c r="M457" s="174"/>
      <x:c r="N457" s="174"/>
      <x:c r="O457" s="176"/>
      <x:c r="P457" s="174"/>
      <x:c r="Q457" s="174"/>
      <x:c r="R457" s="174"/>
      <x:c r="S457" s="174"/>
      <x:c r="T457" s="174"/>
      <x:c r="U457" s="174"/>
      <x:c r="V457" s="174"/>
      <x:c r="W457" s="175" t="str">
        <x:f>IF(V457="","",LOWER(SUBSTITUTE(SUBSTITUTE(SUBSTITUTE(SUBSTITUTE(TRIM(V457),"https://doi.org/",""),"http://doi.org/",""),"https://dx.doi.org/",""),"doi:","")))</x:f>
      </x:c>
      <x:c r="X457" s="174"/>
      <x:c r="Y457" s="174"/>
      <x:c r="Z457" s="174"/>
      <x:c r="AA457" s="174"/>
      <x:c r="AB457" s="174"/>
      <x:c r="AC457" s="174"/>
      <x:c r="AD457" s="177"/>
      <x:c r="AE457" s="177"/>
      <x:c r="AF457" s="174"/>
      <x:c r="AG457" s="174"/>
      <x:c r="AH457" s="174"/>
      <x:c r="AI457" s="174"/>
      <x:c r="AJ457" s="174"/>
      <x:c r="AK457" s="175" t="str">
        <x:f>IF(AJ457="","",IF(OR(LOWER(AJ457)="brazil",LOWER(AJ457)="brasil"),"Yes","No"))</x:f>
      </x:c>
      <x:c r="AL457" s="174"/>
      <x:c r="AM457" s="174"/>
      <x:c r="AN457" s="174"/>
      <x:c r="AO457" s="178"/>
      <x:c r="AP457" s="174"/>
      <x:c r="AQ457" s="174"/>
      <x:c r="AR457" s="174"/>
      <x:c r="AS457" s="174"/>
      <x:c r="AT457" s="174"/>
      <x:c r="AU457" s="174"/>
      <x:c r="AV457" s="174"/>
      <x:c r="AW457" s="174"/>
      <x:c r="AX457" s="174"/>
      <x:c r="AY457" s="174"/>
      <x:c r="AZ457" s="174"/>
      <x:c r="BA457" s="174"/>
      <x:c r="BB457" s="174"/>
      <x:c r="BC457" s="174"/>
      <x:c r="BD457" s="174"/>
      <x:c r="BE457" s="174"/>
      <x:c r="BF457" s="174"/>
      <x:c r="BG457" s="174"/>
      <x:c r="BH457" s="174"/>
      <x:c r="BI457" s="174"/>
      <x:c r="BJ457" s="174"/>
      <x:c r="BK457" s="174"/>
      <x:c r="BL457" s="174"/>
      <x:c r="BM457" s="174"/>
      <x:c r="BN457" s="174"/>
      <x:c r="BO457" s="174"/>
      <x:c r="BP457" s="174"/>
      <x:c r="BQ457" s="174"/>
      <x:c r="BR457" s="174"/>
      <x:c r="BS457" s="174"/>
      <x:c r="BT457" s="174"/>
      <x:c r="BU457" s="174"/>
      <x:c r="BV457" s="174"/>
      <x:c r="BW457" s="174"/>
      <x:c r="BX457" s="174"/>
      <x:c r="BY457" s="174"/>
      <x:c r="BZ457" s="174"/>
      <x:c r="CA457" s="174"/>
      <x:c r="CB457" s="174"/>
      <x:c r="CC457" s="174"/>
      <x:c r="CD457" s="174"/>
      <x:c r="CE457" s="174"/>
      <x:c r="CF457" s="174"/>
      <x:c r="CG457" s="174"/>
      <x:c r="CH457" s="174"/>
      <x:c r="CI457" s="179"/>
      <x:c r="CJ457" s="174"/>
      <x:c r="CK457" s="174"/>
      <x:c r="CL457" s="174"/>
      <x:c r="CM457" s="174"/>
      <x:c r="CN457" s="174"/>
      <x:c r="CO457" s="177"/>
      <x:c r="CP457" s="174"/>
      <x:c r="CQ457" s="174"/>
      <x:c r="CR457" s="174"/>
      <x:c r="CS457" s="174"/>
      <x:c r="CT457" s="174"/>
      <x:c r="CU457" s="176"/>
      <x:c r="CV457" s="176"/>
      <x:c r="CW457" s="176"/>
      <x:c r="CX457" s="176"/>
      <x:c r="CY457" s="176"/>
      <x:c r="CZ457" s="176"/>
      <x:c r="DA457" s="176"/>
      <x:c r="DB457" s="175" t="str">
        <x:f>IF(L457="","",IF(COUNT(CU457:DA457)&lt;7,"",SUM(CU457:DA457)))</x:f>
      </x:c>
      <x:c r="DC457" s="180" t="str">
        <x:f>IF(DB457="","",ROUND(DB457/14*10,1))</x:f>
      </x:c>
      <x:c r="DD457" s="174"/>
      <x:c r="DE457" s="175" t="str">
        <x:f>IF(L457="","",IF(DC457="","Pending",IF(DD457="Yes","CONDITIONAL — safety override",IF(DC457&gt;=8,"HIGH",IF(DC457&gt;=5,"CONDITIONAL","LOW")))))</x:f>
      </x:c>
      <x:c r="DF457" s="174"/>
      <x:c r="DG457" s="174"/>
      <x:c r="DH457" s="174"/>
      <x:c r="DI457" s="174"/>
      <x:c r="DJ457" s="174"/>
      <x:c r="DK457" s="174"/>
      <x:c r="DL457" s="174"/>
      <x:c r="DM457" s="174"/>
      <x:c r="DN457" s="174"/>
      <x:c r="DO457" s="174"/>
      <x:c r="DP457" s="174"/>
      <x:c r="DQ457" s="174"/>
      <x:c r="DR457" s="174"/>
      <x:c r="DS457" s="174"/>
      <x:c r="DT457" s="174"/>
      <x:c r="DU457" s="174"/>
      <x:c r="DV457" s="174"/>
      <x:c r="DW457" s="174"/>
      <x:c r="DX457" s="174"/>
      <x:c r="DY457" s="174"/>
      <x:c r="DZ457" s="174"/>
      <x:c r="EA457" s="174"/>
      <x:c r="EB457" s="175" t="str">
        <x:f>IF(L457="","",IF(AND(F457="Claim-ready",CJ457="Yes",CL457="Yes",DZ457&lt;&gt;""),"Yes","No / Pending"))</x:f>
      </x:c>
      <x:c r="EC457" s="174"/>
      <x:c r="ED457" s="174"/>
      <x:c r="EE457" s="174"/>
      <x:c r="EF457" s="174"/>
      <x:c r="EG457" s="174"/>
      <x:c r="EH457" s="177"/>
      <x:c r="EI457" s="174"/>
      <x:c r="EJ457" s="174"/>
      <x:c r="EK457" s="174"/>
      <x:c r="EL457" s="177"/>
      <x:c r="EM457" s="174"/>
      <x:c r="EN457" s="181" t="str">
        <x:f>IF(L457="","",(IF(N457&lt;&gt;"",1,0)+IF(O457&lt;&gt;"",1,0)+IF(AJ457&lt;&gt;"",1,0)+IF(AU457&lt;&gt;"",1,0)+IF(BE457&lt;&gt;"",1,0)+IF(CF457&lt;&gt;"",1,0)+IF(CJ457="Yes",1,0)+IF(CL457="Yes",1,0)+IF(DE457&lt;&gt;"Pending",1,0)+IF(F457&lt;&gt;"",1,0)+IF(DZ457&lt;&gt;"",1,0)+IF(EI457&lt;&gt;"",1,0))/12)</x:f>
      </x:c>
    </x:row>
    <x:row r="458">
      <x:c r="A458" s="175" t="str">
        <x:f>IF(L458="","","EV-"&amp;TEXT(ROW()-3,"0000"))</x:f>
      </x:c>
      <x:c r="B458" s="174"/>
      <x:c r="C458" s="175" t="str">
        <x:f>IF(L458="","",IF(OR(CM458="Retracted",CN458="Retracted",F458="Not used"),"🔴 Do not use for conclusion",IF(OR(R458="Official / Institutional",I458="Official / contextual"),"🔵 Official / contextual",IF(OR(I458="Definition",I458="Framework",I458="Paradigm shift"),"🟣 Conceptual key source",IF(AND(CJ458="Yes",CL458="Yes",OR(CG458="High",CG458="Moderate"),CH458&lt;&gt;"High",CH458&lt;&gt;"Critical",F458="Claim-ready"),"🟢 Claim-ready","🟡 Caution / context")))))</x:f>
      </x:c>
      <x:c r="D458" s="174"/>
      <x:c r="E458" s="174"/>
      <x:c r="F458" s="174"/>
      <x:c r="G458" s="174"/>
      <x:c r="H458" s="174"/>
      <x:c r="I458" s="174"/>
      <x:c r="J458" s="174"/>
      <x:c r="K458" s="174"/>
      <x:c r="L458" s="174"/>
      <x:c r="M458" s="174"/>
      <x:c r="N458" s="174"/>
      <x:c r="O458" s="176"/>
      <x:c r="P458" s="174"/>
      <x:c r="Q458" s="174"/>
      <x:c r="R458" s="174"/>
      <x:c r="S458" s="174"/>
      <x:c r="T458" s="174"/>
      <x:c r="U458" s="174"/>
      <x:c r="V458" s="174"/>
      <x:c r="W458" s="175" t="str">
        <x:f>IF(V458="","",LOWER(SUBSTITUTE(SUBSTITUTE(SUBSTITUTE(SUBSTITUTE(TRIM(V458),"https://doi.org/",""),"http://doi.org/",""),"https://dx.doi.org/",""),"doi:","")))</x:f>
      </x:c>
      <x:c r="X458" s="174"/>
      <x:c r="Y458" s="174"/>
      <x:c r="Z458" s="174"/>
      <x:c r="AA458" s="174"/>
      <x:c r="AB458" s="174"/>
      <x:c r="AC458" s="174"/>
      <x:c r="AD458" s="177"/>
      <x:c r="AE458" s="177"/>
      <x:c r="AF458" s="174"/>
      <x:c r="AG458" s="174"/>
      <x:c r="AH458" s="174"/>
      <x:c r="AI458" s="174"/>
      <x:c r="AJ458" s="174"/>
      <x:c r="AK458" s="175" t="str">
        <x:f>IF(AJ458="","",IF(OR(LOWER(AJ458)="brazil",LOWER(AJ458)="brasil"),"Yes","No"))</x:f>
      </x:c>
      <x:c r="AL458" s="174"/>
      <x:c r="AM458" s="174"/>
      <x:c r="AN458" s="174"/>
      <x:c r="AO458" s="178"/>
      <x:c r="AP458" s="174"/>
      <x:c r="AQ458" s="174"/>
      <x:c r="AR458" s="174"/>
      <x:c r="AS458" s="174"/>
      <x:c r="AT458" s="174"/>
      <x:c r="AU458" s="174"/>
      <x:c r="AV458" s="174"/>
      <x:c r="AW458" s="174"/>
      <x:c r="AX458" s="174"/>
      <x:c r="AY458" s="174"/>
      <x:c r="AZ458" s="174"/>
      <x:c r="BA458" s="174"/>
      <x:c r="BB458" s="174"/>
      <x:c r="BC458" s="174"/>
      <x:c r="BD458" s="174"/>
      <x:c r="BE458" s="174"/>
      <x:c r="BF458" s="174"/>
      <x:c r="BG458" s="174"/>
      <x:c r="BH458" s="174"/>
      <x:c r="BI458" s="174"/>
      <x:c r="BJ458" s="174"/>
      <x:c r="BK458" s="174"/>
      <x:c r="BL458" s="174"/>
      <x:c r="BM458" s="174"/>
      <x:c r="BN458" s="174"/>
      <x:c r="BO458" s="174"/>
      <x:c r="BP458" s="174"/>
      <x:c r="BQ458" s="174"/>
      <x:c r="BR458" s="174"/>
      <x:c r="BS458" s="174"/>
      <x:c r="BT458" s="174"/>
      <x:c r="BU458" s="174"/>
      <x:c r="BV458" s="174"/>
      <x:c r="BW458" s="174"/>
      <x:c r="BX458" s="174"/>
      <x:c r="BY458" s="174"/>
      <x:c r="BZ458" s="174"/>
      <x:c r="CA458" s="174"/>
      <x:c r="CB458" s="174"/>
      <x:c r="CC458" s="174"/>
      <x:c r="CD458" s="174"/>
      <x:c r="CE458" s="174"/>
      <x:c r="CF458" s="174"/>
      <x:c r="CG458" s="174"/>
      <x:c r="CH458" s="174"/>
      <x:c r="CI458" s="179"/>
      <x:c r="CJ458" s="174"/>
      <x:c r="CK458" s="174"/>
      <x:c r="CL458" s="174"/>
      <x:c r="CM458" s="174"/>
      <x:c r="CN458" s="174"/>
      <x:c r="CO458" s="177"/>
      <x:c r="CP458" s="174"/>
      <x:c r="CQ458" s="174"/>
      <x:c r="CR458" s="174"/>
      <x:c r="CS458" s="174"/>
      <x:c r="CT458" s="174"/>
      <x:c r="CU458" s="176"/>
      <x:c r="CV458" s="176"/>
      <x:c r="CW458" s="176"/>
      <x:c r="CX458" s="176"/>
      <x:c r="CY458" s="176"/>
      <x:c r="CZ458" s="176"/>
      <x:c r="DA458" s="176"/>
      <x:c r="DB458" s="175" t="str">
        <x:f>IF(L458="","",IF(COUNT(CU458:DA458)&lt;7,"",SUM(CU458:DA458)))</x:f>
      </x:c>
      <x:c r="DC458" s="180" t="str">
        <x:f>IF(DB458="","",ROUND(DB458/14*10,1))</x:f>
      </x:c>
      <x:c r="DD458" s="174"/>
      <x:c r="DE458" s="175" t="str">
        <x:f>IF(L458="","",IF(DC458="","Pending",IF(DD458="Yes","CONDITIONAL — safety override",IF(DC458&gt;=8,"HIGH",IF(DC458&gt;=5,"CONDITIONAL","LOW")))))</x:f>
      </x:c>
      <x:c r="DF458" s="174"/>
      <x:c r="DG458" s="174"/>
      <x:c r="DH458" s="174"/>
      <x:c r="DI458" s="174"/>
      <x:c r="DJ458" s="174"/>
      <x:c r="DK458" s="174"/>
      <x:c r="DL458" s="174"/>
      <x:c r="DM458" s="174"/>
      <x:c r="DN458" s="174"/>
      <x:c r="DO458" s="174"/>
      <x:c r="DP458" s="174"/>
      <x:c r="DQ458" s="174"/>
      <x:c r="DR458" s="174"/>
      <x:c r="DS458" s="174"/>
      <x:c r="DT458" s="174"/>
      <x:c r="DU458" s="174"/>
      <x:c r="DV458" s="174"/>
      <x:c r="DW458" s="174"/>
      <x:c r="DX458" s="174"/>
      <x:c r="DY458" s="174"/>
      <x:c r="DZ458" s="174"/>
      <x:c r="EA458" s="174"/>
      <x:c r="EB458" s="175" t="str">
        <x:f>IF(L458="","",IF(AND(F458="Claim-ready",CJ458="Yes",CL458="Yes",DZ458&lt;&gt;""),"Yes","No / Pending"))</x:f>
      </x:c>
      <x:c r="EC458" s="174"/>
      <x:c r="ED458" s="174"/>
      <x:c r="EE458" s="174"/>
      <x:c r="EF458" s="174"/>
      <x:c r="EG458" s="174"/>
      <x:c r="EH458" s="177"/>
      <x:c r="EI458" s="174"/>
      <x:c r="EJ458" s="174"/>
      <x:c r="EK458" s="174"/>
      <x:c r="EL458" s="177"/>
      <x:c r="EM458" s="174"/>
      <x:c r="EN458" s="181" t="str">
        <x:f>IF(L458="","",(IF(N458&lt;&gt;"",1,0)+IF(O458&lt;&gt;"",1,0)+IF(AJ458&lt;&gt;"",1,0)+IF(AU458&lt;&gt;"",1,0)+IF(BE458&lt;&gt;"",1,0)+IF(CF458&lt;&gt;"",1,0)+IF(CJ458="Yes",1,0)+IF(CL458="Yes",1,0)+IF(DE458&lt;&gt;"Pending",1,0)+IF(F458&lt;&gt;"",1,0)+IF(DZ458&lt;&gt;"",1,0)+IF(EI458&lt;&gt;"",1,0))/12)</x:f>
      </x:c>
    </x:row>
    <x:row r="459">
      <x:c r="A459" s="175" t="str">
        <x:f>IF(L459="","","EV-"&amp;TEXT(ROW()-3,"0000"))</x:f>
      </x:c>
      <x:c r="B459" s="174"/>
      <x:c r="C459" s="175" t="str">
        <x:f>IF(L459="","",IF(OR(CM459="Retracted",CN459="Retracted",F459="Not used"),"🔴 Do not use for conclusion",IF(OR(R459="Official / Institutional",I459="Official / contextual"),"🔵 Official / contextual",IF(OR(I459="Definition",I459="Framework",I459="Paradigm shift"),"🟣 Conceptual key source",IF(AND(CJ459="Yes",CL459="Yes",OR(CG459="High",CG459="Moderate"),CH459&lt;&gt;"High",CH459&lt;&gt;"Critical",F459="Claim-ready"),"🟢 Claim-ready","🟡 Caution / context")))))</x:f>
      </x:c>
      <x:c r="D459" s="174"/>
      <x:c r="E459" s="174"/>
      <x:c r="F459" s="174"/>
      <x:c r="G459" s="174"/>
      <x:c r="H459" s="174"/>
      <x:c r="I459" s="174"/>
      <x:c r="J459" s="174"/>
      <x:c r="K459" s="174"/>
      <x:c r="L459" s="174"/>
      <x:c r="M459" s="174"/>
      <x:c r="N459" s="174"/>
      <x:c r="O459" s="176"/>
      <x:c r="P459" s="174"/>
      <x:c r="Q459" s="174"/>
      <x:c r="R459" s="174"/>
      <x:c r="S459" s="174"/>
      <x:c r="T459" s="174"/>
      <x:c r="U459" s="174"/>
      <x:c r="V459" s="174"/>
      <x:c r="W459" s="175" t="str">
        <x:f>IF(V459="","",LOWER(SUBSTITUTE(SUBSTITUTE(SUBSTITUTE(SUBSTITUTE(TRIM(V459),"https://doi.org/",""),"http://doi.org/",""),"https://dx.doi.org/",""),"doi:","")))</x:f>
      </x:c>
      <x:c r="X459" s="174"/>
      <x:c r="Y459" s="174"/>
      <x:c r="Z459" s="174"/>
      <x:c r="AA459" s="174"/>
      <x:c r="AB459" s="174"/>
      <x:c r="AC459" s="174"/>
      <x:c r="AD459" s="177"/>
      <x:c r="AE459" s="177"/>
      <x:c r="AF459" s="174"/>
      <x:c r="AG459" s="174"/>
      <x:c r="AH459" s="174"/>
      <x:c r="AI459" s="174"/>
      <x:c r="AJ459" s="174"/>
      <x:c r="AK459" s="175" t="str">
        <x:f>IF(AJ459="","",IF(OR(LOWER(AJ459)="brazil",LOWER(AJ459)="brasil"),"Yes","No"))</x:f>
      </x:c>
      <x:c r="AL459" s="174"/>
      <x:c r="AM459" s="174"/>
      <x:c r="AN459" s="174"/>
      <x:c r="AO459" s="178"/>
      <x:c r="AP459" s="174"/>
      <x:c r="AQ459" s="174"/>
      <x:c r="AR459" s="174"/>
      <x:c r="AS459" s="174"/>
      <x:c r="AT459" s="174"/>
      <x:c r="AU459" s="174"/>
      <x:c r="AV459" s="174"/>
      <x:c r="AW459" s="174"/>
      <x:c r="AX459" s="174"/>
      <x:c r="AY459" s="174"/>
      <x:c r="AZ459" s="174"/>
      <x:c r="BA459" s="174"/>
      <x:c r="BB459" s="174"/>
      <x:c r="BC459" s="174"/>
      <x:c r="BD459" s="174"/>
      <x:c r="BE459" s="174"/>
      <x:c r="BF459" s="174"/>
      <x:c r="BG459" s="174"/>
      <x:c r="BH459" s="174"/>
      <x:c r="BI459" s="174"/>
      <x:c r="BJ459" s="174"/>
      <x:c r="BK459" s="174"/>
      <x:c r="BL459" s="174"/>
      <x:c r="BM459" s="174"/>
      <x:c r="BN459" s="174"/>
      <x:c r="BO459" s="174"/>
      <x:c r="BP459" s="174"/>
      <x:c r="BQ459" s="174"/>
      <x:c r="BR459" s="174"/>
      <x:c r="BS459" s="174"/>
      <x:c r="BT459" s="174"/>
      <x:c r="BU459" s="174"/>
      <x:c r="BV459" s="174"/>
      <x:c r="BW459" s="174"/>
      <x:c r="BX459" s="174"/>
      <x:c r="BY459" s="174"/>
      <x:c r="BZ459" s="174"/>
      <x:c r="CA459" s="174"/>
      <x:c r="CB459" s="174"/>
      <x:c r="CC459" s="174"/>
      <x:c r="CD459" s="174"/>
      <x:c r="CE459" s="174"/>
      <x:c r="CF459" s="174"/>
      <x:c r="CG459" s="174"/>
      <x:c r="CH459" s="174"/>
      <x:c r="CI459" s="179"/>
      <x:c r="CJ459" s="174"/>
      <x:c r="CK459" s="174"/>
      <x:c r="CL459" s="174"/>
      <x:c r="CM459" s="174"/>
      <x:c r="CN459" s="174"/>
      <x:c r="CO459" s="177"/>
      <x:c r="CP459" s="174"/>
      <x:c r="CQ459" s="174"/>
      <x:c r="CR459" s="174"/>
      <x:c r="CS459" s="174"/>
      <x:c r="CT459" s="174"/>
      <x:c r="CU459" s="176"/>
      <x:c r="CV459" s="176"/>
      <x:c r="CW459" s="176"/>
      <x:c r="CX459" s="176"/>
      <x:c r="CY459" s="176"/>
      <x:c r="CZ459" s="176"/>
      <x:c r="DA459" s="176"/>
      <x:c r="DB459" s="175" t="str">
        <x:f>IF(L459="","",IF(COUNT(CU459:DA459)&lt;7,"",SUM(CU459:DA459)))</x:f>
      </x:c>
      <x:c r="DC459" s="180" t="str">
        <x:f>IF(DB459="","",ROUND(DB459/14*10,1))</x:f>
      </x:c>
      <x:c r="DD459" s="174"/>
      <x:c r="DE459" s="175" t="str">
        <x:f>IF(L459="","",IF(DC459="","Pending",IF(DD459="Yes","CONDITIONAL — safety override",IF(DC459&gt;=8,"HIGH",IF(DC459&gt;=5,"CONDITIONAL","LOW")))))</x:f>
      </x:c>
      <x:c r="DF459" s="174"/>
      <x:c r="DG459" s="174"/>
      <x:c r="DH459" s="174"/>
      <x:c r="DI459" s="174"/>
      <x:c r="DJ459" s="174"/>
      <x:c r="DK459" s="174"/>
      <x:c r="DL459" s="174"/>
      <x:c r="DM459" s="174"/>
      <x:c r="DN459" s="174"/>
      <x:c r="DO459" s="174"/>
      <x:c r="DP459" s="174"/>
      <x:c r="DQ459" s="174"/>
      <x:c r="DR459" s="174"/>
      <x:c r="DS459" s="174"/>
      <x:c r="DT459" s="174"/>
      <x:c r="DU459" s="174"/>
      <x:c r="DV459" s="174"/>
      <x:c r="DW459" s="174"/>
      <x:c r="DX459" s="174"/>
      <x:c r="DY459" s="174"/>
      <x:c r="DZ459" s="174"/>
      <x:c r="EA459" s="174"/>
      <x:c r="EB459" s="175" t="str">
        <x:f>IF(L459="","",IF(AND(F459="Claim-ready",CJ459="Yes",CL459="Yes",DZ459&lt;&gt;""),"Yes","No / Pending"))</x:f>
      </x:c>
      <x:c r="EC459" s="174"/>
      <x:c r="ED459" s="174"/>
      <x:c r="EE459" s="174"/>
      <x:c r="EF459" s="174"/>
      <x:c r="EG459" s="174"/>
      <x:c r="EH459" s="177"/>
      <x:c r="EI459" s="174"/>
      <x:c r="EJ459" s="174"/>
      <x:c r="EK459" s="174"/>
      <x:c r="EL459" s="177"/>
      <x:c r="EM459" s="174"/>
      <x:c r="EN459" s="181" t="str">
        <x:f>IF(L459="","",(IF(N459&lt;&gt;"",1,0)+IF(O459&lt;&gt;"",1,0)+IF(AJ459&lt;&gt;"",1,0)+IF(AU459&lt;&gt;"",1,0)+IF(BE459&lt;&gt;"",1,0)+IF(CF459&lt;&gt;"",1,0)+IF(CJ459="Yes",1,0)+IF(CL459="Yes",1,0)+IF(DE459&lt;&gt;"Pending",1,0)+IF(F459&lt;&gt;"",1,0)+IF(DZ459&lt;&gt;"",1,0)+IF(EI459&lt;&gt;"",1,0))/12)</x:f>
      </x:c>
    </x:row>
    <x:row r="460">
      <x:c r="A460" s="175" t="str">
        <x:f>IF(L460="","","EV-"&amp;TEXT(ROW()-3,"0000"))</x:f>
      </x:c>
      <x:c r="B460" s="174"/>
      <x:c r="C460" s="175" t="str">
        <x:f>IF(L460="","",IF(OR(CM460="Retracted",CN460="Retracted",F460="Not used"),"🔴 Do not use for conclusion",IF(OR(R460="Official / Institutional",I460="Official / contextual"),"🔵 Official / contextual",IF(OR(I460="Definition",I460="Framework",I460="Paradigm shift"),"🟣 Conceptual key source",IF(AND(CJ460="Yes",CL460="Yes",OR(CG460="High",CG460="Moderate"),CH460&lt;&gt;"High",CH460&lt;&gt;"Critical",F460="Claim-ready"),"🟢 Claim-ready","🟡 Caution / context")))))</x:f>
      </x:c>
      <x:c r="D460" s="174"/>
      <x:c r="E460" s="174"/>
      <x:c r="F460" s="174"/>
      <x:c r="G460" s="174"/>
      <x:c r="H460" s="174"/>
      <x:c r="I460" s="174"/>
      <x:c r="J460" s="174"/>
      <x:c r="K460" s="174"/>
      <x:c r="L460" s="174"/>
      <x:c r="M460" s="174"/>
      <x:c r="N460" s="174"/>
      <x:c r="O460" s="176"/>
      <x:c r="P460" s="174"/>
      <x:c r="Q460" s="174"/>
      <x:c r="R460" s="174"/>
      <x:c r="S460" s="174"/>
      <x:c r="T460" s="174"/>
      <x:c r="U460" s="174"/>
      <x:c r="V460" s="174"/>
      <x:c r="W460" s="175" t="str">
        <x:f>IF(V460="","",LOWER(SUBSTITUTE(SUBSTITUTE(SUBSTITUTE(SUBSTITUTE(TRIM(V460),"https://doi.org/",""),"http://doi.org/",""),"https://dx.doi.org/",""),"doi:","")))</x:f>
      </x:c>
      <x:c r="X460" s="174"/>
      <x:c r="Y460" s="174"/>
      <x:c r="Z460" s="174"/>
      <x:c r="AA460" s="174"/>
      <x:c r="AB460" s="174"/>
      <x:c r="AC460" s="174"/>
      <x:c r="AD460" s="177"/>
      <x:c r="AE460" s="177"/>
      <x:c r="AF460" s="174"/>
      <x:c r="AG460" s="174"/>
      <x:c r="AH460" s="174"/>
      <x:c r="AI460" s="174"/>
      <x:c r="AJ460" s="174"/>
      <x:c r="AK460" s="175" t="str">
        <x:f>IF(AJ460="","",IF(OR(LOWER(AJ460)="brazil",LOWER(AJ460)="brasil"),"Yes","No"))</x:f>
      </x:c>
      <x:c r="AL460" s="174"/>
      <x:c r="AM460" s="174"/>
      <x:c r="AN460" s="174"/>
      <x:c r="AO460" s="178"/>
      <x:c r="AP460" s="174"/>
      <x:c r="AQ460" s="174"/>
      <x:c r="AR460" s="174"/>
      <x:c r="AS460" s="174"/>
      <x:c r="AT460" s="174"/>
      <x:c r="AU460" s="174"/>
      <x:c r="AV460" s="174"/>
      <x:c r="AW460" s="174"/>
      <x:c r="AX460" s="174"/>
      <x:c r="AY460" s="174"/>
      <x:c r="AZ460" s="174"/>
      <x:c r="BA460" s="174"/>
      <x:c r="BB460" s="174"/>
      <x:c r="BC460" s="174"/>
      <x:c r="BD460" s="174"/>
      <x:c r="BE460" s="174"/>
      <x:c r="BF460" s="174"/>
      <x:c r="BG460" s="174"/>
      <x:c r="BH460" s="174"/>
      <x:c r="BI460" s="174"/>
      <x:c r="BJ460" s="174"/>
      <x:c r="BK460" s="174"/>
      <x:c r="BL460" s="174"/>
      <x:c r="BM460" s="174"/>
      <x:c r="BN460" s="174"/>
      <x:c r="BO460" s="174"/>
      <x:c r="BP460" s="174"/>
      <x:c r="BQ460" s="174"/>
      <x:c r="BR460" s="174"/>
      <x:c r="BS460" s="174"/>
      <x:c r="BT460" s="174"/>
      <x:c r="BU460" s="174"/>
      <x:c r="BV460" s="174"/>
      <x:c r="BW460" s="174"/>
      <x:c r="BX460" s="174"/>
      <x:c r="BY460" s="174"/>
      <x:c r="BZ460" s="174"/>
      <x:c r="CA460" s="174"/>
      <x:c r="CB460" s="174"/>
      <x:c r="CC460" s="174"/>
      <x:c r="CD460" s="174"/>
      <x:c r="CE460" s="174"/>
      <x:c r="CF460" s="174"/>
      <x:c r="CG460" s="174"/>
      <x:c r="CH460" s="174"/>
      <x:c r="CI460" s="179"/>
      <x:c r="CJ460" s="174"/>
      <x:c r="CK460" s="174"/>
      <x:c r="CL460" s="174"/>
      <x:c r="CM460" s="174"/>
      <x:c r="CN460" s="174"/>
      <x:c r="CO460" s="177"/>
      <x:c r="CP460" s="174"/>
      <x:c r="CQ460" s="174"/>
      <x:c r="CR460" s="174"/>
      <x:c r="CS460" s="174"/>
      <x:c r="CT460" s="174"/>
      <x:c r="CU460" s="176"/>
      <x:c r="CV460" s="176"/>
      <x:c r="CW460" s="176"/>
      <x:c r="CX460" s="176"/>
      <x:c r="CY460" s="176"/>
      <x:c r="CZ460" s="176"/>
      <x:c r="DA460" s="176"/>
      <x:c r="DB460" s="175" t="str">
        <x:f>IF(L460="","",IF(COUNT(CU460:DA460)&lt;7,"",SUM(CU460:DA460)))</x:f>
      </x:c>
      <x:c r="DC460" s="180" t="str">
        <x:f>IF(DB460="","",ROUND(DB460/14*10,1))</x:f>
      </x:c>
      <x:c r="DD460" s="174"/>
      <x:c r="DE460" s="175" t="str">
        <x:f>IF(L460="","",IF(DC460="","Pending",IF(DD460="Yes","CONDITIONAL — safety override",IF(DC460&gt;=8,"HIGH",IF(DC460&gt;=5,"CONDITIONAL","LOW")))))</x:f>
      </x:c>
      <x:c r="DF460" s="174"/>
      <x:c r="DG460" s="174"/>
      <x:c r="DH460" s="174"/>
      <x:c r="DI460" s="174"/>
      <x:c r="DJ460" s="174"/>
      <x:c r="DK460" s="174"/>
      <x:c r="DL460" s="174"/>
      <x:c r="DM460" s="174"/>
      <x:c r="DN460" s="174"/>
      <x:c r="DO460" s="174"/>
      <x:c r="DP460" s="174"/>
      <x:c r="DQ460" s="174"/>
      <x:c r="DR460" s="174"/>
      <x:c r="DS460" s="174"/>
      <x:c r="DT460" s="174"/>
      <x:c r="DU460" s="174"/>
      <x:c r="DV460" s="174"/>
      <x:c r="DW460" s="174"/>
      <x:c r="DX460" s="174"/>
      <x:c r="DY460" s="174"/>
      <x:c r="DZ460" s="174"/>
      <x:c r="EA460" s="174"/>
      <x:c r="EB460" s="175" t="str">
        <x:f>IF(L460="","",IF(AND(F460="Claim-ready",CJ460="Yes",CL460="Yes",DZ460&lt;&gt;""),"Yes","No / Pending"))</x:f>
      </x:c>
      <x:c r="EC460" s="174"/>
      <x:c r="ED460" s="174"/>
      <x:c r="EE460" s="174"/>
      <x:c r="EF460" s="174"/>
      <x:c r="EG460" s="174"/>
      <x:c r="EH460" s="177"/>
      <x:c r="EI460" s="174"/>
      <x:c r="EJ460" s="174"/>
      <x:c r="EK460" s="174"/>
      <x:c r="EL460" s="177"/>
      <x:c r="EM460" s="174"/>
      <x:c r="EN460" s="181" t="str">
        <x:f>IF(L460="","",(IF(N460&lt;&gt;"",1,0)+IF(O460&lt;&gt;"",1,0)+IF(AJ460&lt;&gt;"",1,0)+IF(AU460&lt;&gt;"",1,0)+IF(BE460&lt;&gt;"",1,0)+IF(CF460&lt;&gt;"",1,0)+IF(CJ460="Yes",1,0)+IF(CL460="Yes",1,0)+IF(DE460&lt;&gt;"Pending",1,0)+IF(F460&lt;&gt;"",1,0)+IF(DZ460&lt;&gt;"",1,0)+IF(EI460&lt;&gt;"",1,0))/12)</x:f>
      </x:c>
    </x:row>
    <x:row r="461">
      <x:c r="A461" s="175" t="str">
        <x:f>IF(L461="","","EV-"&amp;TEXT(ROW()-3,"0000"))</x:f>
      </x:c>
      <x:c r="B461" s="174"/>
      <x:c r="C461" s="175" t="str">
        <x:f>IF(L461="","",IF(OR(CM461="Retracted",CN461="Retracted",F461="Not used"),"🔴 Do not use for conclusion",IF(OR(R461="Official / Institutional",I461="Official / contextual"),"🔵 Official / contextual",IF(OR(I461="Definition",I461="Framework",I461="Paradigm shift"),"🟣 Conceptual key source",IF(AND(CJ461="Yes",CL461="Yes",OR(CG461="High",CG461="Moderate"),CH461&lt;&gt;"High",CH461&lt;&gt;"Critical",F461="Claim-ready"),"🟢 Claim-ready","🟡 Caution / context")))))</x:f>
      </x:c>
      <x:c r="D461" s="174"/>
      <x:c r="E461" s="174"/>
      <x:c r="F461" s="174"/>
      <x:c r="G461" s="174"/>
      <x:c r="H461" s="174"/>
      <x:c r="I461" s="174"/>
      <x:c r="J461" s="174"/>
      <x:c r="K461" s="174"/>
      <x:c r="L461" s="174"/>
      <x:c r="M461" s="174"/>
      <x:c r="N461" s="174"/>
      <x:c r="O461" s="176"/>
      <x:c r="P461" s="174"/>
      <x:c r="Q461" s="174"/>
      <x:c r="R461" s="174"/>
      <x:c r="S461" s="174"/>
      <x:c r="T461" s="174"/>
      <x:c r="U461" s="174"/>
      <x:c r="V461" s="174"/>
      <x:c r="W461" s="175" t="str">
        <x:f>IF(V461="","",LOWER(SUBSTITUTE(SUBSTITUTE(SUBSTITUTE(SUBSTITUTE(TRIM(V461),"https://doi.org/",""),"http://doi.org/",""),"https://dx.doi.org/",""),"doi:","")))</x:f>
      </x:c>
      <x:c r="X461" s="174"/>
      <x:c r="Y461" s="174"/>
      <x:c r="Z461" s="174"/>
      <x:c r="AA461" s="174"/>
      <x:c r="AB461" s="174"/>
      <x:c r="AC461" s="174"/>
      <x:c r="AD461" s="177"/>
      <x:c r="AE461" s="177"/>
      <x:c r="AF461" s="174"/>
      <x:c r="AG461" s="174"/>
      <x:c r="AH461" s="174"/>
      <x:c r="AI461" s="174"/>
      <x:c r="AJ461" s="174"/>
      <x:c r="AK461" s="175" t="str">
        <x:f>IF(AJ461="","",IF(OR(LOWER(AJ461)="brazil",LOWER(AJ461)="brasil"),"Yes","No"))</x:f>
      </x:c>
      <x:c r="AL461" s="174"/>
      <x:c r="AM461" s="174"/>
      <x:c r="AN461" s="174"/>
      <x:c r="AO461" s="178"/>
      <x:c r="AP461" s="174"/>
      <x:c r="AQ461" s="174"/>
      <x:c r="AR461" s="174"/>
      <x:c r="AS461" s="174"/>
      <x:c r="AT461" s="174"/>
      <x:c r="AU461" s="174"/>
      <x:c r="AV461" s="174"/>
      <x:c r="AW461" s="174"/>
      <x:c r="AX461" s="174"/>
      <x:c r="AY461" s="174"/>
      <x:c r="AZ461" s="174"/>
      <x:c r="BA461" s="174"/>
      <x:c r="BB461" s="174"/>
      <x:c r="BC461" s="174"/>
      <x:c r="BD461" s="174"/>
      <x:c r="BE461" s="174"/>
      <x:c r="BF461" s="174"/>
      <x:c r="BG461" s="174"/>
      <x:c r="BH461" s="174"/>
      <x:c r="BI461" s="174"/>
      <x:c r="BJ461" s="174"/>
      <x:c r="BK461" s="174"/>
      <x:c r="BL461" s="174"/>
      <x:c r="BM461" s="174"/>
      <x:c r="BN461" s="174"/>
      <x:c r="BO461" s="174"/>
      <x:c r="BP461" s="174"/>
      <x:c r="BQ461" s="174"/>
      <x:c r="BR461" s="174"/>
      <x:c r="BS461" s="174"/>
      <x:c r="BT461" s="174"/>
      <x:c r="BU461" s="174"/>
      <x:c r="BV461" s="174"/>
      <x:c r="BW461" s="174"/>
      <x:c r="BX461" s="174"/>
      <x:c r="BY461" s="174"/>
      <x:c r="BZ461" s="174"/>
      <x:c r="CA461" s="174"/>
      <x:c r="CB461" s="174"/>
      <x:c r="CC461" s="174"/>
      <x:c r="CD461" s="174"/>
      <x:c r="CE461" s="174"/>
      <x:c r="CF461" s="174"/>
      <x:c r="CG461" s="174"/>
      <x:c r="CH461" s="174"/>
      <x:c r="CI461" s="179"/>
      <x:c r="CJ461" s="174"/>
      <x:c r="CK461" s="174"/>
      <x:c r="CL461" s="174"/>
      <x:c r="CM461" s="174"/>
      <x:c r="CN461" s="174"/>
      <x:c r="CO461" s="177"/>
      <x:c r="CP461" s="174"/>
      <x:c r="CQ461" s="174"/>
      <x:c r="CR461" s="174"/>
      <x:c r="CS461" s="174"/>
      <x:c r="CT461" s="174"/>
      <x:c r="CU461" s="176"/>
      <x:c r="CV461" s="176"/>
      <x:c r="CW461" s="176"/>
      <x:c r="CX461" s="176"/>
      <x:c r="CY461" s="176"/>
      <x:c r="CZ461" s="176"/>
      <x:c r="DA461" s="176"/>
      <x:c r="DB461" s="175" t="str">
        <x:f>IF(L461="","",IF(COUNT(CU461:DA461)&lt;7,"",SUM(CU461:DA461)))</x:f>
      </x:c>
      <x:c r="DC461" s="180" t="str">
        <x:f>IF(DB461="","",ROUND(DB461/14*10,1))</x:f>
      </x:c>
      <x:c r="DD461" s="174"/>
      <x:c r="DE461" s="175" t="str">
        <x:f>IF(L461="","",IF(DC461="","Pending",IF(DD461="Yes","CONDITIONAL — safety override",IF(DC461&gt;=8,"HIGH",IF(DC461&gt;=5,"CONDITIONAL","LOW")))))</x:f>
      </x:c>
      <x:c r="DF461" s="174"/>
      <x:c r="DG461" s="174"/>
      <x:c r="DH461" s="174"/>
      <x:c r="DI461" s="174"/>
      <x:c r="DJ461" s="174"/>
      <x:c r="DK461" s="174"/>
      <x:c r="DL461" s="174"/>
      <x:c r="DM461" s="174"/>
      <x:c r="DN461" s="174"/>
      <x:c r="DO461" s="174"/>
      <x:c r="DP461" s="174"/>
      <x:c r="DQ461" s="174"/>
      <x:c r="DR461" s="174"/>
      <x:c r="DS461" s="174"/>
      <x:c r="DT461" s="174"/>
      <x:c r="DU461" s="174"/>
      <x:c r="DV461" s="174"/>
      <x:c r="DW461" s="174"/>
      <x:c r="DX461" s="174"/>
      <x:c r="DY461" s="174"/>
      <x:c r="DZ461" s="174"/>
      <x:c r="EA461" s="174"/>
      <x:c r="EB461" s="175" t="str">
        <x:f>IF(L461="","",IF(AND(F461="Claim-ready",CJ461="Yes",CL461="Yes",DZ461&lt;&gt;""),"Yes","No / Pending"))</x:f>
      </x:c>
      <x:c r="EC461" s="174"/>
      <x:c r="ED461" s="174"/>
      <x:c r="EE461" s="174"/>
      <x:c r="EF461" s="174"/>
      <x:c r="EG461" s="174"/>
      <x:c r="EH461" s="177"/>
      <x:c r="EI461" s="174"/>
      <x:c r="EJ461" s="174"/>
      <x:c r="EK461" s="174"/>
      <x:c r="EL461" s="177"/>
      <x:c r="EM461" s="174"/>
      <x:c r="EN461" s="181" t="str">
        <x:f>IF(L461="","",(IF(N461&lt;&gt;"",1,0)+IF(O461&lt;&gt;"",1,0)+IF(AJ461&lt;&gt;"",1,0)+IF(AU461&lt;&gt;"",1,0)+IF(BE461&lt;&gt;"",1,0)+IF(CF461&lt;&gt;"",1,0)+IF(CJ461="Yes",1,0)+IF(CL461="Yes",1,0)+IF(DE461&lt;&gt;"Pending",1,0)+IF(F461&lt;&gt;"",1,0)+IF(DZ461&lt;&gt;"",1,0)+IF(EI461&lt;&gt;"",1,0))/12)</x:f>
      </x:c>
    </x:row>
    <x:row r="462">
      <x:c r="A462" s="175" t="str">
        <x:f>IF(L462="","","EV-"&amp;TEXT(ROW()-3,"0000"))</x:f>
      </x:c>
      <x:c r="B462" s="174"/>
      <x:c r="C462" s="175" t="str">
        <x:f>IF(L462="","",IF(OR(CM462="Retracted",CN462="Retracted",F462="Not used"),"🔴 Do not use for conclusion",IF(OR(R462="Official / Institutional",I462="Official / contextual"),"🔵 Official / contextual",IF(OR(I462="Definition",I462="Framework",I462="Paradigm shift"),"🟣 Conceptual key source",IF(AND(CJ462="Yes",CL462="Yes",OR(CG462="High",CG462="Moderate"),CH462&lt;&gt;"High",CH462&lt;&gt;"Critical",F462="Claim-ready"),"🟢 Claim-ready","🟡 Caution / context")))))</x:f>
      </x:c>
      <x:c r="D462" s="174"/>
      <x:c r="E462" s="174"/>
      <x:c r="F462" s="174"/>
      <x:c r="G462" s="174"/>
      <x:c r="H462" s="174"/>
      <x:c r="I462" s="174"/>
      <x:c r="J462" s="174"/>
      <x:c r="K462" s="174"/>
      <x:c r="L462" s="174"/>
      <x:c r="M462" s="174"/>
      <x:c r="N462" s="174"/>
      <x:c r="O462" s="176"/>
      <x:c r="P462" s="174"/>
      <x:c r="Q462" s="174"/>
      <x:c r="R462" s="174"/>
      <x:c r="S462" s="174"/>
      <x:c r="T462" s="174"/>
      <x:c r="U462" s="174"/>
      <x:c r="V462" s="174"/>
      <x:c r="W462" s="175" t="str">
        <x:f>IF(V462="","",LOWER(SUBSTITUTE(SUBSTITUTE(SUBSTITUTE(SUBSTITUTE(TRIM(V462),"https://doi.org/",""),"http://doi.org/",""),"https://dx.doi.org/",""),"doi:","")))</x:f>
      </x:c>
      <x:c r="X462" s="174"/>
      <x:c r="Y462" s="174"/>
      <x:c r="Z462" s="174"/>
      <x:c r="AA462" s="174"/>
      <x:c r="AB462" s="174"/>
      <x:c r="AC462" s="174"/>
      <x:c r="AD462" s="177"/>
      <x:c r="AE462" s="177"/>
      <x:c r="AF462" s="174"/>
      <x:c r="AG462" s="174"/>
      <x:c r="AH462" s="174"/>
      <x:c r="AI462" s="174"/>
      <x:c r="AJ462" s="174"/>
      <x:c r="AK462" s="175" t="str">
        <x:f>IF(AJ462="","",IF(OR(LOWER(AJ462)="brazil",LOWER(AJ462)="brasil"),"Yes","No"))</x:f>
      </x:c>
      <x:c r="AL462" s="174"/>
      <x:c r="AM462" s="174"/>
      <x:c r="AN462" s="174"/>
      <x:c r="AO462" s="178"/>
      <x:c r="AP462" s="174"/>
      <x:c r="AQ462" s="174"/>
      <x:c r="AR462" s="174"/>
      <x:c r="AS462" s="174"/>
      <x:c r="AT462" s="174"/>
      <x:c r="AU462" s="174"/>
      <x:c r="AV462" s="174"/>
      <x:c r="AW462" s="174"/>
      <x:c r="AX462" s="174"/>
      <x:c r="AY462" s="174"/>
      <x:c r="AZ462" s="174"/>
      <x:c r="BA462" s="174"/>
      <x:c r="BB462" s="174"/>
      <x:c r="BC462" s="174"/>
      <x:c r="BD462" s="174"/>
      <x:c r="BE462" s="174"/>
      <x:c r="BF462" s="174"/>
      <x:c r="BG462" s="174"/>
      <x:c r="BH462" s="174"/>
      <x:c r="BI462" s="174"/>
      <x:c r="BJ462" s="174"/>
      <x:c r="BK462" s="174"/>
      <x:c r="BL462" s="174"/>
      <x:c r="BM462" s="174"/>
      <x:c r="BN462" s="174"/>
      <x:c r="BO462" s="174"/>
      <x:c r="BP462" s="174"/>
      <x:c r="BQ462" s="174"/>
      <x:c r="BR462" s="174"/>
      <x:c r="BS462" s="174"/>
      <x:c r="BT462" s="174"/>
      <x:c r="BU462" s="174"/>
      <x:c r="BV462" s="174"/>
      <x:c r="BW462" s="174"/>
      <x:c r="BX462" s="174"/>
      <x:c r="BY462" s="174"/>
      <x:c r="BZ462" s="174"/>
      <x:c r="CA462" s="174"/>
      <x:c r="CB462" s="174"/>
      <x:c r="CC462" s="174"/>
      <x:c r="CD462" s="174"/>
      <x:c r="CE462" s="174"/>
      <x:c r="CF462" s="174"/>
      <x:c r="CG462" s="174"/>
      <x:c r="CH462" s="174"/>
      <x:c r="CI462" s="179"/>
      <x:c r="CJ462" s="174"/>
      <x:c r="CK462" s="174"/>
      <x:c r="CL462" s="174"/>
      <x:c r="CM462" s="174"/>
      <x:c r="CN462" s="174"/>
      <x:c r="CO462" s="177"/>
      <x:c r="CP462" s="174"/>
      <x:c r="CQ462" s="174"/>
      <x:c r="CR462" s="174"/>
      <x:c r="CS462" s="174"/>
      <x:c r="CT462" s="174"/>
      <x:c r="CU462" s="176"/>
      <x:c r="CV462" s="176"/>
      <x:c r="CW462" s="176"/>
      <x:c r="CX462" s="176"/>
      <x:c r="CY462" s="176"/>
      <x:c r="CZ462" s="176"/>
      <x:c r="DA462" s="176"/>
      <x:c r="DB462" s="175" t="str">
        <x:f>IF(L462="","",IF(COUNT(CU462:DA462)&lt;7,"",SUM(CU462:DA462)))</x:f>
      </x:c>
      <x:c r="DC462" s="180" t="str">
        <x:f>IF(DB462="","",ROUND(DB462/14*10,1))</x:f>
      </x:c>
      <x:c r="DD462" s="174"/>
      <x:c r="DE462" s="175" t="str">
        <x:f>IF(L462="","",IF(DC462="","Pending",IF(DD462="Yes","CONDITIONAL — safety override",IF(DC462&gt;=8,"HIGH",IF(DC462&gt;=5,"CONDITIONAL","LOW")))))</x:f>
      </x:c>
      <x:c r="DF462" s="174"/>
      <x:c r="DG462" s="174"/>
      <x:c r="DH462" s="174"/>
      <x:c r="DI462" s="174"/>
      <x:c r="DJ462" s="174"/>
      <x:c r="DK462" s="174"/>
      <x:c r="DL462" s="174"/>
      <x:c r="DM462" s="174"/>
      <x:c r="DN462" s="174"/>
      <x:c r="DO462" s="174"/>
      <x:c r="DP462" s="174"/>
      <x:c r="DQ462" s="174"/>
      <x:c r="DR462" s="174"/>
      <x:c r="DS462" s="174"/>
      <x:c r="DT462" s="174"/>
      <x:c r="DU462" s="174"/>
      <x:c r="DV462" s="174"/>
      <x:c r="DW462" s="174"/>
      <x:c r="DX462" s="174"/>
      <x:c r="DY462" s="174"/>
      <x:c r="DZ462" s="174"/>
      <x:c r="EA462" s="174"/>
      <x:c r="EB462" s="175" t="str">
        <x:f>IF(L462="","",IF(AND(F462="Claim-ready",CJ462="Yes",CL462="Yes",DZ462&lt;&gt;""),"Yes","No / Pending"))</x:f>
      </x:c>
      <x:c r="EC462" s="174"/>
      <x:c r="ED462" s="174"/>
      <x:c r="EE462" s="174"/>
      <x:c r="EF462" s="174"/>
      <x:c r="EG462" s="174"/>
      <x:c r="EH462" s="177"/>
      <x:c r="EI462" s="174"/>
      <x:c r="EJ462" s="174"/>
      <x:c r="EK462" s="174"/>
      <x:c r="EL462" s="177"/>
      <x:c r="EM462" s="174"/>
      <x:c r="EN462" s="181" t="str">
        <x:f>IF(L462="","",(IF(N462&lt;&gt;"",1,0)+IF(O462&lt;&gt;"",1,0)+IF(AJ462&lt;&gt;"",1,0)+IF(AU462&lt;&gt;"",1,0)+IF(BE462&lt;&gt;"",1,0)+IF(CF462&lt;&gt;"",1,0)+IF(CJ462="Yes",1,0)+IF(CL462="Yes",1,0)+IF(DE462&lt;&gt;"Pending",1,0)+IF(F462&lt;&gt;"",1,0)+IF(DZ462&lt;&gt;"",1,0)+IF(EI462&lt;&gt;"",1,0))/12)</x:f>
      </x:c>
    </x:row>
    <x:row r="463">
      <x:c r="A463" s="175" t="str">
        <x:f>IF(L463="","","EV-"&amp;TEXT(ROW()-3,"0000"))</x:f>
      </x:c>
      <x:c r="B463" s="174"/>
      <x:c r="C463" s="175" t="str">
        <x:f>IF(L463="","",IF(OR(CM463="Retracted",CN463="Retracted",F463="Not used"),"🔴 Do not use for conclusion",IF(OR(R463="Official / Institutional",I463="Official / contextual"),"🔵 Official / contextual",IF(OR(I463="Definition",I463="Framework",I463="Paradigm shift"),"🟣 Conceptual key source",IF(AND(CJ463="Yes",CL463="Yes",OR(CG463="High",CG463="Moderate"),CH463&lt;&gt;"High",CH463&lt;&gt;"Critical",F463="Claim-ready"),"🟢 Claim-ready","🟡 Caution / context")))))</x:f>
      </x:c>
      <x:c r="D463" s="174"/>
      <x:c r="E463" s="174"/>
      <x:c r="F463" s="174"/>
      <x:c r="G463" s="174"/>
      <x:c r="H463" s="174"/>
      <x:c r="I463" s="174"/>
      <x:c r="J463" s="174"/>
      <x:c r="K463" s="174"/>
      <x:c r="L463" s="174"/>
      <x:c r="M463" s="174"/>
      <x:c r="N463" s="174"/>
      <x:c r="O463" s="176"/>
      <x:c r="P463" s="174"/>
      <x:c r="Q463" s="174"/>
      <x:c r="R463" s="174"/>
      <x:c r="S463" s="174"/>
      <x:c r="T463" s="174"/>
      <x:c r="U463" s="174"/>
      <x:c r="V463" s="174"/>
      <x:c r="W463" s="175" t="str">
        <x:f>IF(V463="","",LOWER(SUBSTITUTE(SUBSTITUTE(SUBSTITUTE(SUBSTITUTE(TRIM(V463),"https://doi.org/",""),"http://doi.org/",""),"https://dx.doi.org/",""),"doi:","")))</x:f>
      </x:c>
      <x:c r="X463" s="174"/>
      <x:c r="Y463" s="174"/>
      <x:c r="Z463" s="174"/>
      <x:c r="AA463" s="174"/>
      <x:c r="AB463" s="174"/>
      <x:c r="AC463" s="174"/>
      <x:c r="AD463" s="177"/>
      <x:c r="AE463" s="177"/>
      <x:c r="AF463" s="174"/>
      <x:c r="AG463" s="174"/>
      <x:c r="AH463" s="174"/>
      <x:c r="AI463" s="174"/>
      <x:c r="AJ463" s="174"/>
      <x:c r="AK463" s="175" t="str">
        <x:f>IF(AJ463="","",IF(OR(LOWER(AJ463)="brazil",LOWER(AJ463)="brasil"),"Yes","No"))</x:f>
      </x:c>
      <x:c r="AL463" s="174"/>
      <x:c r="AM463" s="174"/>
      <x:c r="AN463" s="174"/>
      <x:c r="AO463" s="178"/>
      <x:c r="AP463" s="174"/>
      <x:c r="AQ463" s="174"/>
      <x:c r="AR463" s="174"/>
      <x:c r="AS463" s="174"/>
      <x:c r="AT463" s="174"/>
      <x:c r="AU463" s="174"/>
      <x:c r="AV463" s="174"/>
      <x:c r="AW463" s="174"/>
      <x:c r="AX463" s="174"/>
      <x:c r="AY463" s="174"/>
      <x:c r="AZ463" s="174"/>
      <x:c r="BA463" s="174"/>
      <x:c r="BB463" s="174"/>
      <x:c r="BC463" s="174"/>
      <x:c r="BD463" s="174"/>
      <x:c r="BE463" s="174"/>
      <x:c r="BF463" s="174"/>
      <x:c r="BG463" s="174"/>
      <x:c r="BH463" s="174"/>
      <x:c r="BI463" s="174"/>
      <x:c r="BJ463" s="174"/>
      <x:c r="BK463" s="174"/>
      <x:c r="BL463" s="174"/>
      <x:c r="BM463" s="174"/>
      <x:c r="BN463" s="174"/>
      <x:c r="BO463" s="174"/>
      <x:c r="BP463" s="174"/>
      <x:c r="BQ463" s="174"/>
      <x:c r="BR463" s="174"/>
      <x:c r="BS463" s="174"/>
      <x:c r="BT463" s="174"/>
      <x:c r="BU463" s="174"/>
      <x:c r="BV463" s="174"/>
      <x:c r="BW463" s="174"/>
      <x:c r="BX463" s="174"/>
      <x:c r="BY463" s="174"/>
      <x:c r="BZ463" s="174"/>
      <x:c r="CA463" s="174"/>
      <x:c r="CB463" s="174"/>
      <x:c r="CC463" s="174"/>
      <x:c r="CD463" s="174"/>
      <x:c r="CE463" s="174"/>
      <x:c r="CF463" s="174"/>
      <x:c r="CG463" s="174"/>
      <x:c r="CH463" s="174"/>
      <x:c r="CI463" s="179"/>
      <x:c r="CJ463" s="174"/>
      <x:c r="CK463" s="174"/>
      <x:c r="CL463" s="174"/>
      <x:c r="CM463" s="174"/>
      <x:c r="CN463" s="174"/>
      <x:c r="CO463" s="177"/>
      <x:c r="CP463" s="174"/>
      <x:c r="CQ463" s="174"/>
      <x:c r="CR463" s="174"/>
      <x:c r="CS463" s="174"/>
      <x:c r="CT463" s="174"/>
      <x:c r="CU463" s="176"/>
      <x:c r="CV463" s="176"/>
      <x:c r="CW463" s="176"/>
      <x:c r="CX463" s="176"/>
      <x:c r="CY463" s="176"/>
      <x:c r="CZ463" s="176"/>
      <x:c r="DA463" s="176"/>
      <x:c r="DB463" s="175" t="str">
        <x:f>IF(L463="","",IF(COUNT(CU463:DA463)&lt;7,"",SUM(CU463:DA463)))</x:f>
      </x:c>
      <x:c r="DC463" s="180" t="str">
        <x:f>IF(DB463="","",ROUND(DB463/14*10,1))</x:f>
      </x:c>
      <x:c r="DD463" s="174"/>
      <x:c r="DE463" s="175" t="str">
        <x:f>IF(L463="","",IF(DC463="","Pending",IF(DD463="Yes","CONDITIONAL — safety override",IF(DC463&gt;=8,"HIGH",IF(DC463&gt;=5,"CONDITIONAL","LOW")))))</x:f>
      </x:c>
      <x:c r="DF463" s="174"/>
      <x:c r="DG463" s="174"/>
      <x:c r="DH463" s="174"/>
      <x:c r="DI463" s="174"/>
      <x:c r="DJ463" s="174"/>
      <x:c r="DK463" s="174"/>
      <x:c r="DL463" s="174"/>
      <x:c r="DM463" s="174"/>
      <x:c r="DN463" s="174"/>
      <x:c r="DO463" s="174"/>
      <x:c r="DP463" s="174"/>
      <x:c r="DQ463" s="174"/>
      <x:c r="DR463" s="174"/>
      <x:c r="DS463" s="174"/>
      <x:c r="DT463" s="174"/>
      <x:c r="DU463" s="174"/>
      <x:c r="DV463" s="174"/>
      <x:c r="DW463" s="174"/>
      <x:c r="DX463" s="174"/>
      <x:c r="DY463" s="174"/>
      <x:c r="DZ463" s="174"/>
      <x:c r="EA463" s="174"/>
      <x:c r="EB463" s="175" t="str">
        <x:f>IF(L463="","",IF(AND(F463="Claim-ready",CJ463="Yes",CL463="Yes",DZ463&lt;&gt;""),"Yes","No / Pending"))</x:f>
      </x:c>
      <x:c r="EC463" s="174"/>
      <x:c r="ED463" s="174"/>
      <x:c r="EE463" s="174"/>
      <x:c r="EF463" s="174"/>
      <x:c r="EG463" s="174"/>
      <x:c r="EH463" s="177"/>
      <x:c r="EI463" s="174"/>
      <x:c r="EJ463" s="174"/>
      <x:c r="EK463" s="174"/>
      <x:c r="EL463" s="177"/>
      <x:c r="EM463" s="174"/>
      <x:c r="EN463" s="181" t="str">
        <x:f>IF(L463="","",(IF(N463&lt;&gt;"",1,0)+IF(O463&lt;&gt;"",1,0)+IF(AJ463&lt;&gt;"",1,0)+IF(AU463&lt;&gt;"",1,0)+IF(BE463&lt;&gt;"",1,0)+IF(CF463&lt;&gt;"",1,0)+IF(CJ463="Yes",1,0)+IF(CL463="Yes",1,0)+IF(DE463&lt;&gt;"Pending",1,0)+IF(F463&lt;&gt;"",1,0)+IF(DZ463&lt;&gt;"",1,0)+IF(EI463&lt;&gt;"",1,0))/12)</x:f>
      </x:c>
    </x:row>
    <x:row r="464">
      <x:c r="A464" s="175" t="str">
        <x:f>IF(L464="","","EV-"&amp;TEXT(ROW()-3,"0000"))</x:f>
      </x:c>
      <x:c r="B464" s="174"/>
      <x:c r="C464" s="175" t="str">
        <x:f>IF(L464="","",IF(OR(CM464="Retracted",CN464="Retracted",F464="Not used"),"🔴 Do not use for conclusion",IF(OR(R464="Official / Institutional",I464="Official / contextual"),"🔵 Official / contextual",IF(OR(I464="Definition",I464="Framework",I464="Paradigm shift"),"🟣 Conceptual key source",IF(AND(CJ464="Yes",CL464="Yes",OR(CG464="High",CG464="Moderate"),CH464&lt;&gt;"High",CH464&lt;&gt;"Critical",F464="Claim-ready"),"🟢 Claim-ready","🟡 Caution / context")))))</x:f>
      </x:c>
      <x:c r="D464" s="174"/>
      <x:c r="E464" s="174"/>
      <x:c r="F464" s="174"/>
      <x:c r="G464" s="174"/>
      <x:c r="H464" s="174"/>
      <x:c r="I464" s="174"/>
      <x:c r="J464" s="174"/>
      <x:c r="K464" s="174"/>
      <x:c r="L464" s="174"/>
      <x:c r="M464" s="174"/>
      <x:c r="N464" s="174"/>
      <x:c r="O464" s="176"/>
      <x:c r="P464" s="174"/>
      <x:c r="Q464" s="174"/>
      <x:c r="R464" s="174"/>
      <x:c r="S464" s="174"/>
      <x:c r="T464" s="174"/>
      <x:c r="U464" s="174"/>
      <x:c r="V464" s="174"/>
      <x:c r="W464" s="175" t="str">
        <x:f>IF(V464="","",LOWER(SUBSTITUTE(SUBSTITUTE(SUBSTITUTE(SUBSTITUTE(TRIM(V464),"https://doi.org/",""),"http://doi.org/",""),"https://dx.doi.org/",""),"doi:","")))</x:f>
      </x:c>
      <x:c r="X464" s="174"/>
      <x:c r="Y464" s="174"/>
      <x:c r="Z464" s="174"/>
      <x:c r="AA464" s="174"/>
      <x:c r="AB464" s="174"/>
      <x:c r="AC464" s="174"/>
      <x:c r="AD464" s="177"/>
      <x:c r="AE464" s="177"/>
      <x:c r="AF464" s="174"/>
      <x:c r="AG464" s="174"/>
      <x:c r="AH464" s="174"/>
      <x:c r="AI464" s="174"/>
      <x:c r="AJ464" s="174"/>
      <x:c r="AK464" s="175" t="str">
        <x:f>IF(AJ464="","",IF(OR(LOWER(AJ464)="brazil",LOWER(AJ464)="brasil"),"Yes","No"))</x:f>
      </x:c>
      <x:c r="AL464" s="174"/>
      <x:c r="AM464" s="174"/>
      <x:c r="AN464" s="174"/>
      <x:c r="AO464" s="178"/>
      <x:c r="AP464" s="174"/>
      <x:c r="AQ464" s="174"/>
      <x:c r="AR464" s="174"/>
      <x:c r="AS464" s="174"/>
      <x:c r="AT464" s="174"/>
      <x:c r="AU464" s="174"/>
      <x:c r="AV464" s="174"/>
      <x:c r="AW464" s="174"/>
      <x:c r="AX464" s="174"/>
      <x:c r="AY464" s="174"/>
      <x:c r="AZ464" s="174"/>
      <x:c r="BA464" s="174"/>
      <x:c r="BB464" s="174"/>
      <x:c r="BC464" s="174"/>
      <x:c r="BD464" s="174"/>
      <x:c r="BE464" s="174"/>
      <x:c r="BF464" s="174"/>
      <x:c r="BG464" s="174"/>
      <x:c r="BH464" s="174"/>
      <x:c r="BI464" s="174"/>
      <x:c r="BJ464" s="174"/>
      <x:c r="BK464" s="174"/>
      <x:c r="BL464" s="174"/>
      <x:c r="BM464" s="174"/>
      <x:c r="BN464" s="174"/>
      <x:c r="BO464" s="174"/>
      <x:c r="BP464" s="174"/>
      <x:c r="BQ464" s="174"/>
      <x:c r="BR464" s="174"/>
      <x:c r="BS464" s="174"/>
      <x:c r="BT464" s="174"/>
      <x:c r="BU464" s="174"/>
      <x:c r="BV464" s="174"/>
      <x:c r="BW464" s="174"/>
      <x:c r="BX464" s="174"/>
      <x:c r="BY464" s="174"/>
      <x:c r="BZ464" s="174"/>
      <x:c r="CA464" s="174"/>
      <x:c r="CB464" s="174"/>
      <x:c r="CC464" s="174"/>
      <x:c r="CD464" s="174"/>
      <x:c r="CE464" s="174"/>
      <x:c r="CF464" s="174"/>
      <x:c r="CG464" s="174"/>
      <x:c r="CH464" s="174"/>
      <x:c r="CI464" s="179"/>
      <x:c r="CJ464" s="174"/>
      <x:c r="CK464" s="174"/>
      <x:c r="CL464" s="174"/>
      <x:c r="CM464" s="174"/>
      <x:c r="CN464" s="174"/>
      <x:c r="CO464" s="177"/>
      <x:c r="CP464" s="174"/>
      <x:c r="CQ464" s="174"/>
      <x:c r="CR464" s="174"/>
      <x:c r="CS464" s="174"/>
      <x:c r="CT464" s="174"/>
      <x:c r="CU464" s="176"/>
      <x:c r="CV464" s="176"/>
      <x:c r="CW464" s="176"/>
      <x:c r="CX464" s="176"/>
      <x:c r="CY464" s="176"/>
      <x:c r="CZ464" s="176"/>
      <x:c r="DA464" s="176"/>
      <x:c r="DB464" s="175" t="str">
        <x:f>IF(L464="","",IF(COUNT(CU464:DA464)&lt;7,"",SUM(CU464:DA464)))</x:f>
      </x:c>
      <x:c r="DC464" s="180" t="str">
        <x:f>IF(DB464="","",ROUND(DB464/14*10,1))</x:f>
      </x:c>
      <x:c r="DD464" s="174"/>
      <x:c r="DE464" s="175" t="str">
        <x:f>IF(L464="","",IF(DC464="","Pending",IF(DD464="Yes","CONDITIONAL — safety override",IF(DC464&gt;=8,"HIGH",IF(DC464&gt;=5,"CONDITIONAL","LOW")))))</x:f>
      </x:c>
      <x:c r="DF464" s="174"/>
      <x:c r="DG464" s="174"/>
      <x:c r="DH464" s="174"/>
      <x:c r="DI464" s="174"/>
      <x:c r="DJ464" s="174"/>
      <x:c r="DK464" s="174"/>
      <x:c r="DL464" s="174"/>
      <x:c r="DM464" s="174"/>
      <x:c r="DN464" s="174"/>
      <x:c r="DO464" s="174"/>
      <x:c r="DP464" s="174"/>
      <x:c r="DQ464" s="174"/>
      <x:c r="DR464" s="174"/>
      <x:c r="DS464" s="174"/>
      <x:c r="DT464" s="174"/>
      <x:c r="DU464" s="174"/>
      <x:c r="DV464" s="174"/>
      <x:c r="DW464" s="174"/>
      <x:c r="DX464" s="174"/>
      <x:c r="DY464" s="174"/>
      <x:c r="DZ464" s="174"/>
      <x:c r="EA464" s="174"/>
      <x:c r="EB464" s="175" t="str">
        <x:f>IF(L464="","",IF(AND(F464="Claim-ready",CJ464="Yes",CL464="Yes",DZ464&lt;&gt;""),"Yes","No / Pending"))</x:f>
      </x:c>
      <x:c r="EC464" s="174"/>
      <x:c r="ED464" s="174"/>
      <x:c r="EE464" s="174"/>
      <x:c r="EF464" s="174"/>
      <x:c r="EG464" s="174"/>
      <x:c r="EH464" s="177"/>
      <x:c r="EI464" s="174"/>
      <x:c r="EJ464" s="174"/>
      <x:c r="EK464" s="174"/>
      <x:c r="EL464" s="177"/>
      <x:c r="EM464" s="174"/>
      <x:c r="EN464" s="181" t="str">
        <x:f>IF(L464="","",(IF(N464&lt;&gt;"",1,0)+IF(O464&lt;&gt;"",1,0)+IF(AJ464&lt;&gt;"",1,0)+IF(AU464&lt;&gt;"",1,0)+IF(BE464&lt;&gt;"",1,0)+IF(CF464&lt;&gt;"",1,0)+IF(CJ464="Yes",1,0)+IF(CL464="Yes",1,0)+IF(DE464&lt;&gt;"Pending",1,0)+IF(F464&lt;&gt;"",1,0)+IF(DZ464&lt;&gt;"",1,0)+IF(EI464&lt;&gt;"",1,0))/12)</x:f>
      </x:c>
    </x:row>
    <x:row r="465">
      <x:c r="A465" s="175" t="str">
        <x:f>IF(L465="","","EV-"&amp;TEXT(ROW()-3,"0000"))</x:f>
      </x:c>
      <x:c r="B465" s="174"/>
      <x:c r="C465" s="175" t="str">
        <x:f>IF(L465="","",IF(OR(CM465="Retracted",CN465="Retracted",F465="Not used"),"🔴 Do not use for conclusion",IF(OR(R465="Official / Institutional",I465="Official / contextual"),"🔵 Official / contextual",IF(OR(I465="Definition",I465="Framework",I465="Paradigm shift"),"🟣 Conceptual key source",IF(AND(CJ465="Yes",CL465="Yes",OR(CG465="High",CG465="Moderate"),CH465&lt;&gt;"High",CH465&lt;&gt;"Critical",F465="Claim-ready"),"🟢 Claim-ready","🟡 Caution / context")))))</x:f>
      </x:c>
      <x:c r="D465" s="174"/>
      <x:c r="E465" s="174"/>
      <x:c r="F465" s="174"/>
      <x:c r="G465" s="174"/>
      <x:c r="H465" s="174"/>
      <x:c r="I465" s="174"/>
      <x:c r="J465" s="174"/>
      <x:c r="K465" s="174"/>
      <x:c r="L465" s="174"/>
      <x:c r="M465" s="174"/>
      <x:c r="N465" s="174"/>
      <x:c r="O465" s="176"/>
      <x:c r="P465" s="174"/>
      <x:c r="Q465" s="174"/>
      <x:c r="R465" s="174"/>
      <x:c r="S465" s="174"/>
      <x:c r="T465" s="174"/>
      <x:c r="U465" s="174"/>
      <x:c r="V465" s="174"/>
      <x:c r="W465" s="175" t="str">
        <x:f>IF(V465="","",LOWER(SUBSTITUTE(SUBSTITUTE(SUBSTITUTE(SUBSTITUTE(TRIM(V465),"https://doi.org/",""),"http://doi.org/",""),"https://dx.doi.org/",""),"doi:","")))</x:f>
      </x:c>
      <x:c r="X465" s="174"/>
      <x:c r="Y465" s="174"/>
      <x:c r="Z465" s="174"/>
      <x:c r="AA465" s="174"/>
      <x:c r="AB465" s="174"/>
      <x:c r="AC465" s="174"/>
      <x:c r="AD465" s="177"/>
      <x:c r="AE465" s="177"/>
      <x:c r="AF465" s="174"/>
      <x:c r="AG465" s="174"/>
      <x:c r="AH465" s="174"/>
      <x:c r="AI465" s="174"/>
      <x:c r="AJ465" s="174"/>
      <x:c r="AK465" s="175" t="str">
        <x:f>IF(AJ465="","",IF(OR(LOWER(AJ465)="brazil",LOWER(AJ465)="brasil"),"Yes","No"))</x:f>
      </x:c>
      <x:c r="AL465" s="174"/>
      <x:c r="AM465" s="174"/>
      <x:c r="AN465" s="174"/>
      <x:c r="AO465" s="178"/>
      <x:c r="AP465" s="174"/>
      <x:c r="AQ465" s="174"/>
      <x:c r="AR465" s="174"/>
      <x:c r="AS465" s="174"/>
      <x:c r="AT465" s="174"/>
      <x:c r="AU465" s="174"/>
      <x:c r="AV465" s="174"/>
      <x:c r="AW465" s="174"/>
      <x:c r="AX465" s="174"/>
      <x:c r="AY465" s="174"/>
      <x:c r="AZ465" s="174"/>
      <x:c r="BA465" s="174"/>
      <x:c r="BB465" s="174"/>
      <x:c r="BC465" s="174"/>
      <x:c r="BD465" s="174"/>
      <x:c r="BE465" s="174"/>
      <x:c r="BF465" s="174"/>
      <x:c r="BG465" s="174"/>
      <x:c r="BH465" s="174"/>
      <x:c r="BI465" s="174"/>
      <x:c r="BJ465" s="174"/>
      <x:c r="BK465" s="174"/>
      <x:c r="BL465" s="174"/>
      <x:c r="BM465" s="174"/>
      <x:c r="BN465" s="174"/>
      <x:c r="BO465" s="174"/>
      <x:c r="BP465" s="174"/>
      <x:c r="BQ465" s="174"/>
      <x:c r="BR465" s="174"/>
      <x:c r="BS465" s="174"/>
      <x:c r="BT465" s="174"/>
      <x:c r="BU465" s="174"/>
      <x:c r="BV465" s="174"/>
      <x:c r="BW465" s="174"/>
      <x:c r="BX465" s="174"/>
      <x:c r="BY465" s="174"/>
      <x:c r="BZ465" s="174"/>
      <x:c r="CA465" s="174"/>
      <x:c r="CB465" s="174"/>
      <x:c r="CC465" s="174"/>
      <x:c r="CD465" s="174"/>
      <x:c r="CE465" s="174"/>
      <x:c r="CF465" s="174"/>
      <x:c r="CG465" s="174"/>
      <x:c r="CH465" s="174"/>
      <x:c r="CI465" s="179"/>
      <x:c r="CJ465" s="174"/>
      <x:c r="CK465" s="174"/>
      <x:c r="CL465" s="174"/>
      <x:c r="CM465" s="174"/>
      <x:c r="CN465" s="174"/>
      <x:c r="CO465" s="177"/>
      <x:c r="CP465" s="174"/>
      <x:c r="CQ465" s="174"/>
      <x:c r="CR465" s="174"/>
      <x:c r="CS465" s="174"/>
      <x:c r="CT465" s="174"/>
      <x:c r="CU465" s="176"/>
      <x:c r="CV465" s="176"/>
      <x:c r="CW465" s="176"/>
      <x:c r="CX465" s="176"/>
      <x:c r="CY465" s="176"/>
      <x:c r="CZ465" s="176"/>
      <x:c r="DA465" s="176"/>
      <x:c r="DB465" s="175" t="str">
        <x:f>IF(L465="","",IF(COUNT(CU465:DA465)&lt;7,"",SUM(CU465:DA465)))</x:f>
      </x:c>
      <x:c r="DC465" s="180" t="str">
        <x:f>IF(DB465="","",ROUND(DB465/14*10,1))</x:f>
      </x:c>
      <x:c r="DD465" s="174"/>
      <x:c r="DE465" s="175" t="str">
        <x:f>IF(L465="","",IF(DC465="","Pending",IF(DD465="Yes","CONDITIONAL — safety override",IF(DC465&gt;=8,"HIGH",IF(DC465&gt;=5,"CONDITIONAL","LOW")))))</x:f>
      </x:c>
      <x:c r="DF465" s="174"/>
      <x:c r="DG465" s="174"/>
      <x:c r="DH465" s="174"/>
      <x:c r="DI465" s="174"/>
      <x:c r="DJ465" s="174"/>
      <x:c r="DK465" s="174"/>
      <x:c r="DL465" s="174"/>
      <x:c r="DM465" s="174"/>
      <x:c r="DN465" s="174"/>
      <x:c r="DO465" s="174"/>
      <x:c r="DP465" s="174"/>
      <x:c r="DQ465" s="174"/>
      <x:c r="DR465" s="174"/>
      <x:c r="DS465" s="174"/>
      <x:c r="DT465" s="174"/>
      <x:c r="DU465" s="174"/>
      <x:c r="DV465" s="174"/>
      <x:c r="DW465" s="174"/>
      <x:c r="DX465" s="174"/>
      <x:c r="DY465" s="174"/>
      <x:c r="DZ465" s="174"/>
      <x:c r="EA465" s="174"/>
      <x:c r="EB465" s="175" t="str">
        <x:f>IF(L465="","",IF(AND(F465="Claim-ready",CJ465="Yes",CL465="Yes",DZ465&lt;&gt;""),"Yes","No / Pending"))</x:f>
      </x:c>
      <x:c r="EC465" s="174"/>
      <x:c r="ED465" s="174"/>
      <x:c r="EE465" s="174"/>
      <x:c r="EF465" s="174"/>
      <x:c r="EG465" s="174"/>
      <x:c r="EH465" s="177"/>
      <x:c r="EI465" s="174"/>
      <x:c r="EJ465" s="174"/>
      <x:c r="EK465" s="174"/>
      <x:c r="EL465" s="177"/>
      <x:c r="EM465" s="174"/>
      <x:c r="EN465" s="181" t="str">
        <x:f>IF(L465="","",(IF(N465&lt;&gt;"",1,0)+IF(O465&lt;&gt;"",1,0)+IF(AJ465&lt;&gt;"",1,0)+IF(AU465&lt;&gt;"",1,0)+IF(BE465&lt;&gt;"",1,0)+IF(CF465&lt;&gt;"",1,0)+IF(CJ465="Yes",1,0)+IF(CL465="Yes",1,0)+IF(DE465&lt;&gt;"Pending",1,0)+IF(F465&lt;&gt;"",1,0)+IF(DZ465&lt;&gt;"",1,0)+IF(EI465&lt;&gt;"",1,0))/12)</x:f>
      </x:c>
    </x:row>
    <x:row r="466">
      <x:c r="A466" s="175" t="str">
        <x:f>IF(L466="","","EV-"&amp;TEXT(ROW()-3,"0000"))</x:f>
      </x:c>
      <x:c r="B466" s="174"/>
      <x:c r="C466" s="175" t="str">
        <x:f>IF(L466="","",IF(OR(CM466="Retracted",CN466="Retracted",F466="Not used"),"🔴 Do not use for conclusion",IF(OR(R466="Official / Institutional",I466="Official / contextual"),"🔵 Official / contextual",IF(OR(I466="Definition",I466="Framework",I466="Paradigm shift"),"🟣 Conceptual key source",IF(AND(CJ466="Yes",CL466="Yes",OR(CG466="High",CG466="Moderate"),CH466&lt;&gt;"High",CH466&lt;&gt;"Critical",F466="Claim-ready"),"🟢 Claim-ready","🟡 Caution / context")))))</x:f>
      </x:c>
      <x:c r="D466" s="174"/>
      <x:c r="E466" s="174"/>
      <x:c r="F466" s="174"/>
      <x:c r="G466" s="174"/>
      <x:c r="H466" s="174"/>
      <x:c r="I466" s="174"/>
      <x:c r="J466" s="174"/>
      <x:c r="K466" s="174"/>
      <x:c r="L466" s="174"/>
      <x:c r="M466" s="174"/>
      <x:c r="N466" s="174"/>
      <x:c r="O466" s="176"/>
      <x:c r="P466" s="174"/>
      <x:c r="Q466" s="174"/>
      <x:c r="R466" s="174"/>
      <x:c r="S466" s="174"/>
      <x:c r="T466" s="174"/>
      <x:c r="U466" s="174"/>
      <x:c r="V466" s="174"/>
      <x:c r="W466" s="175" t="str">
        <x:f>IF(V466="","",LOWER(SUBSTITUTE(SUBSTITUTE(SUBSTITUTE(SUBSTITUTE(TRIM(V466),"https://doi.org/",""),"http://doi.org/",""),"https://dx.doi.org/",""),"doi:","")))</x:f>
      </x:c>
      <x:c r="X466" s="174"/>
      <x:c r="Y466" s="174"/>
      <x:c r="Z466" s="174"/>
      <x:c r="AA466" s="174"/>
      <x:c r="AB466" s="174"/>
      <x:c r="AC466" s="174"/>
      <x:c r="AD466" s="177"/>
      <x:c r="AE466" s="177"/>
      <x:c r="AF466" s="174"/>
      <x:c r="AG466" s="174"/>
      <x:c r="AH466" s="174"/>
      <x:c r="AI466" s="174"/>
      <x:c r="AJ466" s="174"/>
      <x:c r="AK466" s="175" t="str">
        <x:f>IF(AJ466="","",IF(OR(LOWER(AJ466)="brazil",LOWER(AJ466)="brasil"),"Yes","No"))</x:f>
      </x:c>
      <x:c r="AL466" s="174"/>
      <x:c r="AM466" s="174"/>
      <x:c r="AN466" s="174"/>
      <x:c r="AO466" s="178"/>
      <x:c r="AP466" s="174"/>
      <x:c r="AQ466" s="174"/>
      <x:c r="AR466" s="174"/>
      <x:c r="AS466" s="174"/>
      <x:c r="AT466" s="174"/>
      <x:c r="AU466" s="174"/>
      <x:c r="AV466" s="174"/>
      <x:c r="AW466" s="174"/>
      <x:c r="AX466" s="174"/>
      <x:c r="AY466" s="174"/>
      <x:c r="AZ466" s="174"/>
      <x:c r="BA466" s="174"/>
      <x:c r="BB466" s="174"/>
      <x:c r="BC466" s="174"/>
      <x:c r="BD466" s="174"/>
      <x:c r="BE466" s="174"/>
      <x:c r="BF466" s="174"/>
      <x:c r="BG466" s="174"/>
      <x:c r="BH466" s="174"/>
      <x:c r="BI466" s="174"/>
      <x:c r="BJ466" s="174"/>
      <x:c r="BK466" s="174"/>
      <x:c r="BL466" s="174"/>
      <x:c r="BM466" s="174"/>
      <x:c r="BN466" s="174"/>
      <x:c r="BO466" s="174"/>
      <x:c r="BP466" s="174"/>
      <x:c r="BQ466" s="174"/>
      <x:c r="BR466" s="174"/>
      <x:c r="BS466" s="174"/>
      <x:c r="BT466" s="174"/>
      <x:c r="BU466" s="174"/>
      <x:c r="BV466" s="174"/>
      <x:c r="BW466" s="174"/>
      <x:c r="BX466" s="174"/>
      <x:c r="BY466" s="174"/>
      <x:c r="BZ466" s="174"/>
      <x:c r="CA466" s="174"/>
      <x:c r="CB466" s="174"/>
      <x:c r="CC466" s="174"/>
      <x:c r="CD466" s="174"/>
      <x:c r="CE466" s="174"/>
      <x:c r="CF466" s="174"/>
      <x:c r="CG466" s="174"/>
      <x:c r="CH466" s="174"/>
      <x:c r="CI466" s="179"/>
      <x:c r="CJ466" s="174"/>
      <x:c r="CK466" s="174"/>
      <x:c r="CL466" s="174"/>
      <x:c r="CM466" s="174"/>
      <x:c r="CN466" s="174"/>
      <x:c r="CO466" s="177"/>
      <x:c r="CP466" s="174"/>
      <x:c r="CQ466" s="174"/>
      <x:c r="CR466" s="174"/>
      <x:c r="CS466" s="174"/>
      <x:c r="CT466" s="174"/>
      <x:c r="CU466" s="176"/>
      <x:c r="CV466" s="176"/>
      <x:c r="CW466" s="176"/>
      <x:c r="CX466" s="176"/>
      <x:c r="CY466" s="176"/>
      <x:c r="CZ466" s="176"/>
      <x:c r="DA466" s="176"/>
      <x:c r="DB466" s="175" t="str">
        <x:f>IF(L466="","",IF(COUNT(CU466:DA466)&lt;7,"",SUM(CU466:DA466)))</x:f>
      </x:c>
      <x:c r="DC466" s="180" t="str">
        <x:f>IF(DB466="","",ROUND(DB466/14*10,1))</x:f>
      </x:c>
      <x:c r="DD466" s="174"/>
      <x:c r="DE466" s="175" t="str">
        <x:f>IF(L466="","",IF(DC466="","Pending",IF(DD466="Yes","CONDITIONAL — safety override",IF(DC466&gt;=8,"HIGH",IF(DC466&gt;=5,"CONDITIONAL","LOW")))))</x:f>
      </x:c>
      <x:c r="DF466" s="174"/>
      <x:c r="DG466" s="174"/>
      <x:c r="DH466" s="174"/>
      <x:c r="DI466" s="174"/>
      <x:c r="DJ466" s="174"/>
      <x:c r="DK466" s="174"/>
      <x:c r="DL466" s="174"/>
      <x:c r="DM466" s="174"/>
      <x:c r="DN466" s="174"/>
      <x:c r="DO466" s="174"/>
      <x:c r="DP466" s="174"/>
      <x:c r="DQ466" s="174"/>
      <x:c r="DR466" s="174"/>
      <x:c r="DS466" s="174"/>
      <x:c r="DT466" s="174"/>
      <x:c r="DU466" s="174"/>
      <x:c r="DV466" s="174"/>
      <x:c r="DW466" s="174"/>
      <x:c r="DX466" s="174"/>
      <x:c r="DY466" s="174"/>
      <x:c r="DZ466" s="174"/>
      <x:c r="EA466" s="174"/>
      <x:c r="EB466" s="175" t="str">
        <x:f>IF(L466="","",IF(AND(F466="Claim-ready",CJ466="Yes",CL466="Yes",DZ466&lt;&gt;""),"Yes","No / Pending"))</x:f>
      </x:c>
      <x:c r="EC466" s="174"/>
      <x:c r="ED466" s="174"/>
      <x:c r="EE466" s="174"/>
      <x:c r="EF466" s="174"/>
      <x:c r="EG466" s="174"/>
      <x:c r="EH466" s="177"/>
      <x:c r="EI466" s="174"/>
      <x:c r="EJ466" s="174"/>
      <x:c r="EK466" s="174"/>
      <x:c r="EL466" s="177"/>
      <x:c r="EM466" s="174"/>
      <x:c r="EN466" s="181" t="str">
        <x:f>IF(L466="","",(IF(N466&lt;&gt;"",1,0)+IF(O466&lt;&gt;"",1,0)+IF(AJ466&lt;&gt;"",1,0)+IF(AU466&lt;&gt;"",1,0)+IF(BE466&lt;&gt;"",1,0)+IF(CF466&lt;&gt;"",1,0)+IF(CJ466="Yes",1,0)+IF(CL466="Yes",1,0)+IF(DE466&lt;&gt;"Pending",1,0)+IF(F466&lt;&gt;"",1,0)+IF(DZ466&lt;&gt;"",1,0)+IF(EI466&lt;&gt;"",1,0))/12)</x:f>
      </x:c>
    </x:row>
    <x:row r="467">
      <x:c r="A467" s="175" t="str">
        <x:f>IF(L467="","","EV-"&amp;TEXT(ROW()-3,"0000"))</x:f>
      </x:c>
      <x:c r="B467" s="174"/>
      <x:c r="C467" s="175" t="str">
        <x:f>IF(L467="","",IF(OR(CM467="Retracted",CN467="Retracted",F467="Not used"),"🔴 Do not use for conclusion",IF(OR(R467="Official / Institutional",I467="Official / contextual"),"🔵 Official / contextual",IF(OR(I467="Definition",I467="Framework",I467="Paradigm shift"),"🟣 Conceptual key source",IF(AND(CJ467="Yes",CL467="Yes",OR(CG467="High",CG467="Moderate"),CH467&lt;&gt;"High",CH467&lt;&gt;"Critical",F467="Claim-ready"),"🟢 Claim-ready","🟡 Caution / context")))))</x:f>
      </x:c>
      <x:c r="D467" s="174"/>
      <x:c r="E467" s="174"/>
      <x:c r="F467" s="174"/>
      <x:c r="G467" s="174"/>
      <x:c r="H467" s="174"/>
      <x:c r="I467" s="174"/>
      <x:c r="J467" s="174"/>
      <x:c r="K467" s="174"/>
      <x:c r="L467" s="174"/>
      <x:c r="M467" s="174"/>
      <x:c r="N467" s="174"/>
      <x:c r="O467" s="176"/>
      <x:c r="P467" s="174"/>
      <x:c r="Q467" s="174"/>
      <x:c r="R467" s="174"/>
      <x:c r="S467" s="174"/>
      <x:c r="T467" s="174"/>
      <x:c r="U467" s="174"/>
      <x:c r="V467" s="174"/>
      <x:c r="W467" s="175" t="str">
        <x:f>IF(V467="","",LOWER(SUBSTITUTE(SUBSTITUTE(SUBSTITUTE(SUBSTITUTE(TRIM(V467),"https://doi.org/",""),"http://doi.org/",""),"https://dx.doi.org/",""),"doi:","")))</x:f>
      </x:c>
      <x:c r="X467" s="174"/>
      <x:c r="Y467" s="174"/>
      <x:c r="Z467" s="174"/>
      <x:c r="AA467" s="174"/>
      <x:c r="AB467" s="174"/>
      <x:c r="AC467" s="174"/>
      <x:c r="AD467" s="177"/>
      <x:c r="AE467" s="177"/>
      <x:c r="AF467" s="174"/>
      <x:c r="AG467" s="174"/>
      <x:c r="AH467" s="174"/>
      <x:c r="AI467" s="174"/>
      <x:c r="AJ467" s="174"/>
      <x:c r="AK467" s="175" t="str">
        <x:f>IF(AJ467="","",IF(OR(LOWER(AJ467)="brazil",LOWER(AJ467)="brasil"),"Yes","No"))</x:f>
      </x:c>
      <x:c r="AL467" s="174"/>
      <x:c r="AM467" s="174"/>
      <x:c r="AN467" s="174"/>
      <x:c r="AO467" s="178"/>
      <x:c r="AP467" s="174"/>
      <x:c r="AQ467" s="174"/>
      <x:c r="AR467" s="174"/>
      <x:c r="AS467" s="174"/>
      <x:c r="AT467" s="174"/>
      <x:c r="AU467" s="174"/>
      <x:c r="AV467" s="174"/>
      <x:c r="AW467" s="174"/>
      <x:c r="AX467" s="174"/>
      <x:c r="AY467" s="174"/>
      <x:c r="AZ467" s="174"/>
      <x:c r="BA467" s="174"/>
      <x:c r="BB467" s="174"/>
      <x:c r="BC467" s="174"/>
      <x:c r="BD467" s="174"/>
      <x:c r="BE467" s="174"/>
      <x:c r="BF467" s="174"/>
      <x:c r="BG467" s="174"/>
      <x:c r="BH467" s="174"/>
      <x:c r="BI467" s="174"/>
      <x:c r="BJ467" s="174"/>
      <x:c r="BK467" s="174"/>
      <x:c r="BL467" s="174"/>
      <x:c r="BM467" s="174"/>
      <x:c r="BN467" s="174"/>
      <x:c r="BO467" s="174"/>
      <x:c r="BP467" s="174"/>
      <x:c r="BQ467" s="174"/>
      <x:c r="BR467" s="174"/>
      <x:c r="BS467" s="174"/>
      <x:c r="BT467" s="174"/>
      <x:c r="BU467" s="174"/>
      <x:c r="BV467" s="174"/>
      <x:c r="BW467" s="174"/>
      <x:c r="BX467" s="174"/>
      <x:c r="BY467" s="174"/>
      <x:c r="BZ467" s="174"/>
      <x:c r="CA467" s="174"/>
      <x:c r="CB467" s="174"/>
      <x:c r="CC467" s="174"/>
      <x:c r="CD467" s="174"/>
      <x:c r="CE467" s="174"/>
      <x:c r="CF467" s="174"/>
      <x:c r="CG467" s="174"/>
      <x:c r="CH467" s="174"/>
      <x:c r="CI467" s="179"/>
      <x:c r="CJ467" s="174"/>
      <x:c r="CK467" s="174"/>
      <x:c r="CL467" s="174"/>
      <x:c r="CM467" s="174"/>
      <x:c r="CN467" s="174"/>
      <x:c r="CO467" s="177"/>
      <x:c r="CP467" s="174"/>
      <x:c r="CQ467" s="174"/>
      <x:c r="CR467" s="174"/>
      <x:c r="CS467" s="174"/>
      <x:c r="CT467" s="174"/>
      <x:c r="CU467" s="176"/>
      <x:c r="CV467" s="176"/>
      <x:c r="CW467" s="176"/>
      <x:c r="CX467" s="176"/>
      <x:c r="CY467" s="176"/>
      <x:c r="CZ467" s="176"/>
      <x:c r="DA467" s="176"/>
      <x:c r="DB467" s="175" t="str">
        <x:f>IF(L467="","",IF(COUNT(CU467:DA467)&lt;7,"",SUM(CU467:DA467)))</x:f>
      </x:c>
      <x:c r="DC467" s="180" t="str">
        <x:f>IF(DB467="","",ROUND(DB467/14*10,1))</x:f>
      </x:c>
      <x:c r="DD467" s="174"/>
      <x:c r="DE467" s="175" t="str">
        <x:f>IF(L467="","",IF(DC467="","Pending",IF(DD467="Yes","CONDITIONAL — safety override",IF(DC467&gt;=8,"HIGH",IF(DC467&gt;=5,"CONDITIONAL","LOW")))))</x:f>
      </x:c>
      <x:c r="DF467" s="174"/>
      <x:c r="DG467" s="174"/>
      <x:c r="DH467" s="174"/>
      <x:c r="DI467" s="174"/>
      <x:c r="DJ467" s="174"/>
      <x:c r="DK467" s="174"/>
      <x:c r="DL467" s="174"/>
      <x:c r="DM467" s="174"/>
      <x:c r="DN467" s="174"/>
      <x:c r="DO467" s="174"/>
      <x:c r="DP467" s="174"/>
      <x:c r="DQ467" s="174"/>
      <x:c r="DR467" s="174"/>
      <x:c r="DS467" s="174"/>
      <x:c r="DT467" s="174"/>
      <x:c r="DU467" s="174"/>
      <x:c r="DV467" s="174"/>
      <x:c r="DW467" s="174"/>
      <x:c r="DX467" s="174"/>
      <x:c r="DY467" s="174"/>
      <x:c r="DZ467" s="174"/>
      <x:c r="EA467" s="174"/>
      <x:c r="EB467" s="175" t="str">
        <x:f>IF(L467="","",IF(AND(F467="Claim-ready",CJ467="Yes",CL467="Yes",DZ467&lt;&gt;""),"Yes","No / Pending"))</x:f>
      </x:c>
      <x:c r="EC467" s="174"/>
      <x:c r="ED467" s="174"/>
      <x:c r="EE467" s="174"/>
      <x:c r="EF467" s="174"/>
      <x:c r="EG467" s="174"/>
      <x:c r="EH467" s="177"/>
      <x:c r="EI467" s="174"/>
      <x:c r="EJ467" s="174"/>
      <x:c r="EK467" s="174"/>
      <x:c r="EL467" s="177"/>
      <x:c r="EM467" s="174"/>
      <x:c r="EN467" s="181" t="str">
        <x:f>IF(L467="","",(IF(N467&lt;&gt;"",1,0)+IF(O467&lt;&gt;"",1,0)+IF(AJ467&lt;&gt;"",1,0)+IF(AU467&lt;&gt;"",1,0)+IF(BE467&lt;&gt;"",1,0)+IF(CF467&lt;&gt;"",1,0)+IF(CJ467="Yes",1,0)+IF(CL467="Yes",1,0)+IF(DE467&lt;&gt;"Pending",1,0)+IF(F467&lt;&gt;"",1,0)+IF(DZ467&lt;&gt;"",1,0)+IF(EI467&lt;&gt;"",1,0))/12)</x:f>
      </x:c>
    </x:row>
    <x:row r="468">
      <x:c r="A468" s="175" t="str">
        <x:f>IF(L468="","","EV-"&amp;TEXT(ROW()-3,"0000"))</x:f>
      </x:c>
      <x:c r="B468" s="174"/>
      <x:c r="C468" s="175" t="str">
        <x:f>IF(L468="","",IF(OR(CM468="Retracted",CN468="Retracted",F468="Not used"),"🔴 Do not use for conclusion",IF(OR(R468="Official / Institutional",I468="Official / contextual"),"🔵 Official / contextual",IF(OR(I468="Definition",I468="Framework",I468="Paradigm shift"),"🟣 Conceptual key source",IF(AND(CJ468="Yes",CL468="Yes",OR(CG468="High",CG468="Moderate"),CH468&lt;&gt;"High",CH468&lt;&gt;"Critical",F468="Claim-ready"),"🟢 Claim-ready","🟡 Caution / context")))))</x:f>
      </x:c>
      <x:c r="D468" s="174"/>
      <x:c r="E468" s="174"/>
      <x:c r="F468" s="174"/>
      <x:c r="G468" s="174"/>
      <x:c r="H468" s="174"/>
      <x:c r="I468" s="174"/>
      <x:c r="J468" s="174"/>
      <x:c r="K468" s="174"/>
      <x:c r="L468" s="174"/>
      <x:c r="M468" s="174"/>
      <x:c r="N468" s="174"/>
      <x:c r="O468" s="176"/>
      <x:c r="P468" s="174"/>
      <x:c r="Q468" s="174"/>
      <x:c r="R468" s="174"/>
      <x:c r="S468" s="174"/>
      <x:c r="T468" s="174"/>
      <x:c r="U468" s="174"/>
      <x:c r="V468" s="174"/>
      <x:c r="W468" s="175" t="str">
        <x:f>IF(V468="","",LOWER(SUBSTITUTE(SUBSTITUTE(SUBSTITUTE(SUBSTITUTE(TRIM(V468),"https://doi.org/",""),"http://doi.org/",""),"https://dx.doi.org/",""),"doi:","")))</x:f>
      </x:c>
      <x:c r="X468" s="174"/>
      <x:c r="Y468" s="174"/>
      <x:c r="Z468" s="174"/>
      <x:c r="AA468" s="174"/>
      <x:c r="AB468" s="174"/>
      <x:c r="AC468" s="174"/>
      <x:c r="AD468" s="177"/>
      <x:c r="AE468" s="177"/>
      <x:c r="AF468" s="174"/>
      <x:c r="AG468" s="174"/>
      <x:c r="AH468" s="174"/>
      <x:c r="AI468" s="174"/>
      <x:c r="AJ468" s="174"/>
      <x:c r="AK468" s="175" t="str">
        <x:f>IF(AJ468="","",IF(OR(LOWER(AJ468)="brazil",LOWER(AJ468)="brasil"),"Yes","No"))</x:f>
      </x:c>
      <x:c r="AL468" s="174"/>
      <x:c r="AM468" s="174"/>
      <x:c r="AN468" s="174"/>
      <x:c r="AO468" s="178"/>
      <x:c r="AP468" s="174"/>
      <x:c r="AQ468" s="174"/>
      <x:c r="AR468" s="174"/>
      <x:c r="AS468" s="174"/>
      <x:c r="AT468" s="174"/>
      <x:c r="AU468" s="174"/>
      <x:c r="AV468" s="174"/>
      <x:c r="AW468" s="174"/>
      <x:c r="AX468" s="174"/>
      <x:c r="AY468" s="174"/>
      <x:c r="AZ468" s="174"/>
      <x:c r="BA468" s="174"/>
      <x:c r="BB468" s="174"/>
      <x:c r="BC468" s="174"/>
      <x:c r="BD468" s="174"/>
      <x:c r="BE468" s="174"/>
      <x:c r="BF468" s="174"/>
      <x:c r="BG468" s="174"/>
      <x:c r="BH468" s="174"/>
      <x:c r="BI468" s="174"/>
      <x:c r="BJ468" s="174"/>
      <x:c r="BK468" s="174"/>
      <x:c r="BL468" s="174"/>
      <x:c r="BM468" s="174"/>
      <x:c r="BN468" s="174"/>
      <x:c r="BO468" s="174"/>
      <x:c r="BP468" s="174"/>
      <x:c r="BQ468" s="174"/>
      <x:c r="BR468" s="174"/>
      <x:c r="BS468" s="174"/>
      <x:c r="BT468" s="174"/>
      <x:c r="BU468" s="174"/>
      <x:c r="BV468" s="174"/>
      <x:c r="BW468" s="174"/>
      <x:c r="BX468" s="174"/>
      <x:c r="BY468" s="174"/>
      <x:c r="BZ468" s="174"/>
      <x:c r="CA468" s="174"/>
      <x:c r="CB468" s="174"/>
      <x:c r="CC468" s="174"/>
      <x:c r="CD468" s="174"/>
      <x:c r="CE468" s="174"/>
      <x:c r="CF468" s="174"/>
      <x:c r="CG468" s="174"/>
      <x:c r="CH468" s="174"/>
      <x:c r="CI468" s="179"/>
      <x:c r="CJ468" s="174"/>
      <x:c r="CK468" s="174"/>
      <x:c r="CL468" s="174"/>
      <x:c r="CM468" s="174"/>
      <x:c r="CN468" s="174"/>
      <x:c r="CO468" s="177"/>
      <x:c r="CP468" s="174"/>
      <x:c r="CQ468" s="174"/>
      <x:c r="CR468" s="174"/>
      <x:c r="CS468" s="174"/>
      <x:c r="CT468" s="174"/>
      <x:c r="CU468" s="176"/>
      <x:c r="CV468" s="176"/>
      <x:c r="CW468" s="176"/>
      <x:c r="CX468" s="176"/>
      <x:c r="CY468" s="176"/>
      <x:c r="CZ468" s="176"/>
      <x:c r="DA468" s="176"/>
      <x:c r="DB468" s="175" t="str">
        <x:f>IF(L468="","",IF(COUNT(CU468:DA468)&lt;7,"",SUM(CU468:DA468)))</x:f>
      </x:c>
      <x:c r="DC468" s="180" t="str">
        <x:f>IF(DB468="","",ROUND(DB468/14*10,1))</x:f>
      </x:c>
      <x:c r="DD468" s="174"/>
      <x:c r="DE468" s="175" t="str">
        <x:f>IF(L468="","",IF(DC468="","Pending",IF(DD468="Yes","CONDITIONAL — safety override",IF(DC468&gt;=8,"HIGH",IF(DC468&gt;=5,"CONDITIONAL","LOW")))))</x:f>
      </x:c>
      <x:c r="DF468" s="174"/>
      <x:c r="DG468" s="174"/>
      <x:c r="DH468" s="174"/>
      <x:c r="DI468" s="174"/>
      <x:c r="DJ468" s="174"/>
      <x:c r="DK468" s="174"/>
      <x:c r="DL468" s="174"/>
      <x:c r="DM468" s="174"/>
      <x:c r="DN468" s="174"/>
      <x:c r="DO468" s="174"/>
      <x:c r="DP468" s="174"/>
      <x:c r="DQ468" s="174"/>
      <x:c r="DR468" s="174"/>
      <x:c r="DS468" s="174"/>
      <x:c r="DT468" s="174"/>
      <x:c r="DU468" s="174"/>
      <x:c r="DV468" s="174"/>
      <x:c r="DW468" s="174"/>
      <x:c r="DX468" s="174"/>
      <x:c r="DY468" s="174"/>
      <x:c r="DZ468" s="174"/>
      <x:c r="EA468" s="174"/>
      <x:c r="EB468" s="175" t="str">
        <x:f>IF(L468="","",IF(AND(F468="Claim-ready",CJ468="Yes",CL468="Yes",DZ468&lt;&gt;""),"Yes","No / Pending"))</x:f>
      </x:c>
      <x:c r="EC468" s="174"/>
      <x:c r="ED468" s="174"/>
      <x:c r="EE468" s="174"/>
      <x:c r="EF468" s="174"/>
      <x:c r="EG468" s="174"/>
      <x:c r="EH468" s="177"/>
      <x:c r="EI468" s="174"/>
      <x:c r="EJ468" s="174"/>
      <x:c r="EK468" s="174"/>
      <x:c r="EL468" s="177"/>
      <x:c r="EM468" s="174"/>
      <x:c r="EN468" s="181" t="str">
        <x:f>IF(L468="","",(IF(N468&lt;&gt;"",1,0)+IF(O468&lt;&gt;"",1,0)+IF(AJ468&lt;&gt;"",1,0)+IF(AU468&lt;&gt;"",1,0)+IF(BE468&lt;&gt;"",1,0)+IF(CF468&lt;&gt;"",1,0)+IF(CJ468="Yes",1,0)+IF(CL468="Yes",1,0)+IF(DE468&lt;&gt;"Pending",1,0)+IF(F468&lt;&gt;"",1,0)+IF(DZ468&lt;&gt;"",1,0)+IF(EI468&lt;&gt;"",1,0))/12)</x:f>
      </x:c>
    </x:row>
    <x:row r="469">
      <x:c r="A469" s="175" t="str">
        <x:f>IF(L469="","","EV-"&amp;TEXT(ROW()-3,"0000"))</x:f>
      </x:c>
      <x:c r="B469" s="174"/>
      <x:c r="C469" s="175" t="str">
        <x:f>IF(L469="","",IF(OR(CM469="Retracted",CN469="Retracted",F469="Not used"),"🔴 Do not use for conclusion",IF(OR(R469="Official / Institutional",I469="Official / contextual"),"🔵 Official / contextual",IF(OR(I469="Definition",I469="Framework",I469="Paradigm shift"),"🟣 Conceptual key source",IF(AND(CJ469="Yes",CL469="Yes",OR(CG469="High",CG469="Moderate"),CH469&lt;&gt;"High",CH469&lt;&gt;"Critical",F469="Claim-ready"),"🟢 Claim-ready","🟡 Caution / context")))))</x:f>
      </x:c>
      <x:c r="D469" s="174"/>
      <x:c r="E469" s="174"/>
      <x:c r="F469" s="174"/>
      <x:c r="G469" s="174"/>
      <x:c r="H469" s="174"/>
      <x:c r="I469" s="174"/>
      <x:c r="J469" s="174"/>
      <x:c r="K469" s="174"/>
      <x:c r="L469" s="174"/>
      <x:c r="M469" s="174"/>
      <x:c r="N469" s="174"/>
      <x:c r="O469" s="176"/>
      <x:c r="P469" s="174"/>
      <x:c r="Q469" s="174"/>
      <x:c r="R469" s="174"/>
      <x:c r="S469" s="174"/>
      <x:c r="T469" s="174"/>
      <x:c r="U469" s="174"/>
      <x:c r="V469" s="174"/>
      <x:c r="W469" s="175" t="str">
        <x:f>IF(V469="","",LOWER(SUBSTITUTE(SUBSTITUTE(SUBSTITUTE(SUBSTITUTE(TRIM(V469),"https://doi.org/",""),"http://doi.org/",""),"https://dx.doi.org/",""),"doi:","")))</x:f>
      </x:c>
      <x:c r="X469" s="174"/>
      <x:c r="Y469" s="174"/>
      <x:c r="Z469" s="174"/>
      <x:c r="AA469" s="174"/>
      <x:c r="AB469" s="174"/>
      <x:c r="AC469" s="174"/>
      <x:c r="AD469" s="177"/>
      <x:c r="AE469" s="177"/>
      <x:c r="AF469" s="174"/>
      <x:c r="AG469" s="174"/>
      <x:c r="AH469" s="174"/>
      <x:c r="AI469" s="174"/>
      <x:c r="AJ469" s="174"/>
      <x:c r="AK469" s="175" t="str">
        <x:f>IF(AJ469="","",IF(OR(LOWER(AJ469)="brazil",LOWER(AJ469)="brasil"),"Yes","No"))</x:f>
      </x:c>
      <x:c r="AL469" s="174"/>
      <x:c r="AM469" s="174"/>
      <x:c r="AN469" s="174"/>
      <x:c r="AO469" s="178"/>
      <x:c r="AP469" s="174"/>
      <x:c r="AQ469" s="174"/>
      <x:c r="AR469" s="174"/>
      <x:c r="AS469" s="174"/>
      <x:c r="AT469" s="174"/>
      <x:c r="AU469" s="174"/>
      <x:c r="AV469" s="174"/>
      <x:c r="AW469" s="174"/>
      <x:c r="AX469" s="174"/>
      <x:c r="AY469" s="174"/>
      <x:c r="AZ469" s="174"/>
      <x:c r="BA469" s="174"/>
      <x:c r="BB469" s="174"/>
      <x:c r="BC469" s="174"/>
      <x:c r="BD469" s="174"/>
      <x:c r="BE469" s="174"/>
      <x:c r="BF469" s="174"/>
      <x:c r="BG469" s="174"/>
      <x:c r="BH469" s="174"/>
      <x:c r="BI469" s="174"/>
      <x:c r="BJ469" s="174"/>
      <x:c r="BK469" s="174"/>
      <x:c r="BL469" s="174"/>
      <x:c r="BM469" s="174"/>
      <x:c r="BN469" s="174"/>
      <x:c r="BO469" s="174"/>
      <x:c r="BP469" s="174"/>
      <x:c r="BQ469" s="174"/>
      <x:c r="BR469" s="174"/>
      <x:c r="BS469" s="174"/>
      <x:c r="BT469" s="174"/>
      <x:c r="BU469" s="174"/>
      <x:c r="BV469" s="174"/>
      <x:c r="BW469" s="174"/>
      <x:c r="BX469" s="174"/>
      <x:c r="BY469" s="174"/>
      <x:c r="BZ469" s="174"/>
      <x:c r="CA469" s="174"/>
      <x:c r="CB469" s="174"/>
      <x:c r="CC469" s="174"/>
      <x:c r="CD469" s="174"/>
      <x:c r="CE469" s="174"/>
      <x:c r="CF469" s="174"/>
      <x:c r="CG469" s="174"/>
      <x:c r="CH469" s="174"/>
      <x:c r="CI469" s="179"/>
      <x:c r="CJ469" s="174"/>
      <x:c r="CK469" s="174"/>
      <x:c r="CL469" s="174"/>
      <x:c r="CM469" s="174"/>
      <x:c r="CN469" s="174"/>
      <x:c r="CO469" s="177"/>
      <x:c r="CP469" s="174"/>
      <x:c r="CQ469" s="174"/>
      <x:c r="CR469" s="174"/>
      <x:c r="CS469" s="174"/>
      <x:c r="CT469" s="174"/>
      <x:c r="CU469" s="176"/>
      <x:c r="CV469" s="176"/>
      <x:c r="CW469" s="176"/>
      <x:c r="CX469" s="176"/>
      <x:c r="CY469" s="176"/>
      <x:c r="CZ469" s="176"/>
      <x:c r="DA469" s="176"/>
      <x:c r="DB469" s="175" t="str">
        <x:f>IF(L469="","",IF(COUNT(CU469:DA469)&lt;7,"",SUM(CU469:DA469)))</x:f>
      </x:c>
      <x:c r="DC469" s="180" t="str">
        <x:f>IF(DB469="","",ROUND(DB469/14*10,1))</x:f>
      </x:c>
      <x:c r="DD469" s="174"/>
      <x:c r="DE469" s="175" t="str">
        <x:f>IF(L469="","",IF(DC469="","Pending",IF(DD469="Yes","CONDITIONAL — safety override",IF(DC469&gt;=8,"HIGH",IF(DC469&gt;=5,"CONDITIONAL","LOW")))))</x:f>
      </x:c>
      <x:c r="DF469" s="174"/>
      <x:c r="DG469" s="174"/>
      <x:c r="DH469" s="174"/>
      <x:c r="DI469" s="174"/>
      <x:c r="DJ469" s="174"/>
      <x:c r="DK469" s="174"/>
      <x:c r="DL469" s="174"/>
      <x:c r="DM469" s="174"/>
      <x:c r="DN469" s="174"/>
      <x:c r="DO469" s="174"/>
      <x:c r="DP469" s="174"/>
      <x:c r="DQ469" s="174"/>
      <x:c r="DR469" s="174"/>
      <x:c r="DS469" s="174"/>
      <x:c r="DT469" s="174"/>
      <x:c r="DU469" s="174"/>
      <x:c r="DV469" s="174"/>
      <x:c r="DW469" s="174"/>
      <x:c r="DX469" s="174"/>
      <x:c r="DY469" s="174"/>
      <x:c r="DZ469" s="174"/>
      <x:c r="EA469" s="174"/>
      <x:c r="EB469" s="175" t="str">
        <x:f>IF(L469="","",IF(AND(F469="Claim-ready",CJ469="Yes",CL469="Yes",DZ469&lt;&gt;""),"Yes","No / Pending"))</x:f>
      </x:c>
      <x:c r="EC469" s="174"/>
      <x:c r="ED469" s="174"/>
      <x:c r="EE469" s="174"/>
      <x:c r="EF469" s="174"/>
      <x:c r="EG469" s="174"/>
      <x:c r="EH469" s="177"/>
      <x:c r="EI469" s="174"/>
      <x:c r="EJ469" s="174"/>
      <x:c r="EK469" s="174"/>
      <x:c r="EL469" s="177"/>
      <x:c r="EM469" s="174"/>
      <x:c r="EN469" s="181" t="str">
        <x:f>IF(L469="","",(IF(N469&lt;&gt;"",1,0)+IF(O469&lt;&gt;"",1,0)+IF(AJ469&lt;&gt;"",1,0)+IF(AU469&lt;&gt;"",1,0)+IF(BE469&lt;&gt;"",1,0)+IF(CF469&lt;&gt;"",1,0)+IF(CJ469="Yes",1,0)+IF(CL469="Yes",1,0)+IF(DE469&lt;&gt;"Pending",1,0)+IF(F469&lt;&gt;"",1,0)+IF(DZ469&lt;&gt;"",1,0)+IF(EI469&lt;&gt;"",1,0))/12)</x:f>
      </x:c>
    </x:row>
    <x:row r="470">
      <x:c r="A470" s="175" t="str">
        <x:f>IF(L470="","","EV-"&amp;TEXT(ROW()-3,"0000"))</x:f>
      </x:c>
      <x:c r="B470" s="174"/>
      <x:c r="C470" s="175" t="str">
        <x:f>IF(L470="","",IF(OR(CM470="Retracted",CN470="Retracted",F470="Not used"),"🔴 Do not use for conclusion",IF(OR(R470="Official / Institutional",I470="Official / contextual"),"🔵 Official / contextual",IF(OR(I470="Definition",I470="Framework",I470="Paradigm shift"),"🟣 Conceptual key source",IF(AND(CJ470="Yes",CL470="Yes",OR(CG470="High",CG470="Moderate"),CH470&lt;&gt;"High",CH470&lt;&gt;"Critical",F470="Claim-ready"),"🟢 Claim-ready","🟡 Caution / context")))))</x:f>
      </x:c>
      <x:c r="D470" s="174"/>
      <x:c r="E470" s="174"/>
      <x:c r="F470" s="174"/>
      <x:c r="G470" s="174"/>
      <x:c r="H470" s="174"/>
      <x:c r="I470" s="174"/>
      <x:c r="J470" s="174"/>
      <x:c r="K470" s="174"/>
      <x:c r="L470" s="174"/>
      <x:c r="M470" s="174"/>
      <x:c r="N470" s="174"/>
      <x:c r="O470" s="176"/>
      <x:c r="P470" s="174"/>
      <x:c r="Q470" s="174"/>
      <x:c r="R470" s="174"/>
      <x:c r="S470" s="174"/>
      <x:c r="T470" s="174"/>
      <x:c r="U470" s="174"/>
      <x:c r="V470" s="174"/>
      <x:c r="W470" s="175" t="str">
        <x:f>IF(V470="","",LOWER(SUBSTITUTE(SUBSTITUTE(SUBSTITUTE(SUBSTITUTE(TRIM(V470),"https://doi.org/",""),"http://doi.org/",""),"https://dx.doi.org/",""),"doi:","")))</x:f>
      </x:c>
      <x:c r="X470" s="174"/>
      <x:c r="Y470" s="174"/>
      <x:c r="Z470" s="174"/>
      <x:c r="AA470" s="174"/>
      <x:c r="AB470" s="174"/>
      <x:c r="AC470" s="174"/>
      <x:c r="AD470" s="177"/>
      <x:c r="AE470" s="177"/>
      <x:c r="AF470" s="174"/>
      <x:c r="AG470" s="174"/>
      <x:c r="AH470" s="174"/>
      <x:c r="AI470" s="174"/>
      <x:c r="AJ470" s="174"/>
      <x:c r="AK470" s="175" t="str">
        <x:f>IF(AJ470="","",IF(OR(LOWER(AJ470)="brazil",LOWER(AJ470)="brasil"),"Yes","No"))</x:f>
      </x:c>
      <x:c r="AL470" s="174"/>
      <x:c r="AM470" s="174"/>
      <x:c r="AN470" s="174"/>
      <x:c r="AO470" s="178"/>
      <x:c r="AP470" s="174"/>
      <x:c r="AQ470" s="174"/>
      <x:c r="AR470" s="174"/>
      <x:c r="AS470" s="174"/>
      <x:c r="AT470" s="174"/>
      <x:c r="AU470" s="174"/>
      <x:c r="AV470" s="174"/>
      <x:c r="AW470" s="174"/>
      <x:c r="AX470" s="174"/>
      <x:c r="AY470" s="174"/>
      <x:c r="AZ470" s="174"/>
      <x:c r="BA470" s="174"/>
      <x:c r="BB470" s="174"/>
      <x:c r="BC470" s="174"/>
      <x:c r="BD470" s="174"/>
      <x:c r="BE470" s="174"/>
      <x:c r="BF470" s="174"/>
      <x:c r="BG470" s="174"/>
      <x:c r="BH470" s="174"/>
      <x:c r="BI470" s="174"/>
      <x:c r="BJ470" s="174"/>
      <x:c r="BK470" s="174"/>
      <x:c r="BL470" s="174"/>
      <x:c r="BM470" s="174"/>
      <x:c r="BN470" s="174"/>
      <x:c r="BO470" s="174"/>
      <x:c r="BP470" s="174"/>
      <x:c r="BQ470" s="174"/>
      <x:c r="BR470" s="174"/>
      <x:c r="BS470" s="174"/>
      <x:c r="BT470" s="174"/>
      <x:c r="BU470" s="174"/>
      <x:c r="BV470" s="174"/>
      <x:c r="BW470" s="174"/>
      <x:c r="BX470" s="174"/>
      <x:c r="BY470" s="174"/>
      <x:c r="BZ470" s="174"/>
      <x:c r="CA470" s="174"/>
      <x:c r="CB470" s="174"/>
      <x:c r="CC470" s="174"/>
      <x:c r="CD470" s="174"/>
      <x:c r="CE470" s="174"/>
      <x:c r="CF470" s="174"/>
      <x:c r="CG470" s="174"/>
      <x:c r="CH470" s="174"/>
      <x:c r="CI470" s="179"/>
      <x:c r="CJ470" s="174"/>
      <x:c r="CK470" s="174"/>
      <x:c r="CL470" s="174"/>
      <x:c r="CM470" s="174"/>
      <x:c r="CN470" s="174"/>
      <x:c r="CO470" s="177"/>
      <x:c r="CP470" s="174"/>
      <x:c r="CQ470" s="174"/>
      <x:c r="CR470" s="174"/>
      <x:c r="CS470" s="174"/>
      <x:c r="CT470" s="174"/>
      <x:c r="CU470" s="176"/>
      <x:c r="CV470" s="176"/>
      <x:c r="CW470" s="176"/>
      <x:c r="CX470" s="176"/>
      <x:c r="CY470" s="176"/>
      <x:c r="CZ470" s="176"/>
      <x:c r="DA470" s="176"/>
      <x:c r="DB470" s="175" t="str">
        <x:f>IF(L470="","",IF(COUNT(CU470:DA470)&lt;7,"",SUM(CU470:DA470)))</x:f>
      </x:c>
      <x:c r="DC470" s="180" t="str">
        <x:f>IF(DB470="","",ROUND(DB470/14*10,1))</x:f>
      </x:c>
      <x:c r="DD470" s="174"/>
      <x:c r="DE470" s="175" t="str">
        <x:f>IF(L470="","",IF(DC470="","Pending",IF(DD470="Yes","CONDITIONAL — safety override",IF(DC470&gt;=8,"HIGH",IF(DC470&gt;=5,"CONDITIONAL","LOW")))))</x:f>
      </x:c>
      <x:c r="DF470" s="174"/>
      <x:c r="DG470" s="174"/>
      <x:c r="DH470" s="174"/>
      <x:c r="DI470" s="174"/>
      <x:c r="DJ470" s="174"/>
      <x:c r="DK470" s="174"/>
      <x:c r="DL470" s="174"/>
      <x:c r="DM470" s="174"/>
      <x:c r="DN470" s="174"/>
      <x:c r="DO470" s="174"/>
      <x:c r="DP470" s="174"/>
      <x:c r="DQ470" s="174"/>
      <x:c r="DR470" s="174"/>
      <x:c r="DS470" s="174"/>
      <x:c r="DT470" s="174"/>
      <x:c r="DU470" s="174"/>
      <x:c r="DV470" s="174"/>
      <x:c r="DW470" s="174"/>
      <x:c r="DX470" s="174"/>
      <x:c r="DY470" s="174"/>
      <x:c r="DZ470" s="174"/>
      <x:c r="EA470" s="174"/>
      <x:c r="EB470" s="175" t="str">
        <x:f>IF(L470="","",IF(AND(F470="Claim-ready",CJ470="Yes",CL470="Yes",DZ470&lt;&gt;""),"Yes","No / Pending"))</x:f>
      </x:c>
      <x:c r="EC470" s="174"/>
      <x:c r="ED470" s="174"/>
      <x:c r="EE470" s="174"/>
      <x:c r="EF470" s="174"/>
      <x:c r="EG470" s="174"/>
      <x:c r="EH470" s="177"/>
      <x:c r="EI470" s="174"/>
      <x:c r="EJ470" s="174"/>
      <x:c r="EK470" s="174"/>
      <x:c r="EL470" s="177"/>
      <x:c r="EM470" s="174"/>
      <x:c r="EN470" s="181" t="str">
        <x:f>IF(L470="","",(IF(N470&lt;&gt;"",1,0)+IF(O470&lt;&gt;"",1,0)+IF(AJ470&lt;&gt;"",1,0)+IF(AU470&lt;&gt;"",1,0)+IF(BE470&lt;&gt;"",1,0)+IF(CF470&lt;&gt;"",1,0)+IF(CJ470="Yes",1,0)+IF(CL470="Yes",1,0)+IF(DE470&lt;&gt;"Pending",1,0)+IF(F470&lt;&gt;"",1,0)+IF(DZ470&lt;&gt;"",1,0)+IF(EI470&lt;&gt;"",1,0))/12)</x:f>
      </x:c>
    </x:row>
    <x:row r="471">
      <x:c r="A471" s="175" t="str">
        <x:f>IF(L471="","","EV-"&amp;TEXT(ROW()-3,"0000"))</x:f>
      </x:c>
      <x:c r="B471" s="174"/>
      <x:c r="C471" s="175" t="str">
        <x:f>IF(L471="","",IF(OR(CM471="Retracted",CN471="Retracted",F471="Not used"),"🔴 Do not use for conclusion",IF(OR(R471="Official / Institutional",I471="Official / contextual"),"🔵 Official / contextual",IF(OR(I471="Definition",I471="Framework",I471="Paradigm shift"),"🟣 Conceptual key source",IF(AND(CJ471="Yes",CL471="Yes",OR(CG471="High",CG471="Moderate"),CH471&lt;&gt;"High",CH471&lt;&gt;"Critical",F471="Claim-ready"),"🟢 Claim-ready","🟡 Caution / context")))))</x:f>
      </x:c>
      <x:c r="D471" s="174"/>
      <x:c r="E471" s="174"/>
      <x:c r="F471" s="174"/>
      <x:c r="G471" s="174"/>
      <x:c r="H471" s="174"/>
      <x:c r="I471" s="174"/>
      <x:c r="J471" s="174"/>
      <x:c r="K471" s="174"/>
      <x:c r="L471" s="174"/>
      <x:c r="M471" s="174"/>
      <x:c r="N471" s="174"/>
      <x:c r="O471" s="176"/>
      <x:c r="P471" s="174"/>
      <x:c r="Q471" s="174"/>
      <x:c r="R471" s="174"/>
      <x:c r="S471" s="174"/>
      <x:c r="T471" s="174"/>
      <x:c r="U471" s="174"/>
      <x:c r="V471" s="174"/>
      <x:c r="W471" s="175" t="str">
        <x:f>IF(V471="","",LOWER(SUBSTITUTE(SUBSTITUTE(SUBSTITUTE(SUBSTITUTE(TRIM(V471),"https://doi.org/",""),"http://doi.org/",""),"https://dx.doi.org/",""),"doi:","")))</x:f>
      </x:c>
      <x:c r="X471" s="174"/>
      <x:c r="Y471" s="174"/>
      <x:c r="Z471" s="174"/>
      <x:c r="AA471" s="174"/>
      <x:c r="AB471" s="174"/>
      <x:c r="AC471" s="174"/>
      <x:c r="AD471" s="177"/>
      <x:c r="AE471" s="177"/>
      <x:c r="AF471" s="174"/>
      <x:c r="AG471" s="174"/>
      <x:c r="AH471" s="174"/>
      <x:c r="AI471" s="174"/>
      <x:c r="AJ471" s="174"/>
      <x:c r="AK471" s="175" t="str">
        <x:f>IF(AJ471="","",IF(OR(LOWER(AJ471)="brazil",LOWER(AJ471)="brasil"),"Yes","No"))</x:f>
      </x:c>
      <x:c r="AL471" s="174"/>
      <x:c r="AM471" s="174"/>
      <x:c r="AN471" s="174"/>
      <x:c r="AO471" s="178"/>
      <x:c r="AP471" s="174"/>
      <x:c r="AQ471" s="174"/>
      <x:c r="AR471" s="174"/>
      <x:c r="AS471" s="174"/>
      <x:c r="AT471" s="174"/>
      <x:c r="AU471" s="174"/>
      <x:c r="AV471" s="174"/>
      <x:c r="AW471" s="174"/>
      <x:c r="AX471" s="174"/>
      <x:c r="AY471" s="174"/>
      <x:c r="AZ471" s="174"/>
      <x:c r="BA471" s="174"/>
      <x:c r="BB471" s="174"/>
      <x:c r="BC471" s="174"/>
      <x:c r="BD471" s="174"/>
      <x:c r="BE471" s="174"/>
      <x:c r="BF471" s="174"/>
      <x:c r="BG471" s="174"/>
      <x:c r="BH471" s="174"/>
      <x:c r="BI471" s="174"/>
      <x:c r="BJ471" s="174"/>
      <x:c r="BK471" s="174"/>
      <x:c r="BL471" s="174"/>
      <x:c r="BM471" s="174"/>
      <x:c r="BN471" s="174"/>
      <x:c r="BO471" s="174"/>
      <x:c r="BP471" s="174"/>
      <x:c r="BQ471" s="174"/>
      <x:c r="BR471" s="174"/>
      <x:c r="BS471" s="174"/>
      <x:c r="BT471" s="174"/>
      <x:c r="BU471" s="174"/>
      <x:c r="BV471" s="174"/>
      <x:c r="BW471" s="174"/>
      <x:c r="BX471" s="174"/>
      <x:c r="BY471" s="174"/>
      <x:c r="BZ471" s="174"/>
      <x:c r="CA471" s="174"/>
      <x:c r="CB471" s="174"/>
      <x:c r="CC471" s="174"/>
      <x:c r="CD471" s="174"/>
      <x:c r="CE471" s="174"/>
      <x:c r="CF471" s="174"/>
      <x:c r="CG471" s="174"/>
      <x:c r="CH471" s="174"/>
      <x:c r="CI471" s="179"/>
      <x:c r="CJ471" s="174"/>
      <x:c r="CK471" s="174"/>
      <x:c r="CL471" s="174"/>
      <x:c r="CM471" s="174"/>
      <x:c r="CN471" s="174"/>
      <x:c r="CO471" s="177"/>
      <x:c r="CP471" s="174"/>
      <x:c r="CQ471" s="174"/>
      <x:c r="CR471" s="174"/>
      <x:c r="CS471" s="174"/>
      <x:c r="CT471" s="174"/>
      <x:c r="CU471" s="176"/>
      <x:c r="CV471" s="176"/>
      <x:c r="CW471" s="176"/>
      <x:c r="CX471" s="176"/>
      <x:c r="CY471" s="176"/>
      <x:c r="CZ471" s="176"/>
      <x:c r="DA471" s="176"/>
      <x:c r="DB471" s="175" t="str">
        <x:f>IF(L471="","",IF(COUNT(CU471:DA471)&lt;7,"",SUM(CU471:DA471)))</x:f>
      </x:c>
      <x:c r="DC471" s="180" t="str">
        <x:f>IF(DB471="","",ROUND(DB471/14*10,1))</x:f>
      </x:c>
      <x:c r="DD471" s="174"/>
      <x:c r="DE471" s="175" t="str">
        <x:f>IF(L471="","",IF(DC471="","Pending",IF(DD471="Yes","CONDITIONAL — safety override",IF(DC471&gt;=8,"HIGH",IF(DC471&gt;=5,"CONDITIONAL","LOW")))))</x:f>
      </x:c>
      <x:c r="DF471" s="174"/>
      <x:c r="DG471" s="174"/>
      <x:c r="DH471" s="174"/>
      <x:c r="DI471" s="174"/>
      <x:c r="DJ471" s="174"/>
      <x:c r="DK471" s="174"/>
      <x:c r="DL471" s="174"/>
      <x:c r="DM471" s="174"/>
      <x:c r="DN471" s="174"/>
      <x:c r="DO471" s="174"/>
      <x:c r="DP471" s="174"/>
      <x:c r="DQ471" s="174"/>
      <x:c r="DR471" s="174"/>
      <x:c r="DS471" s="174"/>
      <x:c r="DT471" s="174"/>
      <x:c r="DU471" s="174"/>
      <x:c r="DV471" s="174"/>
      <x:c r="DW471" s="174"/>
      <x:c r="DX471" s="174"/>
      <x:c r="DY471" s="174"/>
      <x:c r="DZ471" s="174"/>
      <x:c r="EA471" s="174"/>
      <x:c r="EB471" s="175" t="str">
        <x:f>IF(L471="","",IF(AND(F471="Claim-ready",CJ471="Yes",CL471="Yes",DZ471&lt;&gt;""),"Yes","No / Pending"))</x:f>
      </x:c>
      <x:c r="EC471" s="174"/>
      <x:c r="ED471" s="174"/>
      <x:c r="EE471" s="174"/>
      <x:c r="EF471" s="174"/>
      <x:c r="EG471" s="174"/>
      <x:c r="EH471" s="177"/>
      <x:c r="EI471" s="174"/>
      <x:c r="EJ471" s="174"/>
      <x:c r="EK471" s="174"/>
      <x:c r="EL471" s="177"/>
      <x:c r="EM471" s="174"/>
      <x:c r="EN471" s="181" t="str">
        <x:f>IF(L471="","",(IF(N471&lt;&gt;"",1,0)+IF(O471&lt;&gt;"",1,0)+IF(AJ471&lt;&gt;"",1,0)+IF(AU471&lt;&gt;"",1,0)+IF(BE471&lt;&gt;"",1,0)+IF(CF471&lt;&gt;"",1,0)+IF(CJ471="Yes",1,0)+IF(CL471="Yes",1,0)+IF(DE471&lt;&gt;"Pending",1,0)+IF(F471&lt;&gt;"",1,0)+IF(DZ471&lt;&gt;"",1,0)+IF(EI471&lt;&gt;"",1,0))/12)</x:f>
      </x:c>
    </x:row>
    <x:row r="472">
      <x:c r="A472" s="175" t="str">
        <x:f>IF(L472="","","EV-"&amp;TEXT(ROW()-3,"0000"))</x:f>
      </x:c>
      <x:c r="B472" s="174"/>
      <x:c r="C472" s="175" t="str">
        <x:f>IF(L472="","",IF(OR(CM472="Retracted",CN472="Retracted",F472="Not used"),"🔴 Do not use for conclusion",IF(OR(R472="Official / Institutional",I472="Official / contextual"),"🔵 Official / contextual",IF(OR(I472="Definition",I472="Framework",I472="Paradigm shift"),"🟣 Conceptual key source",IF(AND(CJ472="Yes",CL472="Yes",OR(CG472="High",CG472="Moderate"),CH472&lt;&gt;"High",CH472&lt;&gt;"Critical",F472="Claim-ready"),"🟢 Claim-ready","🟡 Caution / context")))))</x:f>
      </x:c>
      <x:c r="D472" s="174"/>
      <x:c r="E472" s="174"/>
      <x:c r="F472" s="174"/>
      <x:c r="G472" s="174"/>
      <x:c r="H472" s="174"/>
      <x:c r="I472" s="174"/>
      <x:c r="J472" s="174"/>
      <x:c r="K472" s="174"/>
      <x:c r="L472" s="174"/>
      <x:c r="M472" s="174"/>
      <x:c r="N472" s="174"/>
      <x:c r="O472" s="176"/>
      <x:c r="P472" s="174"/>
      <x:c r="Q472" s="174"/>
      <x:c r="R472" s="174"/>
      <x:c r="S472" s="174"/>
      <x:c r="T472" s="174"/>
      <x:c r="U472" s="174"/>
      <x:c r="V472" s="174"/>
      <x:c r="W472" s="175" t="str">
        <x:f>IF(V472="","",LOWER(SUBSTITUTE(SUBSTITUTE(SUBSTITUTE(SUBSTITUTE(TRIM(V472),"https://doi.org/",""),"http://doi.org/",""),"https://dx.doi.org/",""),"doi:","")))</x:f>
      </x:c>
      <x:c r="X472" s="174"/>
      <x:c r="Y472" s="174"/>
      <x:c r="Z472" s="174"/>
      <x:c r="AA472" s="174"/>
      <x:c r="AB472" s="174"/>
      <x:c r="AC472" s="174"/>
      <x:c r="AD472" s="177"/>
      <x:c r="AE472" s="177"/>
      <x:c r="AF472" s="174"/>
      <x:c r="AG472" s="174"/>
      <x:c r="AH472" s="174"/>
      <x:c r="AI472" s="174"/>
      <x:c r="AJ472" s="174"/>
      <x:c r="AK472" s="175" t="str">
        <x:f>IF(AJ472="","",IF(OR(LOWER(AJ472)="brazil",LOWER(AJ472)="brasil"),"Yes","No"))</x:f>
      </x:c>
      <x:c r="AL472" s="174"/>
      <x:c r="AM472" s="174"/>
      <x:c r="AN472" s="174"/>
      <x:c r="AO472" s="178"/>
      <x:c r="AP472" s="174"/>
      <x:c r="AQ472" s="174"/>
      <x:c r="AR472" s="174"/>
      <x:c r="AS472" s="174"/>
      <x:c r="AT472" s="174"/>
      <x:c r="AU472" s="174"/>
      <x:c r="AV472" s="174"/>
      <x:c r="AW472" s="174"/>
      <x:c r="AX472" s="174"/>
      <x:c r="AY472" s="174"/>
      <x:c r="AZ472" s="174"/>
      <x:c r="BA472" s="174"/>
      <x:c r="BB472" s="174"/>
      <x:c r="BC472" s="174"/>
      <x:c r="BD472" s="174"/>
      <x:c r="BE472" s="174"/>
      <x:c r="BF472" s="174"/>
      <x:c r="BG472" s="174"/>
      <x:c r="BH472" s="174"/>
      <x:c r="BI472" s="174"/>
      <x:c r="BJ472" s="174"/>
      <x:c r="BK472" s="174"/>
      <x:c r="BL472" s="174"/>
      <x:c r="BM472" s="174"/>
      <x:c r="BN472" s="174"/>
      <x:c r="BO472" s="174"/>
      <x:c r="BP472" s="174"/>
      <x:c r="BQ472" s="174"/>
      <x:c r="BR472" s="174"/>
      <x:c r="BS472" s="174"/>
      <x:c r="BT472" s="174"/>
      <x:c r="BU472" s="174"/>
      <x:c r="BV472" s="174"/>
      <x:c r="BW472" s="174"/>
      <x:c r="BX472" s="174"/>
      <x:c r="BY472" s="174"/>
      <x:c r="BZ472" s="174"/>
      <x:c r="CA472" s="174"/>
      <x:c r="CB472" s="174"/>
      <x:c r="CC472" s="174"/>
      <x:c r="CD472" s="174"/>
      <x:c r="CE472" s="174"/>
      <x:c r="CF472" s="174"/>
      <x:c r="CG472" s="174"/>
      <x:c r="CH472" s="174"/>
      <x:c r="CI472" s="179"/>
      <x:c r="CJ472" s="174"/>
      <x:c r="CK472" s="174"/>
      <x:c r="CL472" s="174"/>
      <x:c r="CM472" s="174"/>
      <x:c r="CN472" s="174"/>
      <x:c r="CO472" s="177"/>
      <x:c r="CP472" s="174"/>
      <x:c r="CQ472" s="174"/>
      <x:c r="CR472" s="174"/>
      <x:c r="CS472" s="174"/>
      <x:c r="CT472" s="174"/>
      <x:c r="CU472" s="176"/>
      <x:c r="CV472" s="176"/>
      <x:c r="CW472" s="176"/>
      <x:c r="CX472" s="176"/>
      <x:c r="CY472" s="176"/>
      <x:c r="CZ472" s="176"/>
      <x:c r="DA472" s="176"/>
      <x:c r="DB472" s="175" t="str">
        <x:f>IF(L472="","",IF(COUNT(CU472:DA472)&lt;7,"",SUM(CU472:DA472)))</x:f>
      </x:c>
      <x:c r="DC472" s="180" t="str">
        <x:f>IF(DB472="","",ROUND(DB472/14*10,1))</x:f>
      </x:c>
      <x:c r="DD472" s="174"/>
      <x:c r="DE472" s="175" t="str">
        <x:f>IF(L472="","",IF(DC472="","Pending",IF(DD472="Yes","CONDITIONAL — safety override",IF(DC472&gt;=8,"HIGH",IF(DC472&gt;=5,"CONDITIONAL","LOW")))))</x:f>
      </x:c>
      <x:c r="DF472" s="174"/>
      <x:c r="DG472" s="174"/>
      <x:c r="DH472" s="174"/>
      <x:c r="DI472" s="174"/>
      <x:c r="DJ472" s="174"/>
      <x:c r="DK472" s="174"/>
      <x:c r="DL472" s="174"/>
      <x:c r="DM472" s="174"/>
      <x:c r="DN472" s="174"/>
      <x:c r="DO472" s="174"/>
      <x:c r="DP472" s="174"/>
      <x:c r="DQ472" s="174"/>
      <x:c r="DR472" s="174"/>
      <x:c r="DS472" s="174"/>
      <x:c r="DT472" s="174"/>
      <x:c r="DU472" s="174"/>
      <x:c r="DV472" s="174"/>
      <x:c r="DW472" s="174"/>
      <x:c r="DX472" s="174"/>
      <x:c r="DY472" s="174"/>
      <x:c r="DZ472" s="174"/>
      <x:c r="EA472" s="174"/>
      <x:c r="EB472" s="175" t="str">
        <x:f>IF(L472="","",IF(AND(F472="Claim-ready",CJ472="Yes",CL472="Yes",DZ472&lt;&gt;""),"Yes","No / Pending"))</x:f>
      </x:c>
      <x:c r="EC472" s="174"/>
      <x:c r="ED472" s="174"/>
      <x:c r="EE472" s="174"/>
      <x:c r="EF472" s="174"/>
      <x:c r="EG472" s="174"/>
      <x:c r="EH472" s="177"/>
      <x:c r="EI472" s="174"/>
      <x:c r="EJ472" s="174"/>
      <x:c r="EK472" s="174"/>
      <x:c r="EL472" s="177"/>
      <x:c r="EM472" s="174"/>
      <x:c r="EN472" s="181" t="str">
        <x:f>IF(L472="","",(IF(N472&lt;&gt;"",1,0)+IF(O472&lt;&gt;"",1,0)+IF(AJ472&lt;&gt;"",1,0)+IF(AU472&lt;&gt;"",1,0)+IF(BE472&lt;&gt;"",1,0)+IF(CF472&lt;&gt;"",1,0)+IF(CJ472="Yes",1,0)+IF(CL472="Yes",1,0)+IF(DE472&lt;&gt;"Pending",1,0)+IF(F472&lt;&gt;"",1,0)+IF(DZ472&lt;&gt;"",1,0)+IF(EI472&lt;&gt;"",1,0))/12)</x:f>
      </x:c>
    </x:row>
    <x:row r="473">
      <x:c r="A473" s="175" t="str">
        <x:f>IF(L473="","","EV-"&amp;TEXT(ROW()-3,"0000"))</x:f>
      </x:c>
      <x:c r="B473" s="174"/>
      <x:c r="C473" s="175" t="str">
        <x:f>IF(L473="","",IF(OR(CM473="Retracted",CN473="Retracted",F473="Not used"),"🔴 Do not use for conclusion",IF(OR(R473="Official / Institutional",I473="Official / contextual"),"🔵 Official / contextual",IF(OR(I473="Definition",I473="Framework",I473="Paradigm shift"),"🟣 Conceptual key source",IF(AND(CJ473="Yes",CL473="Yes",OR(CG473="High",CG473="Moderate"),CH473&lt;&gt;"High",CH473&lt;&gt;"Critical",F473="Claim-ready"),"🟢 Claim-ready","🟡 Caution / context")))))</x:f>
      </x:c>
      <x:c r="D473" s="174"/>
      <x:c r="E473" s="174"/>
      <x:c r="F473" s="174"/>
      <x:c r="G473" s="174"/>
      <x:c r="H473" s="174"/>
      <x:c r="I473" s="174"/>
      <x:c r="J473" s="174"/>
      <x:c r="K473" s="174"/>
      <x:c r="L473" s="174"/>
      <x:c r="M473" s="174"/>
      <x:c r="N473" s="174"/>
      <x:c r="O473" s="176"/>
      <x:c r="P473" s="174"/>
      <x:c r="Q473" s="174"/>
      <x:c r="R473" s="174"/>
      <x:c r="S473" s="174"/>
      <x:c r="T473" s="174"/>
      <x:c r="U473" s="174"/>
      <x:c r="V473" s="174"/>
      <x:c r="W473" s="175" t="str">
        <x:f>IF(V473="","",LOWER(SUBSTITUTE(SUBSTITUTE(SUBSTITUTE(SUBSTITUTE(TRIM(V473),"https://doi.org/",""),"http://doi.org/",""),"https://dx.doi.org/",""),"doi:","")))</x:f>
      </x:c>
      <x:c r="X473" s="174"/>
      <x:c r="Y473" s="174"/>
      <x:c r="Z473" s="174"/>
      <x:c r="AA473" s="174"/>
      <x:c r="AB473" s="174"/>
      <x:c r="AC473" s="174"/>
      <x:c r="AD473" s="177"/>
      <x:c r="AE473" s="177"/>
      <x:c r="AF473" s="174"/>
      <x:c r="AG473" s="174"/>
      <x:c r="AH473" s="174"/>
      <x:c r="AI473" s="174"/>
      <x:c r="AJ473" s="174"/>
      <x:c r="AK473" s="175" t="str">
        <x:f>IF(AJ473="","",IF(OR(LOWER(AJ473)="brazil",LOWER(AJ473)="brasil"),"Yes","No"))</x:f>
      </x:c>
      <x:c r="AL473" s="174"/>
      <x:c r="AM473" s="174"/>
      <x:c r="AN473" s="174"/>
      <x:c r="AO473" s="178"/>
      <x:c r="AP473" s="174"/>
      <x:c r="AQ473" s="174"/>
      <x:c r="AR473" s="174"/>
      <x:c r="AS473" s="174"/>
      <x:c r="AT473" s="174"/>
      <x:c r="AU473" s="174"/>
      <x:c r="AV473" s="174"/>
      <x:c r="AW473" s="174"/>
      <x:c r="AX473" s="174"/>
      <x:c r="AY473" s="174"/>
      <x:c r="AZ473" s="174"/>
      <x:c r="BA473" s="174"/>
      <x:c r="BB473" s="174"/>
      <x:c r="BC473" s="174"/>
      <x:c r="BD473" s="174"/>
      <x:c r="BE473" s="174"/>
      <x:c r="BF473" s="174"/>
      <x:c r="BG473" s="174"/>
      <x:c r="BH473" s="174"/>
      <x:c r="BI473" s="174"/>
      <x:c r="BJ473" s="174"/>
      <x:c r="BK473" s="174"/>
      <x:c r="BL473" s="174"/>
      <x:c r="BM473" s="174"/>
      <x:c r="BN473" s="174"/>
      <x:c r="BO473" s="174"/>
      <x:c r="BP473" s="174"/>
      <x:c r="BQ473" s="174"/>
      <x:c r="BR473" s="174"/>
      <x:c r="BS473" s="174"/>
      <x:c r="BT473" s="174"/>
      <x:c r="BU473" s="174"/>
      <x:c r="BV473" s="174"/>
      <x:c r="BW473" s="174"/>
      <x:c r="BX473" s="174"/>
      <x:c r="BY473" s="174"/>
      <x:c r="BZ473" s="174"/>
      <x:c r="CA473" s="174"/>
      <x:c r="CB473" s="174"/>
      <x:c r="CC473" s="174"/>
      <x:c r="CD473" s="174"/>
      <x:c r="CE473" s="174"/>
      <x:c r="CF473" s="174"/>
      <x:c r="CG473" s="174"/>
      <x:c r="CH473" s="174"/>
      <x:c r="CI473" s="179"/>
      <x:c r="CJ473" s="174"/>
      <x:c r="CK473" s="174"/>
      <x:c r="CL473" s="174"/>
      <x:c r="CM473" s="174"/>
      <x:c r="CN473" s="174"/>
      <x:c r="CO473" s="177"/>
      <x:c r="CP473" s="174"/>
      <x:c r="CQ473" s="174"/>
      <x:c r="CR473" s="174"/>
      <x:c r="CS473" s="174"/>
      <x:c r="CT473" s="174"/>
      <x:c r="CU473" s="176"/>
      <x:c r="CV473" s="176"/>
      <x:c r="CW473" s="176"/>
      <x:c r="CX473" s="176"/>
      <x:c r="CY473" s="176"/>
      <x:c r="CZ473" s="176"/>
      <x:c r="DA473" s="176"/>
      <x:c r="DB473" s="175" t="str">
        <x:f>IF(L473="","",IF(COUNT(CU473:DA473)&lt;7,"",SUM(CU473:DA473)))</x:f>
      </x:c>
      <x:c r="DC473" s="180" t="str">
        <x:f>IF(DB473="","",ROUND(DB473/14*10,1))</x:f>
      </x:c>
      <x:c r="DD473" s="174"/>
      <x:c r="DE473" s="175" t="str">
        <x:f>IF(L473="","",IF(DC473="","Pending",IF(DD473="Yes","CONDITIONAL — safety override",IF(DC473&gt;=8,"HIGH",IF(DC473&gt;=5,"CONDITIONAL","LOW")))))</x:f>
      </x:c>
      <x:c r="DF473" s="174"/>
      <x:c r="DG473" s="174"/>
      <x:c r="DH473" s="174"/>
      <x:c r="DI473" s="174"/>
      <x:c r="DJ473" s="174"/>
      <x:c r="DK473" s="174"/>
      <x:c r="DL473" s="174"/>
      <x:c r="DM473" s="174"/>
      <x:c r="DN473" s="174"/>
      <x:c r="DO473" s="174"/>
      <x:c r="DP473" s="174"/>
      <x:c r="DQ473" s="174"/>
      <x:c r="DR473" s="174"/>
      <x:c r="DS473" s="174"/>
      <x:c r="DT473" s="174"/>
      <x:c r="DU473" s="174"/>
      <x:c r="DV473" s="174"/>
      <x:c r="DW473" s="174"/>
      <x:c r="DX473" s="174"/>
      <x:c r="DY473" s="174"/>
      <x:c r="DZ473" s="174"/>
      <x:c r="EA473" s="174"/>
      <x:c r="EB473" s="175" t="str">
        <x:f>IF(L473="","",IF(AND(F473="Claim-ready",CJ473="Yes",CL473="Yes",DZ473&lt;&gt;""),"Yes","No / Pending"))</x:f>
      </x:c>
      <x:c r="EC473" s="174"/>
      <x:c r="ED473" s="174"/>
      <x:c r="EE473" s="174"/>
      <x:c r="EF473" s="174"/>
      <x:c r="EG473" s="174"/>
      <x:c r="EH473" s="177"/>
      <x:c r="EI473" s="174"/>
      <x:c r="EJ473" s="174"/>
      <x:c r="EK473" s="174"/>
      <x:c r="EL473" s="177"/>
      <x:c r="EM473" s="174"/>
      <x:c r="EN473" s="181" t="str">
        <x:f>IF(L473="","",(IF(N473&lt;&gt;"",1,0)+IF(O473&lt;&gt;"",1,0)+IF(AJ473&lt;&gt;"",1,0)+IF(AU473&lt;&gt;"",1,0)+IF(BE473&lt;&gt;"",1,0)+IF(CF473&lt;&gt;"",1,0)+IF(CJ473="Yes",1,0)+IF(CL473="Yes",1,0)+IF(DE473&lt;&gt;"Pending",1,0)+IF(F473&lt;&gt;"",1,0)+IF(DZ473&lt;&gt;"",1,0)+IF(EI473&lt;&gt;"",1,0))/12)</x:f>
      </x:c>
    </x:row>
    <x:row r="474">
      <x:c r="A474" s="175" t="str">
        <x:f>IF(L474="","","EV-"&amp;TEXT(ROW()-3,"0000"))</x:f>
      </x:c>
      <x:c r="B474" s="174"/>
      <x:c r="C474" s="175" t="str">
        <x:f>IF(L474="","",IF(OR(CM474="Retracted",CN474="Retracted",F474="Not used"),"🔴 Do not use for conclusion",IF(OR(R474="Official / Institutional",I474="Official / contextual"),"🔵 Official / contextual",IF(OR(I474="Definition",I474="Framework",I474="Paradigm shift"),"🟣 Conceptual key source",IF(AND(CJ474="Yes",CL474="Yes",OR(CG474="High",CG474="Moderate"),CH474&lt;&gt;"High",CH474&lt;&gt;"Critical",F474="Claim-ready"),"🟢 Claim-ready","🟡 Caution / context")))))</x:f>
      </x:c>
      <x:c r="D474" s="174"/>
      <x:c r="E474" s="174"/>
      <x:c r="F474" s="174"/>
      <x:c r="G474" s="174"/>
      <x:c r="H474" s="174"/>
      <x:c r="I474" s="174"/>
      <x:c r="J474" s="174"/>
      <x:c r="K474" s="174"/>
      <x:c r="L474" s="174"/>
      <x:c r="M474" s="174"/>
      <x:c r="N474" s="174"/>
      <x:c r="O474" s="176"/>
      <x:c r="P474" s="174"/>
      <x:c r="Q474" s="174"/>
      <x:c r="R474" s="174"/>
      <x:c r="S474" s="174"/>
      <x:c r="T474" s="174"/>
      <x:c r="U474" s="174"/>
      <x:c r="V474" s="174"/>
      <x:c r="W474" s="175" t="str">
        <x:f>IF(V474="","",LOWER(SUBSTITUTE(SUBSTITUTE(SUBSTITUTE(SUBSTITUTE(TRIM(V474),"https://doi.org/",""),"http://doi.org/",""),"https://dx.doi.org/",""),"doi:","")))</x:f>
      </x:c>
      <x:c r="X474" s="174"/>
      <x:c r="Y474" s="174"/>
      <x:c r="Z474" s="174"/>
      <x:c r="AA474" s="174"/>
      <x:c r="AB474" s="174"/>
      <x:c r="AC474" s="174"/>
      <x:c r="AD474" s="177"/>
      <x:c r="AE474" s="177"/>
      <x:c r="AF474" s="174"/>
      <x:c r="AG474" s="174"/>
      <x:c r="AH474" s="174"/>
      <x:c r="AI474" s="174"/>
      <x:c r="AJ474" s="174"/>
      <x:c r="AK474" s="175" t="str">
        <x:f>IF(AJ474="","",IF(OR(LOWER(AJ474)="brazil",LOWER(AJ474)="brasil"),"Yes","No"))</x:f>
      </x:c>
      <x:c r="AL474" s="174"/>
      <x:c r="AM474" s="174"/>
      <x:c r="AN474" s="174"/>
      <x:c r="AO474" s="178"/>
      <x:c r="AP474" s="174"/>
      <x:c r="AQ474" s="174"/>
      <x:c r="AR474" s="174"/>
      <x:c r="AS474" s="174"/>
      <x:c r="AT474" s="174"/>
      <x:c r="AU474" s="174"/>
      <x:c r="AV474" s="174"/>
      <x:c r="AW474" s="174"/>
      <x:c r="AX474" s="174"/>
      <x:c r="AY474" s="174"/>
      <x:c r="AZ474" s="174"/>
      <x:c r="BA474" s="174"/>
      <x:c r="BB474" s="174"/>
      <x:c r="BC474" s="174"/>
      <x:c r="BD474" s="174"/>
      <x:c r="BE474" s="174"/>
      <x:c r="BF474" s="174"/>
      <x:c r="BG474" s="174"/>
      <x:c r="BH474" s="174"/>
      <x:c r="BI474" s="174"/>
      <x:c r="BJ474" s="174"/>
      <x:c r="BK474" s="174"/>
      <x:c r="BL474" s="174"/>
      <x:c r="BM474" s="174"/>
      <x:c r="BN474" s="174"/>
      <x:c r="BO474" s="174"/>
      <x:c r="BP474" s="174"/>
      <x:c r="BQ474" s="174"/>
      <x:c r="BR474" s="174"/>
      <x:c r="BS474" s="174"/>
      <x:c r="BT474" s="174"/>
      <x:c r="BU474" s="174"/>
      <x:c r="BV474" s="174"/>
      <x:c r="BW474" s="174"/>
      <x:c r="BX474" s="174"/>
      <x:c r="BY474" s="174"/>
      <x:c r="BZ474" s="174"/>
      <x:c r="CA474" s="174"/>
      <x:c r="CB474" s="174"/>
      <x:c r="CC474" s="174"/>
      <x:c r="CD474" s="174"/>
      <x:c r="CE474" s="174"/>
      <x:c r="CF474" s="174"/>
      <x:c r="CG474" s="174"/>
      <x:c r="CH474" s="174"/>
      <x:c r="CI474" s="179"/>
      <x:c r="CJ474" s="174"/>
      <x:c r="CK474" s="174"/>
      <x:c r="CL474" s="174"/>
      <x:c r="CM474" s="174"/>
      <x:c r="CN474" s="174"/>
      <x:c r="CO474" s="177"/>
      <x:c r="CP474" s="174"/>
      <x:c r="CQ474" s="174"/>
      <x:c r="CR474" s="174"/>
      <x:c r="CS474" s="174"/>
      <x:c r="CT474" s="174"/>
      <x:c r="CU474" s="176"/>
      <x:c r="CV474" s="176"/>
      <x:c r="CW474" s="176"/>
      <x:c r="CX474" s="176"/>
      <x:c r="CY474" s="176"/>
      <x:c r="CZ474" s="176"/>
      <x:c r="DA474" s="176"/>
      <x:c r="DB474" s="175" t="str">
        <x:f>IF(L474="","",IF(COUNT(CU474:DA474)&lt;7,"",SUM(CU474:DA474)))</x:f>
      </x:c>
      <x:c r="DC474" s="180" t="str">
        <x:f>IF(DB474="","",ROUND(DB474/14*10,1))</x:f>
      </x:c>
      <x:c r="DD474" s="174"/>
      <x:c r="DE474" s="175" t="str">
        <x:f>IF(L474="","",IF(DC474="","Pending",IF(DD474="Yes","CONDITIONAL — safety override",IF(DC474&gt;=8,"HIGH",IF(DC474&gt;=5,"CONDITIONAL","LOW")))))</x:f>
      </x:c>
      <x:c r="DF474" s="174"/>
      <x:c r="DG474" s="174"/>
      <x:c r="DH474" s="174"/>
      <x:c r="DI474" s="174"/>
      <x:c r="DJ474" s="174"/>
      <x:c r="DK474" s="174"/>
      <x:c r="DL474" s="174"/>
      <x:c r="DM474" s="174"/>
      <x:c r="DN474" s="174"/>
      <x:c r="DO474" s="174"/>
      <x:c r="DP474" s="174"/>
      <x:c r="DQ474" s="174"/>
      <x:c r="DR474" s="174"/>
      <x:c r="DS474" s="174"/>
      <x:c r="DT474" s="174"/>
      <x:c r="DU474" s="174"/>
      <x:c r="DV474" s="174"/>
      <x:c r="DW474" s="174"/>
      <x:c r="DX474" s="174"/>
      <x:c r="DY474" s="174"/>
      <x:c r="DZ474" s="174"/>
      <x:c r="EA474" s="174"/>
      <x:c r="EB474" s="175" t="str">
        <x:f>IF(L474="","",IF(AND(F474="Claim-ready",CJ474="Yes",CL474="Yes",DZ474&lt;&gt;""),"Yes","No / Pending"))</x:f>
      </x:c>
      <x:c r="EC474" s="174"/>
      <x:c r="ED474" s="174"/>
      <x:c r="EE474" s="174"/>
      <x:c r="EF474" s="174"/>
      <x:c r="EG474" s="174"/>
      <x:c r="EH474" s="177"/>
      <x:c r="EI474" s="174"/>
      <x:c r="EJ474" s="174"/>
      <x:c r="EK474" s="174"/>
      <x:c r="EL474" s="177"/>
      <x:c r="EM474" s="174"/>
      <x:c r="EN474" s="181" t="str">
        <x:f>IF(L474="","",(IF(N474&lt;&gt;"",1,0)+IF(O474&lt;&gt;"",1,0)+IF(AJ474&lt;&gt;"",1,0)+IF(AU474&lt;&gt;"",1,0)+IF(BE474&lt;&gt;"",1,0)+IF(CF474&lt;&gt;"",1,0)+IF(CJ474="Yes",1,0)+IF(CL474="Yes",1,0)+IF(DE474&lt;&gt;"Pending",1,0)+IF(F474&lt;&gt;"",1,0)+IF(DZ474&lt;&gt;"",1,0)+IF(EI474&lt;&gt;"",1,0))/12)</x:f>
      </x:c>
    </x:row>
    <x:row r="475">
      <x:c r="A475" s="175" t="str">
        <x:f>IF(L475="","","EV-"&amp;TEXT(ROW()-3,"0000"))</x:f>
      </x:c>
      <x:c r="B475" s="174"/>
      <x:c r="C475" s="175" t="str">
        <x:f>IF(L475="","",IF(OR(CM475="Retracted",CN475="Retracted",F475="Not used"),"🔴 Do not use for conclusion",IF(OR(R475="Official / Institutional",I475="Official / contextual"),"🔵 Official / contextual",IF(OR(I475="Definition",I475="Framework",I475="Paradigm shift"),"🟣 Conceptual key source",IF(AND(CJ475="Yes",CL475="Yes",OR(CG475="High",CG475="Moderate"),CH475&lt;&gt;"High",CH475&lt;&gt;"Critical",F475="Claim-ready"),"🟢 Claim-ready","🟡 Caution / context")))))</x:f>
      </x:c>
      <x:c r="D475" s="174"/>
      <x:c r="E475" s="174"/>
      <x:c r="F475" s="174"/>
      <x:c r="G475" s="174"/>
      <x:c r="H475" s="174"/>
      <x:c r="I475" s="174"/>
      <x:c r="J475" s="174"/>
      <x:c r="K475" s="174"/>
      <x:c r="L475" s="174"/>
      <x:c r="M475" s="174"/>
      <x:c r="N475" s="174"/>
      <x:c r="O475" s="176"/>
      <x:c r="P475" s="174"/>
      <x:c r="Q475" s="174"/>
      <x:c r="R475" s="174"/>
      <x:c r="S475" s="174"/>
      <x:c r="T475" s="174"/>
      <x:c r="U475" s="174"/>
      <x:c r="V475" s="174"/>
      <x:c r="W475" s="175" t="str">
        <x:f>IF(V475="","",LOWER(SUBSTITUTE(SUBSTITUTE(SUBSTITUTE(SUBSTITUTE(TRIM(V475),"https://doi.org/",""),"http://doi.org/",""),"https://dx.doi.org/",""),"doi:","")))</x:f>
      </x:c>
      <x:c r="X475" s="174"/>
      <x:c r="Y475" s="174"/>
      <x:c r="Z475" s="174"/>
      <x:c r="AA475" s="174"/>
      <x:c r="AB475" s="174"/>
      <x:c r="AC475" s="174"/>
      <x:c r="AD475" s="177"/>
      <x:c r="AE475" s="177"/>
      <x:c r="AF475" s="174"/>
      <x:c r="AG475" s="174"/>
      <x:c r="AH475" s="174"/>
      <x:c r="AI475" s="174"/>
      <x:c r="AJ475" s="174"/>
      <x:c r="AK475" s="175" t="str">
        <x:f>IF(AJ475="","",IF(OR(LOWER(AJ475)="brazil",LOWER(AJ475)="brasil"),"Yes","No"))</x:f>
      </x:c>
      <x:c r="AL475" s="174"/>
      <x:c r="AM475" s="174"/>
      <x:c r="AN475" s="174"/>
      <x:c r="AO475" s="178"/>
      <x:c r="AP475" s="174"/>
      <x:c r="AQ475" s="174"/>
      <x:c r="AR475" s="174"/>
      <x:c r="AS475" s="174"/>
      <x:c r="AT475" s="174"/>
      <x:c r="AU475" s="174"/>
      <x:c r="AV475" s="174"/>
      <x:c r="AW475" s="174"/>
      <x:c r="AX475" s="174"/>
      <x:c r="AY475" s="174"/>
      <x:c r="AZ475" s="174"/>
      <x:c r="BA475" s="174"/>
      <x:c r="BB475" s="174"/>
      <x:c r="BC475" s="174"/>
      <x:c r="BD475" s="174"/>
      <x:c r="BE475" s="174"/>
      <x:c r="BF475" s="174"/>
      <x:c r="BG475" s="174"/>
      <x:c r="BH475" s="174"/>
      <x:c r="BI475" s="174"/>
      <x:c r="BJ475" s="174"/>
      <x:c r="BK475" s="174"/>
      <x:c r="BL475" s="174"/>
      <x:c r="BM475" s="174"/>
      <x:c r="BN475" s="174"/>
      <x:c r="BO475" s="174"/>
      <x:c r="BP475" s="174"/>
      <x:c r="BQ475" s="174"/>
      <x:c r="BR475" s="174"/>
      <x:c r="BS475" s="174"/>
      <x:c r="BT475" s="174"/>
      <x:c r="BU475" s="174"/>
      <x:c r="BV475" s="174"/>
      <x:c r="BW475" s="174"/>
      <x:c r="BX475" s="174"/>
      <x:c r="BY475" s="174"/>
      <x:c r="BZ475" s="174"/>
      <x:c r="CA475" s="174"/>
      <x:c r="CB475" s="174"/>
      <x:c r="CC475" s="174"/>
      <x:c r="CD475" s="174"/>
      <x:c r="CE475" s="174"/>
      <x:c r="CF475" s="174"/>
      <x:c r="CG475" s="174"/>
      <x:c r="CH475" s="174"/>
      <x:c r="CI475" s="179"/>
      <x:c r="CJ475" s="174"/>
      <x:c r="CK475" s="174"/>
      <x:c r="CL475" s="174"/>
      <x:c r="CM475" s="174"/>
      <x:c r="CN475" s="174"/>
      <x:c r="CO475" s="177"/>
      <x:c r="CP475" s="174"/>
      <x:c r="CQ475" s="174"/>
      <x:c r="CR475" s="174"/>
      <x:c r="CS475" s="174"/>
      <x:c r="CT475" s="174"/>
      <x:c r="CU475" s="176"/>
      <x:c r="CV475" s="176"/>
      <x:c r="CW475" s="176"/>
      <x:c r="CX475" s="176"/>
      <x:c r="CY475" s="176"/>
      <x:c r="CZ475" s="176"/>
      <x:c r="DA475" s="176"/>
      <x:c r="DB475" s="175" t="str">
        <x:f>IF(L475="","",IF(COUNT(CU475:DA475)&lt;7,"",SUM(CU475:DA475)))</x:f>
      </x:c>
      <x:c r="DC475" s="180" t="str">
        <x:f>IF(DB475="","",ROUND(DB475/14*10,1))</x:f>
      </x:c>
      <x:c r="DD475" s="174"/>
      <x:c r="DE475" s="175" t="str">
        <x:f>IF(L475="","",IF(DC475="","Pending",IF(DD475="Yes","CONDITIONAL — safety override",IF(DC475&gt;=8,"HIGH",IF(DC475&gt;=5,"CONDITIONAL","LOW")))))</x:f>
      </x:c>
      <x:c r="DF475" s="174"/>
      <x:c r="DG475" s="174"/>
      <x:c r="DH475" s="174"/>
      <x:c r="DI475" s="174"/>
      <x:c r="DJ475" s="174"/>
      <x:c r="DK475" s="174"/>
      <x:c r="DL475" s="174"/>
      <x:c r="DM475" s="174"/>
      <x:c r="DN475" s="174"/>
      <x:c r="DO475" s="174"/>
      <x:c r="DP475" s="174"/>
      <x:c r="DQ475" s="174"/>
      <x:c r="DR475" s="174"/>
      <x:c r="DS475" s="174"/>
      <x:c r="DT475" s="174"/>
      <x:c r="DU475" s="174"/>
      <x:c r="DV475" s="174"/>
      <x:c r="DW475" s="174"/>
      <x:c r="DX475" s="174"/>
      <x:c r="DY475" s="174"/>
      <x:c r="DZ475" s="174"/>
      <x:c r="EA475" s="174"/>
      <x:c r="EB475" s="175" t="str">
        <x:f>IF(L475="","",IF(AND(F475="Claim-ready",CJ475="Yes",CL475="Yes",DZ475&lt;&gt;""),"Yes","No / Pending"))</x:f>
      </x:c>
      <x:c r="EC475" s="174"/>
      <x:c r="ED475" s="174"/>
      <x:c r="EE475" s="174"/>
      <x:c r="EF475" s="174"/>
      <x:c r="EG475" s="174"/>
      <x:c r="EH475" s="177"/>
      <x:c r="EI475" s="174"/>
      <x:c r="EJ475" s="174"/>
      <x:c r="EK475" s="174"/>
      <x:c r="EL475" s="177"/>
      <x:c r="EM475" s="174"/>
      <x:c r="EN475" s="181" t="str">
        <x:f>IF(L475="","",(IF(N475&lt;&gt;"",1,0)+IF(O475&lt;&gt;"",1,0)+IF(AJ475&lt;&gt;"",1,0)+IF(AU475&lt;&gt;"",1,0)+IF(BE475&lt;&gt;"",1,0)+IF(CF475&lt;&gt;"",1,0)+IF(CJ475="Yes",1,0)+IF(CL475="Yes",1,0)+IF(DE475&lt;&gt;"Pending",1,0)+IF(F475&lt;&gt;"",1,0)+IF(DZ475&lt;&gt;"",1,0)+IF(EI475&lt;&gt;"",1,0))/12)</x:f>
      </x:c>
    </x:row>
    <x:row r="476">
      <x:c r="A476" s="175" t="str">
        <x:f>IF(L476="","","EV-"&amp;TEXT(ROW()-3,"0000"))</x:f>
      </x:c>
      <x:c r="B476" s="174"/>
      <x:c r="C476" s="175" t="str">
        <x:f>IF(L476="","",IF(OR(CM476="Retracted",CN476="Retracted",F476="Not used"),"🔴 Do not use for conclusion",IF(OR(R476="Official / Institutional",I476="Official / contextual"),"🔵 Official / contextual",IF(OR(I476="Definition",I476="Framework",I476="Paradigm shift"),"🟣 Conceptual key source",IF(AND(CJ476="Yes",CL476="Yes",OR(CG476="High",CG476="Moderate"),CH476&lt;&gt;"High",CH476&lt;&gt;"Critical",F476="Claim-ready"),"🟢 Claim-ready","🟡 Caution / context")))))</x:f>
      </x:c>
      <x:c r="D476" s="174"/>
      <x:c r="E476" s="174"/>
      <x:c r="F476" s="174"/>
      <x:c r="G476" s="174"/>
      <x:c r="H476" s="174"/>
      <x:c r="I476" s="174"/>
      <x:c r="J476" s="174"/>
      <x:c r="K476" s="174"/>
      <x:c r="L476" s="174"/>
      <x:c r="M476" s="174"/>
      <x:c r="N476" s="174"/>
      <x:c r="O476" s="176"/>
      <x:c r="P476" s="174"/>
      <x:c r="Q476" s="174"/>
      <x:c r="R476" s="174"/>
      <x:c r="S476" s="174"/>
      <x:c r="T476" s="174"/>
      <x:c r="U476" s="174"/>
      <x:c r="V476" s="174"/>
      <x:c r="W476" s="175" t="str">
        <x:f>IF(V476="","",LOWER(SUBSTITUTE(SUBSTITUTE(SUBSTITUTE(SUBSTITUTE(TRIM(V476),"https://doi.org/",""),"http://doi.org/",""),"https://dx.doi.org/",""),"doi:","")))</x:f>
      </x:c>
      <x:c r="X476" s="174"/>
      <x:c r="Y476" s="174"/>
      <x:c r="Z476" s="174"/>
      <x:c r="AA476" s="174"/>
      <x:c r="AB476" s="174"/>
      <x:c r="AC476" s="174"/>
      <x:c r="AD476" s="177"/>
      <x:c r="AE476" s="177"/>
      <x:c r="AF476" s="174"/>
      <x:c r="AG476" s="174"/>
      <x:c r="AH476" s="174"/>
      <x:c r="AI476" s="174"/>
      <x:c r="AJ476" s="174"/>
      <x:c r="AK476" s="175" t="str">
        <x:f>IF(AJ476="","",IF(OR(LOWER(AJ476)="brazil",LOWER(AJ476)="brasil"),"Yes","No"))</x:f>
      </x:c>
      <x:c r="AL476" s="174"/>
      <x:c r="AM476" s="174"/>
      <x:c r="AN476" s="174"/>
      <x:c r="AO476" s="178"/>
      <x:c r="AP476" s="174"/>
      <x:c r="AQ476" s="174"/>
      <x:c r="AR476" s="174"/>
      <x:c r="AS476" s="174"/>
      <x:c r="AT476" s="174"/>
      <x:c r="AU476" s="174"/>
      <x:c r="AV476" s="174"/>
      <x:c r="AW476" s="174"/>
      <x:c r="AX476" s="174"/>
      <x:c r="AY476" s="174"/>
      <x:c r="AZ476" s="174"/>
      <x:c r="BA476" s="174"/>
      <x:c r="BB476" s="174"/>
      <x:c r="BC476" s="174"/>
      <x:c r="BD476" s="174"/>
      <x:c r="BE476" s="174"/>
      <x:c r="BF476" s="174"/>
      <x:c r="BG476" s="174"/>
      <x:c r="BH476" s="174"/>
      <x:c r="BI476" s="174"/>
      <x:c r="BJ476" s="174"/>
      <x:c r="BK476" s="174"/>
      <x:c r="BL476" s="174"/>
      <x:c r="BM476" s="174"/>
      <x:c r="BN476" s="174"/>
      <x:c r="BO476" s="174"/>
      <x:c r="BP476" s="174"/>
      <x:c r="BQ476" s="174"/>
      <x:c r="BR476" s="174"/>
      <x:c r="BS476" s="174"/>
      <x:c r="BT476" s="174"/>
      <x:c r="BU476" s="174"/>
      <x:c r="BV476" s="174"/>
      <x:c r="BW476" s="174"/>
      <x:c r="BX476" s="174"/>
      <x:c r="BY476" s="174"/>
      <x:c r="BZ476" s="174"/>
      <x:c r="CA476" s="174"/>
      <x:c r="CB476" s="174"/>
      <x:c r="CC476" s="174"/>
      <x:c r="CD476" s="174"/>
      <x:c r="CE476" s="174"/>
      <x:c r="CF476" s="174"/>
      <x:c r="CG476" s="174"/>
      <x:c r="CH476" s="174"/>
      <x:c r="CI476" s="179"/>
      <x:c r="CJ476" s="174"/>
      <x:c r="CK476" s="174"/>
      <x:c r="CL476" s="174"/>
      <x:c r="CM476" s="174"/>
      <x:c r="CN476" s="174"/>
      <x:c r="CO476" s="177"/>
      <x:c r="CP476" s="174"/>
      <x:c r="CQ476" s="174"/>
      <x:c r="CR476" s="174"/>
      <x:c r="CS476" s="174"/>
      <x:c r="CT476" s="174"/>
      <x:c r="CU476" s="176"/>
      <x:c r="CV476" s="176"/>
      <x:c r="CW476" s="176"/>
      <x:c r="CX476" s="176"/>
      <x:c r="CY476" s="176"/>
      <x:c r="CZ476" s="176"/>
      <x:c r="DA476" s="176"/>
      <x:c r="DB476" s="175" t="str">
        <x:f>IF(L476="","",IF(COUNT(CU476:DA476)&lt;7,"",SUM(CU476:DA476)))</x:f>
      </x:c>
      <x:c r="DC476" s="180" t="str">
        <x:f>IF(DB476="","",ROUND(DB476/14*10,1))</x:f>
      </x:c>
      <x:c r="DD476" s="174"/>
      <x:c r="DE476" s="175" t="str">
        <x:f>IF(L476="","",IF(DC476="","Pending",IF(DD476="Yes","CONDITIONAL — safety override",IF(DC476&gt;=8,"HIGH",IF(DC476&gt;=5,"CONDITIONAL","LOW")))))</x:f>
      </x:c>
      <x:c r="DF476" s="174"/>
      <x:c r="DG476" s="174"/>
      <x:c r="DH476" s="174"/>
      <x:c r="DI476" s="174"/>
      <x:c r="DJ476" s="174"/>
      <x:c r="DK476" s="174"/>
      <x:c r="DL476" s="174"/>
      <x:c r="DM476" s="174"/>
      <x:c r="DN476" s="174"/>
      <x:c r="DO476" s="174"/>
      <x:c r="DP476" s="174"/>
      <x:c r="DQ476" s="174"/>
      <x:c r="DR476" s="174"/>
      <x:c r="DS476" s="174"/>
      <x:c r="DT476" s="174"/>
      <x:c r="DU476" s="174"/>
      <x:c r="DV476" s="174"/>
      <x:c r="DW476" s="174"/>
      <x:c r="DX476" s="174"/>
      <x:c r="DY476" s="174"/>
      <x:c r="DZ476" s="174"/>
      <x:c r="EA476" s="174"/>
      <x:c r="EB476" s="175" t="str">
        <x:f>IF(L476="","",IF(AND(F476="Claim-ready",CJ476="Yes",CL476="Yes",DZ476&lt;&gt;""),"Yes","No / Pending"))</x:f>
      </x:c>
      <x:c r="EC476" s="174"/>
      <x:c r="ED476" s="174"/>
      <x:c r="EE476" s="174"/>
      <x:c r="EF476" s="174"/>
      <x:c r="EG476" s="174"/>
      <x:c r="EH476" s="177"/>
      <x:c r="EI476" s="174"/>
      <x:c r="EJ476" s="174"/>
      <x:c r="EK476" s="174"/>
      <x:c r="EL476" s="177"/>
      <x:c r="EM476" s="174"/>
      <x:c r="EN476" s="181" t="str">
        <x:f>IF(L476="","",(IF(N476&lt;&gt;"",1,0)+IF(O476&lt;&gt;"",1,0)+IF(AJ476&lt;&gt;"",1,0)+IF(AU476&lt;&gt;"",1,0)+IF(BE476&lt;&gt;"",1,0)+IF(CF476&lt;&gt;"",1,0)+IF(CJ476="Yes",1,0)+IF(CL476="Yes",1,0)+IF(DE476&lt;&gt;"Pending",1,0)+IF(F476&lt;&gt;"",1,0)+IF(DZ476&lt;&gt;"",1,0)+IF(EI476&lt;&gt;"",1,0))/12)</x:f>
      </x:c>
    </x:row>
    <x:row r="477">
      <x:c r="A477" s="175" t="str">
        <x:f>IF(L477="","","EV-"&amp;TEXT(ROW()-3,"0000"))</x:f>
      </x:c>
      <x:c r="B477" s="174"/>
      <x:c r="C477" s="175" t="str">
        <x:f>IF(L477="","",IF(OR(CM477="Retracted",CN477="Retracted",F477="Not used"),"🔴 Do not use for conclusion",IF(OR(R477="Official / Institutional",I477="Official / contextual"),"🔵 Official / contextual",IF(OR(I477="Definition",I477="Framework",I477="Paradigm shift"),"🟣 Conceptual key source",IF(AND(CJ477="Yes",CL477="Yes",OR(CG477="High",CG477="Moderate"),CH477&lt;&gt;"High",CH477&lt;&gt;"Critical",F477="Claim-ready"),"🟢 Claim-ready","🟡 Caution / context")))))</x:f>
      </x:c>
      <x:c r="D477" s="174"/>
      <x:c r="E477" s="174"/>
      <x:c r="F477" s="174"/>
      <x:c r="G477" s="174"/>
      <x:c r="H477" s="174"/>
      <x:c r="I477" s="174"/>
      <x:c r="J477" s="174"/>
      <x:c r="K477" s="174"/>
      <x:c r="L477" s="174"/>
      <x:c r="M477" s="174"/>
      <x:c r="N477" s="174"/>
      <x:c r="O477" s="176"/>
      <x:c r="P477" s="174"/>
      <x:c r="Q477" s="174"/>
      <x:c r="R477" s="174"/>
      <x:c r="S477" s="174"/>
      <x:c r="T477" s="174"/>
      <x:c r="U477" s="174"/>
      <x:c r="V477" s="174"/>
      <x:c r="W477" s="175" t="str">
        <x:f>IF(V477="","",LOWER(SUBSTITUTE(SUBSTITUTE(SUBSTITUTE(SUBSTITUTE(TRIM(V477),"https://doi.org/",""),"http://doi.org/",""),"https://dx.doi.org/",""),"doi:","")))</x:f>
      </x:c>
      <x:c r="X477" s="174"/>
      <x:c r="Y477" s="174"/>
      <x:c r="Z477" s="174"/>
      <x:c r="AA477" s="174"/>
      <x:c r="AB477" s="174"/>
      <x:c r="AC477" s="174"/>
      <x:c r="AD477" s="177"/>
      <x:c r="AE477" s="177"/>
      <x:c r="AF477" s="174"/>
      <x:c r="AG477" s="174"/>
      <x:c r="AH477" s="174"/>
      <x:c r="AI477" s="174"/>
      <x:c r="AJ477" s="174"/>
      <x:c r="AK477" s="175" t="str">
        <x:f>IF(AJ477="","",IF(OR(LOWER(AJ477)="brazil",LOWER(AJ477)="brasil"),"Yes","No"))</x:f>
      </x:c>
      <x:c r="AL477" s="174"/>
      <x:c r="AM477" s="174"/>
      <x:c r="AN477" s="174"/>
      <x:c r="AO477" s="178"/>
      <x:c r="AP477" s="174"/>
      <x:c r="AQ477" s="174"/>
      <x:c r="AR477" s="174"/>
      <x:c r="AS477" s="174"/>
      <x:c r="AT477" s="174"/>
      <x:c r="AU477" s="174"/>
      <x:c r="AV477" s="174"/>
      <x:c r="AW477" s="174"/>
      <x:c r="AX477" s="174"/>
      <x:c r="AY477" s="174"/>
      <x:c r="AZ477" s="174"/>
      <x:c r="BA477" s="174"/>
      <x:c r="BB477" s="174"/>
      <x:c r="BC477" s="174"/>
      <x:c r="BD477" s="174"/>
      <x:c r="BE477" s="174"/>
      <x:c r="BF477" s="174"/>
      <x:c r="BG477" s="174"/>
      <x:c r="BH477" s="174"/>
      <x:c r="BI477" s="174"/>
      <x:c r="BJ477" s="174"/>
      <x:c r="BK477" s="174"/>
      <x:c r="BL477" s="174"/>
      <x:c r="BM477" s="174"/>
      <x:c r="BN477" s="174"/>
      <x:c r="BO477" s="174"/>
      <x:c r="BP477" s="174"/>
      <x:c r="BQ477" s="174"/>
      <x:c r="BR477" s="174"/>
      <x:c r="BS477" s="174"/>
      <x:c r="BT477" s="174"/>
      <x:c r="BU477" s="174"/>
      <x:c r="BV477" s="174"/>
      <x:c r="BW477" s="174"/>
      <x:c r="BX477" s="174"/>
      <x:c r="BY477" s="174"/>
      <x:c r="BZ477" s="174"/>
      <x:c r="CA477" s="174"/>
      <x:c r="CB477" s="174"/>
      <x:c r="CC477" s="174"/>
      <x:c r="CD477" s="174"/>
      <x:c r="CE477" s="174"/>
      <x:c r="CF477" s="174"/>
      <x:c r="CG477" s="174"/>
      <x:c r="CH477" s="174"/>
      <x:c r="CI477" s="179"/>
      <x:c r="CJ477" s="174"/>
      <x:c r="CK477" s="174"/>
      <x:c r="CL477" s="174"/>
      <x:c r="CM477" s="174"/>
      <x:c r="CN477" s="174"/>
      <x:c r="CO477" s="177"/>
      <x:c r="CP477" s="174"/>
      <x:c r="CQ477" s="174"/>
      <x:c r="CR477" s="174"/>
      <x:c r="CS477" s="174"/>
      <x:c r="CT477" s="174"/>
      <x:c r="CU477" s="176"/>
      <x:c r="CV477" s="176"/>
      <x:c r="CW477" s="176"/>
      <x:c r="CX477" s="176"/>
      <x:c r="CY477" s="176"/>
      <x:c r="CZ477" s="176"/>
      <x:c r="DA477" s="176"/>
      <x:c r="DB477" s="175" t="str">
        <x:f>IF(L477="","",IF(COUNT(CU477:DA477)&lt;7,"",SUM(CU477:DA477)))</x:f>
      </x:c>
      <x:c r="DC477" s="180" t="str">
        <x:f>IF(DB477="","",ROUND(DB477/14*10,1))</x:f>
      </x:c>
      <x:c r="DD477" s="174"/>
      <x:c r="DE477" s="175" t="str">
        <x:f>IF(L477="","",IF(DC477="","Pending",IF(DD477="Yes","CONDITIONAL — safety override",IF(DC477&gt;=8,"HIGH",IF(DC477&gt;=5,"CONDITIONAL","LOW")))))</x:f>
      </x:c>
      <x:c r="DF477" s="174"/>
      <x:c r="DG477" s="174"/>
      <x:c r="DH477" s="174"/>
      <x:c r="DI477" s="174"/>
      <x:c r="DJ477" s="174"/>
      <x:c r="DK477" s="174"/>
      <x:c r="DL477" s="174"/>
      <x:c r="DM477" s="174"/>
      <x:c r="DN477" s="174"/>
      <x:c r="DO477" s="174"/>
      <x:c r="DP477" s="174"/>
      <x:c r="DQ477" s="174"/>
      <x:c r="DR477" s="174"/>
      <x:c r="DS477" s="174"/>
      <x:c r="DT477" s="174"/>
      <x:c r="DU477" s="174"/>
      <x:c r="DV477" s="174"/>
      <x:c r="DW477" s="174"/>
      <x:c r="DX477" s="174"/>
      <x:c r="DY477" s="174"/>
      <x:c r="DZ477" s="174"/>
      <x:c r="EA477" s="174"/>
      <x:c r="EB477" s="175" t="str">
        <x:f>IF(L477="","",IF(AND(F477="Claim-ready",CJ477="Yes",CL477="Yes",DZ477&lt;&gt;""),"Yes","No / Pending"))</x:f>
      </x:c>
      <x:c r="EC477" s="174"/>
      <x:c r="ED477" s="174"/>
      <x:c r="EE477" s="174"/>
      <x:c r="EF477" s="174"/>
      <x:c r="EG477" s="174"/>
      <x:c r="EH477" s="177"/>
      <x:c r="EI477" s="174"/>
      <x:c r="EJ477" s="174"/>
      <x:c r="EK477" s="174"/>
      <x:c r="EL477" s="177"/>
      <x:c r="EM477" s="174"/>
      <x:c r="EN477" s="181" t="str">
        <x:f>IF(L477="","",(IF(N477&lt;&gt;"",1,0)+IF(O477&lt;&gt;"",1,0)+IF(AJ477&lt;&gt;"",1,0)+IF(AU477&lt;&gt;"",1,0)+IF(BE477&lt;&gt;"",1,0)+IF(CF477&lt;&gt;"",1,0)+IF(CJ477="Yes",1,0)+IF(CL477="Yes",1,0)+IF(DE477&lt;&gt;"Pending",1,0)+IF(F477&lt;&gt;"",1,0)+IF(DZ477&lt;&gt;"",1,0)+IF(EI477&lt;&gt;"",1,0))/12)</x:f>
      </x:c>
    </x:row>
    <x:row r="478">
      <x:c r="A478" s="175" t="str">
        <x:f>IF(L478="","","EV-"&amp;TEXT(ROW()-3,"0000"))</x:f>
      </x:c>
      <x:c r="B478" s="174"/>
      <x:c r="C478" s="175" t="str">
        <x:f>IF(L478="","",IF(OR(CM478="Retracted",CN478="Retracted",F478="Not used"),"🔴 Do not use for conclusion",IF(OR(R478="Official / Institutional",I478="Official / contextual"),"🔵 Official / contextual",IF(OR(I478="Definition",I478="Framework",I478="Paradigm shift"),"🟣 Conceptual key source",IF(AND(CJ478="Yes",CL478="Yes",OR(CG478="High",CG478="Moderate"),CH478&lt;&gt;"High",CH478&lt;&gt;"Critical",F478="Claim-ready"),"🟢 Claim-ready","🟡 Caution / context")))))</x:f>
      </x:c>
      <x:c r="D478" s="174"/>
      <x:c r="E478" s="174"/>
      <x:c r="F478" s="174"/>
      <x:c r="G478" s="174"/>
      <x:c r="H478" s="174"/>
      <x:c r="I478" s="174"/>
      <x:c r="J478" s="174"/>
      <x:c r="K478" s="174"/>
      <x:c r="L478" s="174"/>
      <x:c r="M478" s="174"/>
      <x:c r="N478" s="174"/>
      <x:c r="O478" s="176"/>
      <x:c r="P478" s="174"/>
      <x:c r="Q478" s="174"/>
      <x:c r="R478" s="174"/>
      <x:c r="S478" s="174"/>
      <x:c r="T478" s="174"/>
      <x:c r="U478" s="174"/>
      <x:c r="V478" s="174"/>
      <x:c r="W478" s="175" t="str">
        <x:f>IF(V478="","",LOWER(SUBSTITUTE(SUBSTITUTE(SUBSTITUTE(SUBSTITUTE(TRIM(V478),"https://doi.org/",""),"http://doi.org/",""),"https://dx.doi.org/",""),"doi:","")))</x:f>
      </x:c>
      <x:c r="X478" s="174"/>
      <x:c r="Y478" s="174"/>
      <x:c r="Z478" s="174"/>
      <x:c r="AA478" s="174"/>
      <x:c r="AB478" s="174"/>
      <x:c r="AC478" s="174"/>
      <x:c r="AD478" s="177"/>
      <x:c r="AE478" s="177"/>
      <x:c r="AF478" s="174"/>
      <x:c r="AG478" s="174"/>
      <x:c r="AH478" s="174"/>
      <x:c r="AI478" s="174"/>
      <x:c r="AJ478" s="174"/>
      <x:c r="AK478" s="175" t="str">
        <x:f>IF(AJ478="","",IF(OR(LOWER(AJ478)="brazil",LOWER(AJ478)="brasil"),"Yes","No"))</x:f>
      </x:c>
      <x:c r="AL478" s="174"/>
      <x:c r="AM478" s="174"/>
      <x:c r="AN478" s="174"/>
      <x:c r="AO478" s="178"/>
      <x:c r="AP478" s="174"/>
      <x:c r="AQ478" s="174"/>
      <x:c r="AR478" s="174"/>
      <x:c r="AS478" s="174"/>
      <x:c r="AT478" s="174"/>
      <x:c r="AU478" s="174"/>
      <x:c r="AV478" s="174"/>
      <x:c r="AW478" s="174"/>
      <x:c r="AX478" s="174"/>
      <x:c r="AY478" s="174"/>
      <x:c r="AZ478" s="174"/>
      <x:c r="BA478" s="174"/>
      <x:c r="BB478" s="174"/>
      <x:c r="BC478" s="174"/>
      <x:c r="BD478" s="174"/>
      <x:c r="BE478" s="174"/>
      <x:c r="BF478" s="174"/>
      <x:c r="BG478" s="174"/>
      <x:c r="BH478" s="174"/>
      <x:c r="BI478" s="174"/>
      <x:c r="BJ478" s="174"/>
      <x:c r="BK478" s="174"/>
      <x:c r="BL478" s="174"/>
      <x:c r="BM478" s="174"/>
      <x:c r="BN478" s="174"/>
      <x:c r="BO478" s="174"/>
      <x:c r="BP478" s="174"/>
      <x:c r="BQ478" s="174"/>
      <x:c r="BR478" s="174"/>
      <x:c r="BS478" s="174"/>
      <x:c r="BT478" s="174"/>
      <x:c r="BU478" s="174"/>
      <x:c r="BV478" s="174"/>
      <x:c r="BW478" s="174"/>
      <x:c r="BX478" s="174"/>
      <x:c r="BY478" s="174"/>
      <x:c r="BZ478" s="174"/>
      <x:c r="CA478" s="174"/>
      <x:c r="CB478" s="174"/>
      <x:c r="CC478" s="174"/>
      <x:c r="CD478" s="174"/>
      <x:c r="CE478" s="174"/>
      <x:c r="CF478" s="174"/>
      <x:c r="CG478" s="174"/>
      <x:c r="CH478" s="174"/>
      <x:c r="CI478" s="179"/>
      <x:c r="CJ478" s="174"/>
      <x:c r="CK478" s="174"/>
      <x:c r="CL478" s="174"/>
      <x:c r="CM478" s="174"/>
      <x:c r="CN478" s="174"/>
      <x:c r="CO478" s="177"/>
      <x:c r="CP478" s="174"/>
      <x:c r="CQ478" s="174"/>
      <x:c r="CR478" s="174"/>
      <x:c r="CS478" s="174"/>
      <x:c r="CT478" s="174"/>
      <x:c r="CU478" s="176"/>
      <x:c r="CV478" s="176"/>
      <x:c r="CW478" s="176"/>
      <x:c r="CX478" s="176"/>
      <x:c r="CY478" s="176"/>
      <x:c r="CZ478" s="176"/>
      <x:c r="DA478" s="176"/>
      <x:c r="DB478" s="175" t="str">
        <x:f>IF(L478="","",IF(COUNT(CU478:DA478)&lt;7,"",SUM(CU478:DA478)))</x:f>
      </x:c>
      <x:c r="DC478" s="180" t="str">
        <x:f>IF(DB478="","",ROUND(DB478/14*10,1))</x:f>
      </x:c>
      <x:c r="DD478" s="174"/>
      <x:c r="DE478" s="175" t="str">
        <x:f>IF(L478="","",IF(DC478="","Pending",IF(DD478="Yes","CONDITIONAL — safety override",IF(DC478&gt;=8,"HIGH",IF(DC478&gt;=5,"CONDITIONAL","LOW")))))</x:f>
      </x:c>
      <x:c r="DF478" s="174"/>
      <x:c r="DG478" s="174"/>
      <x:c r="DH478" s="174"/>
      <x:c r="DI478" s="174"/>
      <x:c r="DJ478" s="174"/>
      <x:c r="DK478" s="174"/>
      <x:c r="DL478" s="174"/>
      <x:c r="DM478" s="174"/>
      <x:c r="DN478" s="174"/>
      <x:c r="DO478" s="174"/>
      <x:c r="DP478" s="174"/>
      <x:c r="DQ478" s="174"/>
      <x:c r="DR478" s="174"/>
      <x:c r="DS478" s="174"/>
      <x:c r="DT478" s="174"/>
      <x:c r="DU478" s="174"/>
      <x:c r="DV478" s="174"/>
      <x:c r="DW478" s="174"/>
      <x:c r="DX478" s="174"/>
      <x:c r="DY478" s="174"/>
      <x:c r="DZ478" s="174"/>
      <x:c r="EA478" s="174"/>
      <x:c r="EB478" s="175" t="str">
        <x:f>IF(L478="","",IF(AND(F478="Claim-ready",CJ478="Yes",CL478="Yes",DZ478&lt;&gt;""),"Yes","No / Pending"))</x:f>
      </x:c>
      <x:c r="EC478" s="174"/>
      <x:c r="ED478" s="174"/>
      <x:c r="EE478" s="174"/>
      <x:c r="EF478" s="174"/>
      <x:c r="EG478" s="174"/>
      <x:c r="EH478" s="177"/>
      <x:c r="EI478" s="174"/>
      <x:c r="EJ478" s="174"/>
      <x:c r="EK478" s="174"/>
      <x:c r="EL478" s="177"/>
      <x:c r="EM478" s="174"/>
      <x:c r="EN478" s="181" t="str">
        <x:f>IF(L478="","",(IF(N478&lt;&gt;"",1,0)+IF(O478&lt;&gt;"",1,0)+IF(AJ478&lt;&gt;"",1,0)+IF(AU478&lt;&gt;"",1,0)+IF(BE478&lt;&gt;"",1,0)+IF(CF478&lt;&gt;"",1,0)+IF(CJ478="Yes",1,0)+IF(CL478="Yes",1,0)+IF(DE478&lt;&gt;"Pending",1,0)+IF(F478&lt;&gt;"",1,0)+IF(DZ478&lt;&gt;"",1,0)+IF(EI478&lt;&gt;"",1,0))/12)</x:f>
      </x:c>
    </x:row>
    <x:row r="479">
      <x:c r="A479" s="175" t="str">
        <x:f>IF(L479="","","EV-"&amp;TEXT(ROW()-3,"0000"))</x:f>
      </x:c>
      <x:c r="B479" s="174"/>
      <x:c r="C479" s="175" t="str">
        <x:f>IF(L479="","",IF(OR(CM479="Retracted",CN479="Retracted",F479="Not used"),"🔴 Do not use for conclusion",IF(OR(R479="Official / Institutional",I479="Official / contextual"),"🔵 Official / contextual",IF(OR(I479="Definition",I479="Framework",I479="Paradigm shift"),"🟣 Conceptual key source",IF(AND(CJ479="Yes",CL479="Yes",OR(CG479="High",CG479="Moderate"),CH479&lt;&gt;"High",CH479&lt;&gt;"Critical",F479="Claim-ready"),"🟢 Claim-ready","🟡 Caution / context")))))</x:f>
      </x:c>
      <x:c r="D479" s="174"/>
      <x:c r="E479" s="174"/>
      <x:c r="F479" s="174"/>
      <x:c r="G479" s="174"/>
      <x:c r="H479" s="174"/>
      <x:c r="I479" s="174"/>
      <x:c r="J479" s="174"/>
      <x:c r="K479" s="174"/>
      <x:c r="L479" s="174"/>
      <x:c r="M479" s="174"/>
      <x:c r="N479" s="174"/>
      <x:c r="O479" s="176"/>
      <x:c r="P479" s="174"/>
      <x:c r="Q479" s="174"/>
      <x:c r="R479" s="174"/>
      <x:c r="S479" s="174"/>
      <x:c r="T479" s="174"/>
      <x:c r="U479" s="174"/>
      <x:c r="V479" s="174"/>
      <x:c r="W479" s="175" t="str">
        <x:f>IF(V479="","",LOWER(SUBSTITUTE(SUBSTITUTE(SUBSTITUTE(SUBSTITUTE(TRIM(V479),"https://doi.org/",""),"http://doi.org/",""),"https://dx.doi.org/",""),"doi:","")))</x:f>
      </x:c>
      <x:c r="X479" s="174"/>
      <x:c r="Y479" s="174"/>
      <x:c r="Z479" s="174"/>
      <x:c r="AA479" s="174"/>
      <x:c r="AB479" s="174"/>
      <x:c r="AC479" s="174"/>
      <x:c r="AD479" s="177"/>
      <x:c r="AE479" s="177"/>
      <x:c r="AF479" s="174"/>
      <x:c r="AG479" s="174"/>
      <x:c r="AH479" s="174"/>
      <x:c r="AI479" s="174"/>
      <x:c r="AJ479" s="174"/>
      <x:c r="AK479" s="175" t="str">
        <x:f>IF(AJ479="","",IF(OR(LOWER(AJ479)="brazil",LOWER(AJ479)="brasil"),"Yes","No"))</x:f>
      </x:c>
      <x:c r="AL479" s="174"/>
      <x:c r="AM479" s="174"/>
      <x:c r="AN479" s="174"/>
      <x:c r="AO479" s="178"/>
      <x:c r="AP479" s="174"/>
      <x:c r="AQ479" s="174"/>
      <x:c r="AR479" s="174"/>
      <x:c r="AS479" s="174"/>
      <x:c r="AT479" s="174"/>
      <x:c r="AU479" s="174"/>
      <x:c r="AV479" s="174"/>
      <x:c r="AW479" s="174"/>
      <x:c r="AX479" s="174"/>
      <x:c r="AY479" s="174"/>
      <x:c r="AZ479" s="174"/>
      <x:c r="BA479" s="174"/>
      <x:c r="BB479" s="174"/>
      <x:c r="BC479" s="174"/>
      <x:c r="BD479" s="174"/>
      <x:c r="BE479" s="174"/>
      <x:c r="BF479" s="174"/>
      <x:c r="BG479" s="174"/>
      <x:c r="BH479" s="174"/>
      <x:c r="BI479" s="174"/>
      <x:c r="BJ479" s="174"/>
      <x:c r="BK479" s="174"/>
      <x:c r="BL479" s="174"/>
      <x:c r="BM479" s="174"/>
      <x:c r="BN479" s="174"/>
      <x:c r="BO479" s="174"/>
      <x:c r="BP479" s="174"/>
      <x:c r="BQ479" s="174"/>
      <x:c r="BR479" s="174"/>
      <x:c r="BS479" s="174"/>
      <x:c r="BT479" s="174"/>
      <x:c r="BU479" s="174"/>
      <x:c r="BV479" s="174"/>
      <x:c r="BW479" s="174"/>
      <x:c r="BX479" s="174"/>
      <x:c r="BY479" s="174"/>
      <x:c r="BZ479" s="174"/>
      <x:c r="CA479" s="174"/>
      <x:c r="CB479" s="174"/>
      <x:c r="CC479" s="174"/>
      <x:c r="CD479" s="174"/>
      <x:c r="CE479" s="174"/>
      <x:c r="CF479" s="174"/>
      <x:c r="CG479" s="174"/>
      <x:c r="CH479" s="174"/>
      <x:c r="CI479" s="179"/>
      <x:c r="CJ479" s="174"/>
      <x:c r="CK479" s="174"/>
      <x:c r="CL479" s="174"/>
      <x:c r="CM479" s="174"/>
      <x:c r="CN479" s="174"/>
      <x:c r="CO479" s="177"/>
      <x:c r="CP479" s="174"/>
      <x:c r="CQ479" s="174"/>
      <x:c r="CR479" s="174"/>
      <x:c r="CS479" s="174"/>
      <x:c r="CT479" s="174"/>
      <x:c r="CU479" s="176"/>
      <x:c r="CV479" s="176"/>
      <x:c r="CW479" s="176"/>
      <x:c r="CX479" s="176"/>
      <x:c r="CY479" s="176"/>
      <x:c r="CZ479" s="176"/>
      <x:c r="DA479" s="176"/>
      <x:c r="DB479" s="175" t="str">
        <x:f>IF(L479="","",IF(COUNT(CU479:DA479)&lt;7,"",SUM(CU479:DA479)))</x:f>
      </x:c>
      <x:c r="DC479" s="180" t="str">
        <x:f>IF(DB479="","",ROUND(DB479/14*10,1))</x:f>
      </x:c>
      <x:c r="DD479" s="174"/>
      <x:c r="DE479" s="175" t="str">
        <x:f>IF(L479="","",IF(DC479="","Pending",IF(DD479="Yes","CONDITIONAL — safety override",IF(DC479&gt;=8,"HIGH",IF(DC479&gt;=5,"CONDITIONAL","LOW")))))</x:f>
      </x:c>
      <x:c r="DF479" s="174"/>
      <x:c r="DG479" s="174"/>
      <x:c r="DH479" s="174"/>
      <x:c r="DI479" s="174"/>
      <x:c r="DJ479" s="174"/>
      <x:c r="DK479" s="174"/>
      <x:c r="DL479" s="174"/>
      <x:c r="DM479" s="174"/>
      <x:c r="DN479" s="174"/>
      <x:c r="DO479" s="174"/>
      <x:c r="DP479" s="174"/>
      <x:c r="DQ479" s="174"/>
      <x:c r="DR479" s="174"/>
      <x:c r="DS479" s="174"/>
      <x:c r="DT479" s="174"/>
      <x:c r="DU479" s="174"/>
      <x:c r="DV479" s="174"/>
      <x:c r="DW479" s="174"/>
      <x:c r="DX479" s="174"/>
      <x:c r="DY479" s="174"/>
      <x:c r="DZ479" s="174"/>
      <x:c r="EA479" s="174"/>
      <x:c r="EB479" s="175" t="str">
        <x:f>IF(L479="","",IF(AND(F479="Claim-ready",CJ479="Yes",CL479="Yes",DZ479&lt;&gt;""),"Yes","No / Pending"))</x:f>
      </x:c>
      <x:c r="EC479" s="174"/>
      <x:c r="ED479" s="174"/>
      <x:c r="EE479" s="174"/>
      <x:c r="EF479" s="174"/>
      <x:c r="EG479" s="174"/>
      <x:c r="EH479" s="177"/>
      <x:c r="EI479" s="174"/>
      <x:c r="EJ479" s="174"/>
      <x:c r="EK479" s="174"/>
      <x:c r="EL479" s="177"/>
      <x:c r="EM479" s="174"/>
      <x:c r="EN479" s="181" t="str">
        <x:f>IF(L479="","",(IF(N479&lt;&gt;"",1,0)+IF(O479&lt;&gt;"",1,0)+IF(AJ479&lt;&gt;"",1,0)+IF(AU479&lt;&gt;"",1,0)+IF(BE479&lt;&gt;"",1,0)+IF(CF479&lt;&gt;"",1,0)+IF(CJ479="Yes",1,0)+IF(CL479="Yes",1,0)+IF(DE479&lt;&gt;"Pending",1,0)+IF(F479&lt;&gt;"",1,0)+IF(DZ479&lt;&gt;"",1,0)+IF(EI479&lt;&gt;"",1,0))/12)</x:f>
      </x:c>
    </x:row>
    <x:row r="480">
      <x:c r="A480" s="175" t="str">
        <x:f>IF(L480="","","EV-"&amp;TEXT(ROW()-3,"0000"))</x:f>
      </x:c>
      <x:c r="B480" s="174"/>
      <x:c r="C480" s="175" t="str">
        <x:f>IF(L480="","",IF(OR(CM480="Retracted",CN480="Retracted",F480="Not used"),"🔴 Do not use for conclusion",IF(OR(R480="Official / Institutional",I480="Official / contextual"),"🔵 Official / contextual",IF(OR(I480="Definition",I480="Framework",I480="Paradigm shift"),"🟣 Conceptual key source",IF(AND(CJ480="Yes",CL480="Yes",OR(CG480="High",CG480="Moderate"),CH480&lt;&gt;"High",CH480&lt;&gt;"Critical",F480="Claim-ready"),"🟢 Claim-ready","🟡 Caution / context")))))</x:f>
      </x:c>
      <x:c r="D480" s="174"/>
      <x:c r="E480" s="174"/>
      <x:c r="F480" s="174"/>
      <x:c r="G480" s="174"/>
      <x:c r="H480" s="174"/>
      <x:c r="I480" s="174"/>
      <x:c r="J480" s="174"/>
      <x:c r="K480" s="174"/>
      <x:c r="L480" s="174"/>
      <x:c r="M480" s="174"/>
      <x:c r="N480" s="174"/>
      <x:c r="O480" s="176"/>
      <x:c r="P480" s="174"/>
      <x:c r="Q480" s="174"/>
      <x:c r="R480" s="174"/>
      <x:c r="S480" s="174"/>
      <x:c r="T480" s="174"/>
      <x:c r="U480" s="174"/>
      <x:c r="V480" s="174"/>
      <x:c r="W480" s="175" t="str">
        <x:f>IF(V480="","",LOWER(SUBSTITUTE(SUBSTITUTE(SUBSTITUTE(SUBSTITUTE(TRIM(V480),"https://doi.org/",""),"http://doi.org/",""),"https://dx.doi.org/",""),"doi:","")))</x:f>
      </x:c>
      <x:c r="X480" s="174"/>
      <x:c r="Y480" s="174"/>
      <x:c r="Z480" s="174"/>
      <x:c r="AA480" s="174"/>
      <x:c r="AB480" s="174"/>
      <x:c r="AC480" s="174"/>
      <x:c r="AD480" s="177"/>
      <x:c r="AE480" s="177"/>
      <x:c r="AF480" s="174"/>
      <x:c r="AG480" s="174"/>
      <x:c r="AH480" s="174"/>
      <x:c r="AI480" s="174"/>
      <x:c r="AJ480" s="174"/>
      <x:c r="AK480" s="175" t="str">
        <x:f>IF(AJ480="","",IF(OR(LOWER(AJ480)="brazil",LOWER(AJ480)="brasil"),"Yes","No"))</x:f>
      </x:c>
      <x:c r="AL480" s="174"/>
      <x:c r="AM480" s="174"/>
      <x:c r="AN480" s="174"/>
      <x:c r="AO480" s="178"/>
      <x:c r="AP480" s="174"/>
      <x:c r="AQ480" s="174"/>
      <x:c r="AR480" s="174"/>
      <x:c r="AS480" s="174"/>
      <x:c r="AT480" s="174"/>
      <x:c r="AU480" s="174"/>
      <x:c r="AV480" s="174"/>
      <x:c r="AW480" s="174"/>
      <x:c r="AX480" s="174"/>
      <x:c r="AY480" s="174"/>
      <x:c r="AZ480" s="174"/>
      <x:c r="BA480" s="174"/>
      <x:c r="BB480" s="174"/>
      <x:c r="BC480" s="174"/>
      <x:c r="BD480" s="174"/>
      <x:c r="BE480" s="174"/>
      <x:c r="BF480" s="174"/>
      <x:c r="BG480" s="174"/>
      <x:c r="BH480" s="174"/>
      <x:c r="BI480" s="174"/>
      <x:c r="BJ480" s="174"/>
      <x:c r="BK480" s="174"/>
      <x:c r="BL480" s="174"/>
      <x:c r="BM480" s="174"/>
      <x:c r="BN480" s="174"/>
      <x:c r="BO480" s="174"/>
      <x:c r="BP480" s="174"/>
      <x:c r="BQ480" s="174"/>
      <x:c r="BR480" s="174"/>
      <x:c r="BS480" s="174"/>
      <x:c r="BT480" s="174"/>
      <x:c r="BU480" s="174"/>
      <x:c r="BV480" s="174"/>
      <x:c r="BW480" s="174"/>
      <x:c r="BX480" s="174"/>
      <x:c r="BY480" s="174"/>
      <x:c r="BZ480" s="174"/>
      <x:c r="CA480" s="174"/>
      <x:c r="CB480" s="174"/>
      <x:c r="CC480" s="174"/>
      <x:c r="CD480" s="174"/>
      <x:c r="CE480" s="174"/>
      <x:c r="CF480" s="174"/>
      <x:c r="CG480" s="174"/>
      <x:c r="CH480" s="174"/>
      <x:c r="CI480" s="179"/>
      <x:c r="CJ480" s="174"/>
      <x:c r="CK480" s="174"/>
      <x:c r="CL480" s="174"/>
      <x:c r="CM480" s="174"/>
      <x:c r="CN480" s="174"/>
      <x:c r="CO480" s="177"/>
      <x:c r="CP480" s="174"/>
      <x:c r="CQ480" s="174"/>
      <x:c r="CR480" s="174"/>
      <x:c r="CS480" s="174"/>
      <x:c r="CT480" s="174"/>
      <x:c r="CU480" s="176"/>
      <x:c r="CV480" s="176"/>
      <x:c r="CW480" s="176"/>
      <x:c r="CX480" s="176"/>
      <x:c r="CY480" s="176"/>
      <x:c r="CZ480" s="176"/>
      <x:c r="DA480" s="176"/>
      <x:c r="DB480" s="175" t="str">
        <x:f>IF(L480="","",IF(COUNT(CU480:DA480)&lt;7,"",SUM(CU480:DA480)))</x:f>
      </x:c>
      <x:c r="DC480" s="180" t="str">
        <x:f>IF(DB480="","",ROUND(DB480/14*10,1))</x:f>
      </x:c>
      <x:c r="DD480" s="174"/>
      <x:c r="DE480" s="175" t="str">
        <x:f>IF(L480="","",IF(DC480="","Pending",IF(DD480="Yes","CONDITIONAL — safety override",IF(DC480&gt;=8,"HIGH",IF(DC480&gt;=5,"CONDITIONAL","LOW")))))</x:f>
      </x:c>
      <x:c r="DF480" s="174"/>
      <x:c r="DG480" s="174"/>
      <x:c r="DH480" s="174"/>
      <x:c r="DI480" s="174"/>
      <x:c r="DJ480" s="174"/>
      <x:c r="DK480" s="174"/>
      <x:c r="DL480" s="174"/>
      <x:c r="DM480" s="174"/>
      <x:c r="DN480" s="174"/>
      <x:c r="DO480" s="174"/>
      <x:c r="DP480" s="174"/>
      <x:c r="DQ480" s="174"/>
      <x:c r="DR480" s="174"/>
      <x:c r="DS480" s="174"/>
      <x:c r="DT480" s="174"/>
      <x:c r="DU480" s="174"/>
      <x:c r="DV480" s="174"/>
      <x:c r="DW480" s="174"/>
      <x:c r="DX480" s="174"/>
      <x:c r="DY480" s="174"/>
      <x:c r="DZ480" s="174"/>
      <x:c r="EA480" s="174"/>
      <x:c r="EB480" s="175" t="str">
        <x:f>IF(L480="","",IF(AND(F480="Claim-ready",CJ480="Yes",CL480="Yes",DZ480&lt;&gt;""),"Yes","No / Pending"))</x:f>
      </x:c>
      <x:c r="EC480" s="174"/>
      <x:c r="ED480" s="174"/>
      <x:c r="EE480" s="174"/>
      <x:c r="EF480" s="174"/>
      <x:c r="EG480" s="174"/>
      <x:c r="EH480" s="177"/>
      <x:c r="EI480" s="174"/>
      <x:c r="EJ480" s="174"/>
      <x:c r="EK480" s="174"/>
      <x:c r="EL480" s="177"/>
      <x:c r="EM480" s="174"/>
      <x:c r="EN480" s="181" t="str">
        <x:f>IF(L480="","",(IF(N480&lt;&gt;"",1,0)+IF(O480&lt;&gt;"",1,0)+IF(AJ480&lt;&gt;"",1,0)+IF(AU480&lt;&gt;"",1,0)+IF(BE480&lt;&gt;"",1,0)+IF(CF480&lt;&gt;"",1,0)+IF(CJ480="Yes",1,0)+IF(CL480="Yes",1,0)+IF(DE480&lt;&gt;"Pending",1,0)+IF(F480&lt;&gt;"",1,0)+IF(DZ480&lt;&gt;"",1,0)+IF(EI480&lt;&gt;"",1,0))/12)</x:f>
      </x:c>
    </x:row>
    <x:row r="481">
      <x:c r="A481" s="175" t="str">
        <x:f>IF(L481="","","EV-"&amp;TEXT(ROW()-3,"0000"))</x:f>
      </x:c>
      <x:c r="B481" s="174"/>
      <x:c r="C481" s="175" t="str">
        <x:f>IF(L481="","",IF(OR(CM481="Retracted",CN481="Retracted",F481="Not used"),"🔴 Do not use for conclusion",IF(OR(R481="Official / Institutional",I481="Official / contextual"),"🔵 Official / contextual",IF(OR(I481="Definition",I481="Framework",I481="Paradigm shift"),"🟣 Conceptual key source",IF(AND(CJ481="Yes",CL481="Yes",OR(CG481="High",CG481="Moderate"),CH481&lt;&gt;"High",CH481&lt;&gt;"Critical",F481="Claim-ready"),"🟢 Claim-ready","🟡 Caution / context")))))</x:f>
      </x:c>
      <x:c r="D481" s="174"/>
      <x:c r="E481" s="174"/>
      <x:c r="F481" s="174"/>
      <x:c r="G481" s="174"/>
      <x:c r="H481" s="174"/>
      <x:c r="I481" s="174"/>
      <x:c r="J481" s="174"/>
      <x:c r="K481" s="174"/>
      <x:c r="L481" s="174"/>
      <x:c r="M481" s="174"/>
      <x:c r="N481" s="174"/>
      <x:c r="O481" s="176"/>
      <x:c r="P481" s="174"/>
      <x:c r="Q481" s="174"/>
      <x:c r="R481" s="174"/>
      <x:c r="S481" s="174"/>
      <x:c r="T481" s="174"/>
      <x:c r="U481" s="174"/>
      <x:c r="V481" s="174"/>
      <x:c r="W481" s="175" t="str">
        <x:f>IF(V481="","",LOWER(SUBSTITUTE(SUBSTITUTE(SUBSTITUTE(SUBSTITUTE(TRIM(V481),"https://doi.org/",""),"http://doi.org/",""),"https://dx.doi.org/",""),"doi:","")))</x:f>
      </x:c>
      <x:c r="X481" s="174"/>
      <x:c r="Y481" s="174"/>
      <x:c r="Z481" s="174"/>
      <x:c r="AA481" s="174"/>
      <x:c r="AB481" s="174"/>
      <x:c r="AC481" s="174"/>
      <x:c r="AD481" s="177"/>
      <x:c r="AE481" s="177"/>
      <x:c r="AF481" s="174"/>
      <x:c r="AG481" s="174"/>
      <x:c r="AH481" s="174"/>
      <x:c r="AI481" s="174"/>
      <x:c r="AJ481" s="174"/>
      <x:c r="AK481" s="175" t="str">
        <x:f>IF(AJ481="","",IF(OR(LOWER(AJ481)="brazil",LOWER(AJ481)="brasil"),"Yes","No"))</x:f>
      </x:c>
      <x:c r="AL481" s="174"/>
      <x:c r="AM481" s="174"/>
      <x:c r="AN481" s="174"/>
      <x:c r="AO481" s="178"/>
      <x:c r="AP481" s="174"/>
      <x:c r="AQ481" s="174"/>
      <x:c r="AR481" s="174"/>
      <x:c r="AS481" s="174"/>
      <x:c r="AT481" s="174"/>
      <x:c r="AU481" s="174"/>
      <x:c r="AV481" s="174"/>
      <x:c r="AW481" s="174"/>
      <x:c r="AX481" s="174"/>
      <x:c r="AY481" s="174"/>
      <x:c r="AZ481" s="174"/>
      <x:c r="BA481" s="174"/>
      <x:c r="BB481" s="174"/>
      <x:c r="BC481" s="174"/>
      <x:c r="BD481" s="174"/>
      <x:c r="BE481" s="174"/>
      <x:c r="BF481" s="174"/>
      <x:c r="BG481" s="174"/>
      <x:c r="BH481" s="174"/>
      <x:c r="BI481" s="174"/>
      <x:c r="BJ481" s="174"/>
      <x:c r="BK481" s="174"/>
      <x:c r="BL481" s="174"/>
      <x:c r="BM481" s="174"/>
      <x:c r="BN481" s="174"/>
      <x:c r="BO481" s="174"/>
      <x:c r="BP481" s="174"/>
      <x:c r="BQ481" s="174"/>
      <x:c r="BR481" s="174"/>
      <x:c r="BS481" s="174"/>
      <x:c r="BT481" s="174"/>
      <x:c r="BU481" s="174"/>
      <x:c r="BV481" s="174"/>
      <x:c r="BW481" s="174"/>
      <x:c r="BX481" s="174"/>
      <x:c r="BY481" s="174"/>
      <x:c r="BZ481" s="174"/>
      <x:c r="CA481" s="174"/>
      <x:c r="CB481" s="174"/>
      <x:c r="CC481" s="174"/>
      <x:c r="CD481" s="174"/>
      <x:c r="CE481" s="174"/>
      <x:c r="CF481" s="174"/>
      <x:c r="CG481" s="174"/>
      <x:c r="CH481" s="174"/>
      <x:c r="CI481" s="179"/>
      <x:c r="CJ481" s="174"/>
      <x:c r="CK481" s="174"/>
      <x:c r="CL481" s="174"/>
      <x:c r="CM481" s="174"/>
      <x:c r="CN481" s="174"/>
      <x:c r="CO481" s="177"/>
      <x:c r="CP481" s="174"/>
      <x:c r="CQ481" s="174"/>
      <x:c r="CR481" s="174"/>
      <x:c r="CS481" s="174"/>
      <x:c r="CT481" s="174"/>
      <x:c r="CU481" s="176"/>
      <x:c r="CV481" s="176"/>
      <x:c r="CW481" s="176"/>
      <x:c r="CX481" s="176"/>
      <x:c r="CY481" s="176"/>
      <x:c r="CZ481" s="176"/>
      <x:c r="DA481" s="176"/>
      <x:c r="DB481" s="175" t="str">
        <x:f>IF(L481="","",IF(COUNT(CU481:DA481)&lt;7,"",SUM(CU481:DA481)))</x:f>
      </x:c>
      <x:c r="DC481" s="180" t="str">
        <x:f>IF(DB481="","",ROUND(DB481/14*10,1))</x:f>
      </x:c>
      <x:c r="DD481" s="174"/>
      <x:c r="DE481" s="175" t="str">
        <x:f>IF(L481="","",IF(DC481="","Pending",IF(DD481="Yes","CONDITIONAL — safety override",IF(DC481&gt;=8,"HIGH",IF(DC481&gt;=5,"CONDITIONAL","LOW")))))</x:f>
      </x:c>
      <x:c r="DF481" s="174"/>
      <x:c r="DG481" s="174"/>
      <x:c r="DH481" s="174"/>
      <x:c r="DI481" s="174"/>
      <x:c r="DJ481" s="174"/>
      <x:c r="DK481" s="174"/>
      <x:c r="DL481" s="174"/>
      <x:c r="DM481" s="174"/>
      <x:c r="DN481" s="174"/>
      <x:c r="DO481" s="174"/>
      <x:c r="DP481" s="174"/>
      <x:c r="DQ481" s="174"/>
      <x:c r="DR481" s="174"/>
      <x:c r="DS481" s="174"/>
      <x:c r="DT481" s="174"/>
      <x:c r="DU481" s="174"/>
      <x:c r="DV481" s="174"/>
      <x:c r="DW481" s="174"/>
      <x:c r="DX481" s="174"/>
      <x:c r="DY481" s="174"/>
      <x:c r="DZ481" s="174"/>
      <x:c r="EA481" s="174"/>
      <x:c r="EB481" s="175" t="str">
        <x:f>IF(L481="","",IF(AND(F481="Claim-ready",CJ481="Yes",CL481="Yes",DZ481&lt;&gt;""),"Yes","No / Pending"))</x:f>
      </x:c>
      <x:c r="EC481" s="174"/>
      <x:c r="ED481" s="174"/>
      <x:c r="EE481" s="174"/>
      <x:c r="EF481" s="174"/>
      <x:c r="EG481" s="174"/>
      <x:c r="EH481" s="177"/>
      <x:c r="EI481" s="174"/>
      <x:c r="EJ481" s="174"/>
      <x:c r="EK481" s="174"/>
      <x:c r="EL481" s="177"/>
      <x:c r="EM481" s="174"/>
      <x:c r="EN481" s="181" t="str">
        <x:f>IF(L481="","",(IF(N481&lt;&gt;"",1,0)+IF(O481&lt;&gt;"",1,0)+IF(AJ481&lt;&gt;"",1,0)+IF(AU481&lt;&gt;"",1,0)+IF(BE481&lt;&gt;"",1,0)+IF(CF481&lt;&gt;"",1,0)+IF(CJ481="Yes",1,0)+IF(CL481="Yes",1,0)+IF(DE481&lt;&gt;"Pending",1,0)+IF(F481&lt;&gt;"",1,0)+IF(DZ481&lt;&gt;"",1,0)+IF(EI481&lt;&gt;"",1,0))/12)</x:f>
      </x:c>
    </x:row>
    <x:row r="482">
      <x:c r="A482" s="175" t="str">
        <x:f>IF(L482="","","EV-"&amp;TEXT(ROW()-3,"0000"))</x:f>
      </x:c>
      <x:c r="B482" s="174"/>
      <x:c r="C482" s="175" t="str">
        <x:f>IF(L482="","",IF(OR(CM482="Retracted",CN482="Retracted",F482="Not used"),"🔴 Do not use for conclusion",IF(OR(R482="Official / Institutional",I482="Official / contextual"),"🔵 Official / contextual",IF(OR(I482="Definition",I482="Framework",I482="Paradigm shift"),"🟣 Conceptual key source",IF(AND(CJ482="Yes",CL482="Yes",OR(CG482="High",CG482="Moderate"),CH482&lt;&gt;"High",CH482&lt;&gt;"Critical",F482="Claim-ready"),"🟢 Claim-ready","🟡 Caution / context")))))</x:f>
      </x:c>
      <x:c r="D482" s="174"/>
      <x:c r="E482" s="174"/>
      <x:c r="F482" s="174"/>
      <x:c r="G482" s="174"/>
      <x:c r="H482" s="174"/>
      <x:c r="I482" s="174"/>
      <x:c r="J482" s="174"/>
      <x:c r="K482" s="174"/>
      <x:c r="L482" s="174"/>
      <x:c r="M482" s="174"/>
      <x:c r="N482" s="174"/>
      <x:c r="O482" s="176"/>
      <x:c r="P482" s="174"/>
      <x:c r="Q482" s="174"/>
      <x:c r="R482" s="174"/>
      <x:c r="S482" s="174"/>
      <x:c r="T482" s="174"/>
      <x:c r="U482" s="174"/>
      <x:c r="V482" s="174"/>
      <x:c r="W482" s="175" t="str">
        <x:f>IF(V482="","",LOWER(SUBSTITUTE(SUBSTITUTE(SUBSTITUTE(SUBSTITUTE(TRIM(V482),"https://doi.org/",""),"http://doi.org/",""),"https://dx.doi.org/",""),"doi:","")))</x:f>
      </x:c>
      <x:c r="X482" s="174"/>
      <x:c r="Y482" s="174"/>
      <x:c r="Z482" s="174"/>
      <x:c r="AA482" s="174"/>
      <x:c r="AB482" s="174"/>
      <x:c r="AC482" s="174"/>
      <x:c r="AD482" s="177"/>
      <x:c r="AE482" s="177"/>
      <x:c r="AF482" s="174"/>
      <x:c r="AG482" s="174"/>
      <x:c r="AH482" s="174"/>
      <x:c r="AI482" s="174"/>
      <x:c r="AJ482" s="174"/>
      <x:c r="AK482" s="175" t="str">
        <x:f>IF(AJ482="","",IF(OR(LOWER(AJ482)="brazil",LOWER(AJ482)="brasil"),"Yes","No"))</x:f>
      </x:c>
      <x:c r="AL482" s="174"/>
      <x:c r="AM482" s="174"/>
      <x:c r="AN482" s="174"/>
      <x:c r="AO482" s="178"/>
      <x:c r="AP482" s="174"/>
      <x:c r="AQ482" s="174"/>
      <x:c r="AR482" s="174"/>
      <x:c r="AS482" s="174"/>
      <x:c r="AT482" s="174"/>
      <x:c r="AU482" s="174"/>
      <x:c r="AV482" s="174"/>
      <x:c r="AW482" s="174"/>
      <x:c r="AX482" s="174"/>
      <x:c r="AY482" s="174"/>
      <x:c r="AZ482" s="174"/>
      <x:c r="BA482" s="174"/>
      <x:c r="BB482" s="174"/>
      <x:c r="BC482" s="174"/>
      <x:c r="BD482" s="174"/>
      <x:c r="BE482" s="174"/>
      <x:c r="BF482" s="174"/>
      <x:c r="BG482" s="174"/>
      <x:c r="BH482" s="174"/>
      <x:c r="BI482" s="174"/>
      <x:c r="BJ482" s="174"/>
      <x:c r="BK482" s="174"/>
      <x:c r="BL482" s="174"/>
      <x:c r="BM482" s="174"/>
      <x:c r="BN482" s="174"/>
      <x:c r="BO482" s="174"/>
      <x:c r="BP482" s="174"/>
      <x:c r="BQ482" s="174"/>
      <x:c r="BR482" s="174"/>
      <x:c r="BS482" s="174"/>
      <x:c r="BT482" s="174"/>
      <x:c r="BU482" s="174"/>
      <x:c r="BV482" s="174"/>
      <x:c r="BW482" s="174"/>
      <x:c r="BX482" s="174"/>
      <x:c r="BY482" s="174"/>
      <x:c r="BZ482" s="174"/>
      <x:c r="CA482" s="174"/>
      <x:c r="CB482" s="174"/>
      <x:c r="CC482" s="174"/>
      <x:c r="CD482" s="174"/>
      <x:c r="CE482" s="174"/>
      <x:c r="CF482" s="174"/>
      <x:c r="CG482" s="174"/>
      <x:c r="CH482" s="174"/>
      <x:c r="CI482" s="179"/>
      <x:c r="CJ482" s="174"/>
      <x:c r="CK482" s="174"/>
      <x:c r="CL482" s="174"/>
      <x:c r="CM482" s="174"/>
      <x:c r="CN482" s="174"/>
      <x:c r="CO482" s="177"/>
      <x:c r="CP482" s="174"/>
      <x:c r="CQ482" s="174"/>
      <x:c r="CR482" s="174"/>
      <x:c r="CS482" s="174"/>
      <x:c r="CT482" s="174"/>
      <x:c r="CU482" s="176"/>
      <x:c r="CV482" s="176"/>
      <x:c r="CW482" s="176"/>
      <x:c r="CX482" s="176"/>
      <x:c r="CY482" s="176"/>
      <x:c r="CZ482" s="176"/>
      <x:c r="DA482" s="176"/>
      <x:c r="DB482" s="175" t="str">
        <x:f>IF(L482="","",IF(COUNT(CU482:DA482)&lt;7,"",SUM(CU482:DA482)))</x:f>
      </x:c>
      <x:c r="DC482" s="180" t="str">
        <x:f>IF(DB482="","",ROUND(DB482/14*10,1))</x:f>
      </x:c>
      <x:c r="DD482" s="174"/>
      <x:c r="DE482" s="175" t="str">
        <x:f>IF(L482="","",IF(DC482="","Pending",IF(DD482="Yes","CONDITIONAL — safety override",IF(DC482&gt;=8,"HIGH",IF(DC482&gt;=5,"CONDITIONAL","LOW")))))</x:f>
      </x:c>
      <x:c r="DF482" s="174"/>
      <x:c r="DG482" s="174"/>
      <x:c r="DH482" s="174"/>
      <x:c r="DI482" s="174"/>
      <x:c r="DJ482" s="174"/>
      <x:c r="DK482" s="174"/>
      <x:c r="DL482" s="174"/>
      <x:c r="DM482" s="174"/>
      <x:c r="DN482" s="174"/>
      <x:c r="DO482" s="174"/>
      <x:c r="DP482" s="174"/>
      <x:c r="DQ482" s="174"/>
      <x:c r="DR482" s="174"/>
      <x:c r="DS482" s="174"/>
      <x:c r="DT482" s="174"/>
      <x:c r="DU482" s="174"/>
      <x:c r="DV482" s="174"/>
      <x:c r="DW482" s="174"/>
      <x:c r="DX482" s="174"/>
      <x:c r="DY482" s="174"/>
      <x:c r="DZ482" s="174"/>
      <x:c r="EA482" s="174"/>
      <x:c r="EB482" s="175" t="str">
        <x:f>IF(L482="","",IF(AND(F482="Claim-ready",CJ482="Yes",CL482="Yes",DZ482&lt;&gt;""),"Yes","No / Pending"))</x:f>
      </x:c>
      <x:c r="EC482" s="174"/>
      <x:c r="ED482" s="174"/>
      <x:c r="EE482" s="174"/>
      <x:c r="EF482" s="174"/>
      <x:c r="EG482" s="174"/>
      <x:c r="EH482" s="177"/>
      <x:c r="EI482" s="174"/>
      <x:c r="EJ482" s="174"/>
      <x:c r="EK482" s="174"/>
      <x:c r="EL482" s="177"/>
      <x:c r="EM482" s="174"/>
      <x:c r="EN482" s="181" t="str">
        <x:f>IF(L482="","",(IF(N482&lt;&gt;"",1,0)+IF(O482&lt;&gt;"",1,0)+IF(AJ482&lt;&gt;"",1,0)+IF(AU482&lt;&gt;"",1,0)+IF(BE482&lt;&gt;"",1,0)+IF(CF482&lt;&gt;"",1,0)+IF(CJ482="Yes",1,0)+IF(CL482="Yes",1,0)+IF(DE482&lt;&gt;"Pending",1,0)+IF(F482&lt;&gt;"",1,0)+IF(DZ482&lt;&gt;"",1,0)+IF(EI482&lt;&gt;"",1,0))/12)</x:f>
      </x:c>
    </x:row>
    <x:row r="483">
      <x:c r="A483" s="175" t="str">
        <x:f>IF(L483="","","EV-"&amp;TEXT(ROW()-3,"0000"))</x:f>
      </x:c>
      <x:c r="B483" s="174"/>
      <x:c r="C483" s="175" t="str">
        <x:f>IF(L483="","",IF(OR(CM483="Retracted",CN483="Retracted",F483="Not used"),"🔴 Do not use for conclusion",IF(OR(R483="Official / Institutional",I483="Official / contextual"),"🔵 Official / contextual",IF(OR(I483="Definition",I483="Framework",I483="Paradigm shift"),"🟣 Conceptual key source",IF(AND(CJ483="Yes",CL483="Yes",OR(CG483="High",CG483="Moderate"),CH483&lt;&gt;"High",CH483&lt;&gt;"Critical",F483="Claim-ready"),"🟢 Claim-ready","🟡 Caution / context")))))</x:f>
      </x:c>
      <x:c r="D483" s="174"/>
      <x:c r="E483" s="174"/>
      <x:c r="F483" s="174"/>
      <x:c r="G483" s="174"/>
      <x:c r="H483" s="174"/>
      <x:c r="I483" s="174"/>
      <x:c r="J483" s="174"/>
      <x:c r="K483" s="174"/>
      <x:c r="L483" s="174"/>
      <x:c r="M483" s="174"/>
      <x:c r="N483" s="174"/>
      <x:c r="O483" s="176"/>
      <x:c r="P483" s="174"/>
      <x:c r="Q483" s="174"/>
      <x:c r="R483" s="174"/>
      <x:c r="S483" s="174"/>
      <x:c r="T483" s="174"/>
      <x:c r="U483" s="174"/>
      <x:c r="V483" s="174"/>
      <x:c r="W483" s="175" t="str">
        <x:f>IF(V483="","",LOWER(SUBSTITUTE(SUBSTITUTE(SUBSTITUTE(SUBSTITUTE(TRIM(V483),"https://doi.org/",""),"http://doi.org/",""),"https://dx.doi.org/",""),"doi:","")))</x:f>
      </x:c>
      <x:c r="X483" s="174"/>
      <x:c r="Y483" s="174"/>
      <x:c r="Z483" s="174"/>
      <x:c r="AA483" s="174"/>
      <x:c r="AB483" s="174"/>
      <x:c r="AC483" s="174"/>
      <x:c r="AD483" s="177"/>
      <x:c r="AE483" s="177"/>
      <x:c r="AF483" s="174"/>
      <x:c r="AG483" s="174"/>
      <x:c r="AH483" s="174"/>
      <x:c r="AI483" s="174"/>
      <x:c r="AJ483" s="174"/>
      <x:c r="AK483" s="175" t="str">
        <x:f>IF(AJ483="","",IF(OR(LOWER(AJ483)="brazil",LOWER(AJ483)="brasil"),"Yes","No"))</x:f>
      </x:c>
      <x:c r="AL483" s="174"/>
      <x:c r="AM483" s="174"/>
      <x:c r="AN483" s="174"/>
      <x:c r="AO483" s="178"/>
      <x:c r="AP483" s="174"/>
      <x:c r="AQ483" s="174"/>
      <x:c r="AR483" s="174"/>
      <x:c r="AS483" s="174"/>
      <x:c r="AT483" s="174"/>
      <x:c r="AU483" s="174"/>
      <x:c r="AV483" s="174"/>
      <x:c r="AW483" s="174"/>
      <x:c r="AX483" s="174"/>
      <x:c r="AY483" s="174"/>
      <x:c r="AZ483" s="174"/>
      <x:c r="BA483" s="174"/>
      <x:c r="BB483" s="174"/>
      <x:c r="BC483" s="174"/>
      <x:c r="BD483" s="174"/>
      <x:c r="BE483" s="174"/>
      <x:c r="BF483" s="174"/>
      <x:c r="BG483" s="174"/>
      <x:c r="BH483" s="174"/>
      <x:c r="BI483" s="174"/>
      <x:c r="BJ483" s="174"/>
      <x:c r="BK483" s="174"/>
      <x:c r="BL483" s="174"/>
      <x:c r="BM483" s="174"/>
      <x:c r="BN483" s="174"/>
      <x:c r="BO483" s="174"/>
      <x:c r="BP483" s="174"/>
      <x:c r="BQ483" s="174"/>
      <x:c r="BR483" s="174"/>
      <x:c r="BS483" s="174"/>
      <x:c r="BT483" s="174"/>
      <x:c r="BU483" s="174"/>
      <x:c r="BV483" s="174"/>
      <x:c r="BW483" s="174"/>
      <x:c r="BX483" s="174"/>
      <x:c r="BY483" s="174"/>
      <x:c r="BZ483" s="174"/>
      <x:c r="CA483" s="174"/>
      <x:c r="CB483" s="174"/>
      <x:c r="CC483" s="174"/>
      <x:c r="CD483" s="174"/>
      <x:c r="CE483" s="174"/>
      <x:c r="CF483" s="174"/>
      <x:c r="CG483" s="174"/>
      <x:c r="CH483" s="174"/>
      <x:c r="CI483" s="179"/>
      <x:c r="CJ483" s="174"/>
      <x:c r="CK483" s="174"/>
      <x:c r="CL483" s="174"/>
      <x:c r="CM483" s="174"/>
      <x:c r="CN483" s="174"/>
      <x:c r="CO483" s="177"/>
      <x:c r="CP483" s="174"/>
      <x:c r="CQ483" s="174"/>
      <x:c r="CR483" s="174"/>
      <x:c r="CS483" s="174"/>
      <x:c r="CT483" s="174"/>
      <x:c r="CU483" s="176"/>
      <x:c r="CV483" s="176"/>
      <x:c r="CW483" s="176"/>
      <x:c r="CX483" s="176"/>
      <x:c r="CY483" s="176"/>
      <x:c r="CZ483" s="176"/>
      <x:c r="DA483" s="176"/>
      <x:c r="DB483" s="175" t="str">
        <x:f>IF(L483="","",IF(COUNT(CU483:DA483)&lt;7,"",SUM(CU483:DA483)))</x:f>
      </x:c>
      <x:c r="DC483" s="180" t="str">
        <x:f>IF(DB483="","",ROUND(DB483/14*10,1))</x:f>
      </x:c>
      <x:c r="DD483" s="174"/>
      <x:c r="DE483" s="175" t="str">
        <x:f>IF(L483="","",IF(DC483="","Pending",IF(DD483="Yes","CONDITIONAL — safety override",IF(DC483&gt;=8,"HIGH",IF(DC483&gt;=5,"CONDITIONAL","LOW")))))</x:f>
      </x:c>
      <x:c r="DF483" s="174"/>
      <x:c r="DG483" s="174"/>
      <x:c r="DH483" s="174"/>
      <x:c r="DI483" s="174"/>
      <x:c r="DJ483" s="174"/>
      <x:c r="DK483" s="174"/>
      <x:c r="DL483" s="174"/>
      <x:c r="DM483" s="174"/>
      <x:c r="DN483" s="174"/>
      <x:c r="DO483" s="174"/>
      <x:c r="DP483" s="174"/>
      <x:c r="DQ483" s="174"/>
      <x:c r="DR483" s="174"/>
      <x:c r="DS483" s="174"/>
      <x:c r="DT483" s="174"/>
      <x:c r="DU483" s="174"/>
      <x:c r="DV483" s="174"/>
      <x:c r="DW483" s="174"/>
      <x:c r="DX483" s="174"/>
      <x:c r="DY483" s="174"/>
      <x:c r="DZ483" s="174"/>
      <x:c r="EA483" s="174"/>
      <x:c r="EB483" s="175" t="str">
        <x:f>IF(L483="","",IF(AND(F483="Claim-ready",CJ483="Yes",CL483="Yes",DZ483&lt;&gt;""),"Yes","No / Pending"))</x:f>
      </x:c>
      <x:c r="EC483" s="174"/>
      <x:c r="ED483" s="174"/>
      <x:c r="EE483" s="174"/>
      <x:c r="EF483" s="174"/>
      <x:c r="EG483" s="174"/>
      <x:c r="EH483" s="177"/>
      <x:c r="EI483" s="174"/>
      <x:c r="EJ483" s="174"/>
      <x:c r="EK483" s="174"/>
      <x:c r="EL483" s="177"/>
      <x:c r="EM483" s="174"/>
      <x:c r="EN483" s="181" t="str">
        <x:f>IF(L483="","",(IF(N483&lt;&gt;"",1,0)+IF(O483&lt;&gt;"",1,0)+IF(AJ483&lt;&gt;"",1,0)+IF(AU483&lt;&gt;"",1,0)+IF(BE483&lt;&gt;"",1,0)+IF(CF483&lt;&gt;"",1,0)+IF(CJ483="Yes",1,0)+IF(CL483="Yes",1,0)+IF(DE483&lt;&gt;"Pending",1,0)+IF(F483&lt;&gt;"",1,0)+IF(DZ483&lt;&gt;"",1,0)+IF(EI483&lt;&gt;"",1,0))/12)</x:f>
      </x:c>
    </x:row>
    <x:row r="484">
      <x:c r="A484" s="175" t="str">
        <x:f>IF(L484="","","EV-"&amp;TEXT(ROW()-3,"0000"))</x:f>
      </x:c>
      <x:c r="B484" s="174"/>
      <x:c r="C484" s="175" t="str">
        <x:f>IF(L484="","",IF(OR(CM484="Retracted",CN484="Retracted",F484="Not used"),"🔴 Do not use for conclusion",IF(OR(R484="Official / Institutional",I484="Official / contextual"),"🔵 Official / contextual",IF(OR(I484="Definition",I484="Framework",I484="Paradigm shift"),"🟣 Conceptual key source",IF(AND(CJ484="Yes",CL484="Yes",OR(CG484="High",CG484="Moderate"),CH484&lt;&gt;"High",CH484&lt;&gt;"Critical",F484="Claim-ready"),"🟢 Claim-ready","🟡 Caution / context")))))</x:f>
      </x:c>
      <x:c r="D484" s="174"/>
      <x:c r="E484" s="174"/>
      <x:c r="F484" s="174"/>
      <x:c r="G484" s="174"/>
      <x:c r="H484" s="174"/>
      <x:c r="I484" s="174"/>
      <x:c r="J484" s="174"/>
      <x:c r="K484" s="174"/>
      <x:c r="L484" s="174"/>
      <x:c r="M484" s="174"/>
      <x:c r="N484" s="174"/>
      <x:c r="O484" s="176"/>
      <x:c r="P484" s="174"/>
      <x:c r="Q484" s="174"/>
      <x:c r="R484" s="174"/>
      <x:c r="S484" s="174"/>
      <x:c r="T484" s="174"/>
      <x:c r="U484" s="174"/>
      <x:c r="V484" s="174"/>
      <x:c r="W484" s="175" t="str">
        <x:f>IF(V484="","",LOWER(SUBSTITUTE(SUBSTITUTE(SUBSTITUTE(SUBSTITUTE(TRIM(V484),"https://doi.org/",""),"http://doi.org/",""),"https://dx.doi.org/",""),"doi:","")))</x:f>
      </x:c>
      <x:c r="X484" s="174"/>
      <x:c r="Y484" s="174"/>
      <x:c r="Z484" s="174"/>
      <x:c r="AA484" s="174"/>
      <x:c r="AB484" s="174"/>
      <x:c r="AC484" s="174"/>
      <x:c r="AD484" s="177"/>
      <x:c r="AE484" s="177"/>
      <x:c r="AF484" s="174"/>
      <x:c r="AG484" s="174"/>
      <x:c r="AH484" s="174"/>
      <x:c r="AI484" s="174"/>
      <x:c r="AJ484" s="174"/>
      <x:c r="AK484" s="175" t="str">
        <x:f>IF(AJ484="","",IF(OR(LOWER(AJ484)="brazil",LOWER(AJ484)="brasil"),"Yes","No"))</x:f>
      </x:c>
      <x:c r="AL484" s="174"/>
      <x:c r="AM484" s="174"/>
      <x:c r="AN484" s="174"/>
      <x:c r="AO484" s="178"/>
      <x:c r="AP484" s="174"/>
      <x:c r="AQ484" s="174"/>
      <x:c r="AR484" s="174"/>
      <x:c r="AS484" s="174"/>
      <x:c r="AT484" s="174"/>
      <x:c r="AU484" s="174"/>
      <x:c r="AV484" s="174"/>
      <x:c r="AW484" s="174"/>
      <x:c r="AX484" s="174"/>
      <x:c r="AY484" s="174"/>
      <x:c r="AZ484" s="174"/>
      <x:c r="BA484" s="174"/>
      <x:c r="BB484" s="174"/>
      <x:c r="BC484" s="174"/>
      <x:c r="BD484" s="174"/>
      <x:c r="BE484" s="174"/>
      <x:c r="BF484" s="174"/>
      <x:c r="BG484" s="174"/>
      <x:c r="BH484" s="174"/>
      <x:c r="BI484" s="174"/>
      <x:c r="BJ484" s="174"/>
      <x:c r="BK484" s="174"/>
      <x:c r="BL484" s="174"/>
      <x:c r="BM484" s="174"/>
      <x:c r="BN484" s="174"/>
      <x:c r="BO484" s="174"/>
      <x:c r="BP484" s="174"/>
      <x:c r="BQ484" s="174"/>
      <x:c r="BR484" s="174"/>
      <x:c r="BS484" s="174"/>
      <x:c r="BT484" s="174"/>
      <x:c r="BU484" s="174"/>
      <x:c r="BV484" s="174"/>
      <x:c r="BW484" s="174"/>
      <x:c r="BX484" s="174"/>
      <x:c r="BY484" s="174"/>
      <x:c r="BZ484" s="174"/>
      <x:c r="CA484" s="174"/>
      <x:c r="CB484" s="174"/>
      <x:c r="CC484" s="174"/>
      <x:c r="CD484" s="174"/>
      <x:c r="CE484" s="174"/>
      <x:c r="CF484" s="174"/>
      <x:c r="CG484" s="174"/>
      <x:c r="CH484" s="174"/>
      <x:c r="CI484" s="179"/>
      <x:c r="CJ484" s="174"/>
      <x:c r="CK484" s="174"/>
      <x:c r="CL484" s="174"/>
      <x:c r="CM484" s="174"/>
      <x:c r="CN484" s="174"/>
      <x:c r="CO484" s="177"/>
      <x:c r="CP484" s="174"/>
      <x:c r="CQ484" s="174"/>
      <x:c r="CR484" s="174"/>
      <x:c r="CS484" s="174"/>
      <x:c r="CT484" s="174"/>
      <x:c r="CU484" s="176"/>
      <x:c r="CV484" s="176"/>
      <x:c r="CW484" s="176"/>
      <x:c r="CX484" s="176"/>
      <x:c r="CY484" s="176"/>
      <x:c r="CZ484" s="176"/>
      <x:c r="DA484" s="176"/>
      <x:c r="DB484" s="175" t="str">
        <x:f>IF(L484="","",IF(COUNT(CU484:DA484)&lt;7,"",SUM(CU484:DA484)))</x:f>
      </x:c>
      <x:c r="DC484" s="180" t="str">
        <x:f>IF(DB484="","",ROUND(DB484/14*10,1))</x:f>
      </x:c>
      <x:c r="DD484" s="174"/>
      <x:c r="DE484" s="175" t="str">
        <x:f>IF(L484="","",IF(DC484="","Pending",IF(DD484="Yes","CONDITIONAL — safety override",IF(DC484&gt;=8,"HIGH",IF(DC484&gt;=5,"CONDITIONAL","LOW")))))</x:f>
      </x:c>
      <x:c r="DF484" s="174"/>
      <x:c r="DG484" s="174"/>
      <x:c r="DH484" s="174"/>
      <x:c r="DI484" s="174"/>
      <x:c r="DJ484" s="174"/>
      <x:c r="DK484" s="174"/>
      <x:c r="DL484" s="174"/>
      <x:c r="DM484" s="174"/>
      <x:c r="DN484" s="174"/>
      <x:c r="DO484" s="174"/>
      <x:c r="DP484" s="174"/>
      <x:c r="DQ484" s="174"/>
      <x:c r="DR484" s="174"/>
      <x:c r="DS484" s="174"/>
      <x:c r="DT484" s="174"/>
      <x:c r="DU484" s="174"/>
      <x:c r="DV484" s="174"/>
      <x:c r="DW484" s="174"/>
      <x:c r="DX484" s="174"/>
      <x:c r="DY484" s="174"/>
      <x:c r="DZ484" s="174"/>
      <x:c r="EA484" s="174"/>
      <x:c r="EB484" s="175" t="str">
        <x:f>IF(L484="","",IF(AND(F484="Claim-ready",CJ484="Yes",CL484="Yes",DZ484&lt;&gt;""),"Yes","No / Pending"))</x:f>
      </x:c>
      <x:c r="EC484" s="174"/>
      <x:c r="ED484" s="174"/>
      <x:c r="EE484" s="174"/>
      <x:c r="EF484" s="174"/>
      <x:c r="EG484" s="174"/>
      <x:c r="EH484" s="177"/>
      <x:c r="EI484" s="174"/>
      <x:c r="EJ484" s="174"/>
      <x:c r="EK484" s="174"/>
      <x:c r="EL484" s="177"/>
      <x:c r="EM484" s="174"/>
      <x:c r="EN484" s="181" t="str">
        <x:f>IF(L484="","",(IF(N484&lt;&gt;"",1,0)+IF(O484&lt;&gt;"",1,0)+IF(AJ484&lt;&gt;"",1,0)+IF(AU484&lt;&gt;"",1,0)+IF(BE484&lt;&gt;"",1,0)+IF(CF484&lt;&gt;"",1,0)+IF(CJ484="Yes",1,0)+IF(CL484="Yes",1,0)+IF(DE484&lt;&gt;"Pending",1,0)+IF(F484&lt;&gt;"",1,0)+IF(DZ484&lt;&gt;"",1,0)+IF(EI484&lt;&gt;"",1,0))/12)</x:f>
      </x:c>
    </x:row>
    <x:row r="485">
      <x:c r="A485" s="175" t="str">
        <x:f>IF(L485="","","EV-"&amp;TEXT(ROW()-3,"0000"))</x:f>
      </x:c>
      <x:c r="B485" s="174"/>
      <x:c r="C485" s="175" t="str">
        <x:f>IF(L485="","",IF(OR(CM485="Retracted",CN485="Retracted",F485="Not used"),"🔴 Do not use for conclusion",IF(OR(R485="Official / Institutional",I485="Official / contextual"),"🔵 Official / contextual",IF(OR(I485="Definition",I485="Framework",I485="Paradigm shift"),"🟣 Conceptual key source",IF(AND(CJ485="Yes",CL485="Yes",OR(CG485="High",CG485="Moderate"),CH485&lt;&gt;"High",CH485&lt;&gt;"Critical",F485="Claim-ready"),"🟢 Claim-ready","🟡 Caution / context")))))</x:f>
      </x:c>
      <x:c r="D485" s="174"/>
      <x:c r="E485" s="174"/>
      <x:c r="F485" s="174"/>
      <x:c r="G485" s="174"/>
      <x:c r="H485" s="174"/>
      <x:c r="I485" s="174"/>
      <x:c r="J485" s="174"/>
      <x:c r="K485" s="174"/>
      <x:c r="L485" s="174"/>
      <x:c r="M485" s="174"/>
      <x:c r="N485" s="174"/>
      <x:c r="O485" s="176"/>
      <x:c r="P485" s="174"/>
      <x:c r="Q485" s="174"/>
      <x:c r="R485" s="174"/>
      <x:c r="S485" s="174"/>
      <x:c r="T485" s="174"/>
      <x:c r="U485" s="174"/>
      <x:c r="V485" s="174"/>
      <x:c r="W485" s="175" t="str">
        <x:f>IF(V485="","",LOWER(SUBSTITUTE(SUBSTITUTE(SUBSTITUTE(SUBSTITUTE(TRIM(V485),"https://doi.org/",""),"http://doi.org/",""),"https://dx.doi.org/",""),"doi:","")))</x:f>
      </x:c>
      <x:c r="X485" s="174"/>
      <x:c r="Y485" s="174"/>
      <x:c r="Z485" s="174"/>
      <x:c r="AA485" s="174"/>
      <x:c r="AB485" s="174"/>
      <x:c r="AC485" s="174"/>
      <x:c r="AD485" s="177"/>
      <x:c r="AE485" s="177"/>
      <x:c r="AF485" s="174"/>
      <x:c r="AG485" s="174"/>
      <x:c r="AH485" s="174"/>
      <x:c r="AI485" s="174"/>
      <x:c r="AJ485" s="174"/>
      <x:c r="AK485" s="175" t="str">
        <x:f>IF(AJ485="","",IF(OR(LOWER(AJ485)="brazil",LOWER(AJ485)="brasil"),"Yes","No"))</x:f>
      </x:c>
      <x:c r="AL485" s="174"/>
      <x:c r="AM485" s="174"/>
      <x:c r="AN485" s="174"/>
      <x:c r="AO485" s="178"/>
      <x:c r="AP485" s="174"/>
      <x:c r="AQ485" s="174"/>
      <x:c r="AR485" s="174"/>
      <x:c r="AS485" s="174"/>
      <x:c r="AT485" s="174"/>
      <x:c r="AU485" s="174"/>
      <x:c r="AV485" s="174"/>
      <x:c r="AW485" s="174"/>
      <x:c r="AX485" s="174"/>
      <x:c r="AY485" s="174"/>
      <x:c r="AZ485" s="174"/>
      <x:c r="BA485" s="174"/>
      <x:c r="BB485" s="174"/>
      <x:c r="BC485" s="174"/>
      <x:c r="BD485" s="174"/>
      <x:c r="BE485" s="174"/>
      <x:c r="BF485" s="174"/>
      <x:c r="BG485" s="174"/>
      <x:c r="BH485" s="174"/>
      <x:c r="BI485" s="174"/>
      <x:c r="BJ485" s="174"/>
      <x:c r="BK485" s="174"/>
      <x:c r="BL485" s="174"/>
      <x:c r="BM485" s="174"/>
      <x:c r="BN485" s="174"/>
      <x:c r="BO485" s="174"/>
      <x:c r="BP485" s="174"/>
      <x:c r="BQ485" s="174"/>
      <x:c r="BR485" s="174"/>
      <x:c r="BS485" s="174"/>
      <x:c r="BT485" s="174"/>
      <x:c r="BU485" s="174"/>
      <x:c r="BV485" s="174"/>
      <x:c r="BW485" s="174"/>
      <x:c r="BX485" s="174"/>
      <x:c r="BY485" s="174"/>
      <x:c r="BZ485" s="174"/>
      <x:c r="CA485" s="174"/>
      <x:c r="CB485" s="174"/>
      <x:c r="CC485" s="174"/>
      <x:c r="CD485" s="174"/>
      <x:c r="CE485" s="174"/>
      <x:c r="CF485" s="174"/>
      <x:c r="CG485" s="174"/>
      <x:c r="CH485" s="174"/>
      <x:c r="CI485" s="179"/>
      <x:c r="CJ485" s="174"/>
      <x:c r="CK485" s="174"/>
      <x:c r="CL485" s="174"/>
      <x:c r="CM485" s="174"/>
      <x:c r="CN485" s="174"/>
      <x:c r="CO485" s="177"/>
      <x:c r="CP485" s="174"/>
      <x:c r="CQ485" s="174"/>
      <x:c r="CR485" s="174"/>
      <x:c r="CS485" s="174"/>
      <x:c r="CT485" s="174"/>
      <x:c r="CU485" s="176"/>
      <x:c r="CV485" s="176"/>
      <x:c r="CW485" s="176"/>
      <x:c r="CX485" s="176"/>
      <x:c r="CY485" s="176"/>
      <x:c r="CZ485" s="176"/>
      <x:c r="DA485" s="176"/>
      <x:c r="DB485" s="175" t="str">
        <x:f>IF(L485="","",IF(COUNT(CU485:DA485)&lt;7,"",SUM(CU485:DA485)))</x:f>
      </x:c>
      <x:c r="DC485" s="180" t="str">
        <x:f>IF(DB485="","",ROUND(DB485/14*10,1))</x:f>
      </x:c>
      <x:c r="DD485" s="174"/>
      <x:c r="DE485" s="175" t="str">
        <x:f>IF(L485="","",IF(DC485="","Pending",IF(DD485="Yes","CONDITIONAL — safety override",IF(DC485&gt;=8,"HIGH",IF(DC485&gt;=5,"CONDITIONAL","LOW")))))</x:f>
      </x:c>
      <x:c r="DF485" s="174"/>
      <x:c r="DG485" s="174"/>
      <x:c r="DH485" s="174"/>
      <x:c r="DI485" s="174"/>
      <x:c r="DJ485" s="174"/>
      <x:c r="DK485" s="174"/>
      <x:c r="DL485" s="174"/>
      <x:c r="DM485" s="174"/>
      <x:c r="DN485" s="174"/>
      <x:c r="DO485" s="174"/>
      <x:c r="DP485" s="174"/>
      <x:c r="DQ485" s="174"/>
      <x:c r="DR485" s="174"/>
      <x:c r="DS485" s="174"/>
      <x:c r="DT485" s="174"/>
      <x:c r="DU485" s="174"/>
      <x:c r="DV485" s="174"/>
      <x:c r="DW485" s="174"/>
      <x:c r="DX485" s="174"/>
      <x:c r="DY485" s="174"/>
      <x:c r="DZ485" s="174"/>
      <x:c r="EA485" s="174"/>
      <x:c r="EB485" s="175" t="str">
        <x:f>IF(L485="","",IF(AND(F485="Claim-ready",CJ485="Yes",CL485="Yes",DZ485&lt;&gt;""),"Yes","No / Pending"))</x:f>
      </x:c>
      <x:c r="EC485" s="174"/>
      <x:c r="ED485" s="174"/>
      <x:c r="EE485" s="174"/>
      <x:c r="EF485" s="174"/>
      <x:c r="EG485" s="174"/>
      <x:c r="EH485" s="177"/>
      <x:c r="EI485" s="174"/>
      <x:c r="EJ485" s="174"/>
      <x:c r="EK485" s="174"/>
      <x:c r="EL485" s="177"/>
      <x:c r="EM485" s="174"/>
      <x:c r="EN485" s="181" t="str">
        <x:f>IF(L485="","",(IF(N485&lt;&gt;"",1,0)+IF(O485&lt;&gt;"",1,0)+IF(AJ485&lt;&gt;"",1,0)+IF(AU485&lt;&gt;"",1,0)+IF(BE485&lt;&gt;"",1,0)+IF(CF485&lt;&gt;"",1,0)+IF(CJ485="Yes",1,0)+IF(CL485="Yes",1,0)+IF(DE485&lt;&gt;"Pending",1,0)+IF(F485&lt;&gt;"",1,0)+IF(DZ485&lt;&gt;"",1,0)+IF(EI485&lt;&gt;"",1,0))/12)</x:f>
      </x:c>
    </x:row>
    <x:row r="486">
      <x:c r="A486" s="175" t="str">
        <x:f>IF(L486="","","EV-"&amp;TEXT(ROW()-3,"0000"))</x:f>
      </x:c>
      <x:c r="B486" s="174"/>
      <x:c r="C486" s="175" t="str">
        <x:f>IF(L486="","",IF(OR(CM486="Retracted",CN486="Retracted",F486="Not used"),"🔴 Do not use for conclusion",IF(OR(R486="Official / Institutional",I486="Official / contextual"),"🔵 Official / contextual",IF(OR(I486="Definition",I486="Framework",I486="Paradigm shift"),"🟣 Conceptual key source",IF(AND(CJ486="Yes",CL486="Yes",OR(CG486="High",CG486="Moderate"),CH486&lt;&gt;"High",CH486&lt;&gt;"Critical",F486="Claim-ready"),"🟢 Claim-ready","🟡 Caution / context")))))</x:f>
      </x:c>
      <x:c r="D486" s="174"/>
      <x:c r="E486" s="174"/>
      <x:c r="F486" s="174"/>
      <x:c r="G486" s="174"/>
      <x:c r="H486" s="174"/>
      <x:c r="I486" s="174"/>
      <x:c r="J486" s="174"/>
      <x:c r="K486" s="174"/>
      <x:c r="L486" s="174"/>
      <x:c r="M486" s="174"/>
      <x:c r="N486" s="174"/>
      <x:c r="O486" s="176"/>
      <x:c r="P486" s="174"/>
      <x:c r="Q486" s="174"/>
      <x:c r="R486" s="174"/>
      <x:c r="S486" s="174"/>
      <x:c r="T486" s="174"/>
      <x:c r="U486" s="174"/>
      <x:c r="V486" s="174"/>
      <x:c r="W486" s="175" t="str">
        <x:f>IF(V486="","",LOWER(SUBSTITUTE(SUBSTITUTE(SUBSTITUTE(SUBSTITUTE(TRIM(V486),"https://doi.org/",""),"http://doi.org/",""),"https://dx.doi.org/",""),"doi:","")))</x:f>
      </x:c>
      <x:c r="X486" s="174"/>
      <x:c r="Y486" s="174"/>
      <x:c r="Z486" s="174"/>
      <x:c r="AA486" s="174"/>
      <x:c r="AB486" s="174"/>
      <x:c r="AC486" s="174"/>
      <x:c r="AD486" s="177"/>
      <x:c r="AE486" s="177"/>
      <x:c r="AF486" s="174"/>
      <x:c r="AG486" s="174"/>
      <x:c r="AH486" s="174"/>
      <x:c r="AI486" s="174"/>
      <x:c r="AJ486" s="174"/>
      <x:c r="AK486" s="175" t="str">
        <x:f>IF(AJ486="","",IF(OR(LOWER(AJ486)="brazil",LOWER(AJ486)="brasil"),"Yes","No"))</x:f>
      </x:c>
      <x:c r="AL486" s="174"/>
      <x:c r="AM486" s="174"/>
      <x:c r="AN486" s="174"/>
      <x:c r="AO486" s="178"/>
      <x:c r="AP486" s="174"/>
      <x:c r="AQ486" s="174"/>
      <x:c r="AR486" s="174"/>
      <x:c r="AS486" s="174"/>
      <x:c r="AT486" s="174"/>
      <x:c r="AU486" s="174"/>
      <x:c r="AV486" s="174"/>
      <x:c r="AW486" s="174"/>
      <x:c r="AX486" s="174"/>
      <x:c r="AY486" s="174"/>
      <x:c r="AZ486" s="174"/>
      <x:c r="BA486" s="174"/>
      <x:c r="BB486" s="174"/>
      <x:c r="BC486" s="174"/>
      <x:c r="BD486" s="174"/>
      <x:c r="BE486" s="174"/>
      <x:c r="BF486" s="174"/>
      <x:c r="BG486" s="174"/>
      <x:c r="BH486" s="174"/>
      <x:c r="BI486" s="174"/>
      <x:c r="BJ486" s="174"/>
      <x:c r="BK486" s="174"/>
      <x:c r="BL486" s="174"/>
      <x:c r="BM486" s="174"/>
      <x:c r="BN486" s="174"/>
      <x:c r="BO486" s="174"/>
      <x:c r="BP486" s="174"/>
      <x:c r="BQ486" s="174"/>
      <x:c r="BR486" s="174"/>
      <x:c r="BS486" s="174"/>
      <x:c r="BT486" s="174"/>
      <x:c r="BU486" s="174"/>
      <x:c r="BV486" s="174"/>
      <x:c r="BW486" s="174"/>
      <x:c r="BX486" s="174"/>
      <x:c r="BY486" s="174"/>
      <x:c r="BZ486" s="174"/>
      <x:c r="CA486" s="174"/>
      <x:c r="CB486" s="174"/>
      <x:c r="CC486" s="174"/>
      <x:c r="CD486" s="174"/>
      <x:c r="CE486" s="174"/>
      <x:c r="CF486" s="174"/>
      <x:c r="CG486" s="174"/>
      <x:c r="CH486" s="174"/>
      <x:c r="CI486" s="179"/>
      <x:c r="CJ486" s="174"/>
      <x:c r="CK486" s="174"/>
      <x:c r="CL486" s="174"/>
      <x:c r="CM486" s="174"/>
      <x:c r="CN486" s="174"/>
      <x:c r="CO486" s="177"/>
      <x:c r="CP486" s="174"/>
      <x:c r="CQ486" s="174"/>
      <x:c r="CR486" s="174"/>
      <x:c r="CS486" s="174"/>
      <x:c r="CT486" s="174"/>
      <x:c r="CU486" s="176"/>
      <x:c r="CV486" s="176"/>
      <x:c r="CW486" s="176"/>
      <x:c r="CX486" s="176"/>
      <x:c r="CY486" s="176"/>
      <x:c r="CZ486" s="176"/>
      <x:c r="DA486" s="176"/>
      <x:c r="DB486" s="175" t="str">
        <x:f>IF(L486="","",IF(COUNT(CU486:DA486)&lt;7,"",SUM(CU486:DA486)))</x:f>
      </x:c>
      <x:c r="DC486" s="180" t="str">
        <x:f>IF(DB486="","",ROUND(DB486/14*10,1))</x:f>
      </x:c>
      <x:c r="DD486" s="174"/>
      <x:c r="DE486" s="175" t="str">
        <x:f>IF(L486="","",IF(DC486="","Pending",IF(DD486="Yes","CONDITIONAL — safety override",IF(DC486&gt;=8,"HIGH",IF(DC486&gt;=5,"CONDITIONAL","LOW")))))</x:f>
      </x:c>
      <x:c r="DF486" s="174"/>
      <x:c r="DG486" s="174"/>
      <x:c r="DH486" s="174"/>
      <x:c r="DI486" s="174"/>
      <x:c r="DJ486" s="174"/>
      <x:c r="DK486" s="174"/>
      <x:c r="DL486" s="174"/>
      <x:c r="DM486" s="174"/>
      <x:c r="DN486" s="174"/>
      <x:c r="DO486" s="174"/>
      <x:c r="DP486" s="174"/>
      <x:c r="DQ486" s="174"/>
      <x:c r="DR486" s="174"/>
      <x:c r="DS486" s="174"/>
      <x:c r="DT486" s="174"/>
      <x:c r="DU486" s="174"/>
      <x:c r="DV486" s="174"/>
      <x:c r="DW486" s="174"/>
      <x:c r="DX486" s="174"/>
      <x:c r="DY486" s="174"/>
      <x:c r="DZ486" s="174"/>
      <x:c r="EA486" s="174"/>
      <x:c r="EB486" s="175" t="str">
        <x:f>IF(L486="","",IF(AND(F486="Claim-ready",CJ486="Yes",CL486="Yes",DZ486&lt;&gt;""),"Yes","No / Pending"))</x:f>
      </x:c>
      <x:c r="EC486" s="174"/>
      <x:c r="ED486" s="174"/>
      <x:c r="EE486" s="174"/>
      <x:c r="EF486" s="174"/>
      <x:c r="EG486" s="174"/>
      <x:c r="EH486" s="177"/>
      <x:c r="EI486" s="174"/>
      <x:c r="EJ486" s="174"/>
      <x:c r="EK486" s="174"/>
      <x:c r="EL486" s="177"/>
      <x:c r="EM486" s="174"/>
      <x:c r="EN486" s="181" t="str">
        <x:f>IF(L486="","",(IF(N486&lt;&gt;"",1,0)+IF(O486&lt;&gt;"",1,0)+IF(AJ486&lt;&gt;"",1,0)+IF(AU486&lt;&gt;"",1,0)+IF(BE486&lt;&gt;"",1,0)+IF(CF486&lt;&gt;"",1,0)+IF(CJ486="Yes",1,0)+IF(CL486="Yes",1,0)+IF(DE486&lt;&gt;"Pending",1,0)+IF(F486&lt;&gt;"",1,0)+IF(DZ486&lt;&gt;"",1,0)+IF(EI486&lt;&gt;"",1,0))/12)</x:f>
      </x:c>
    </x:row>
    <x:row r="487">
      <x:c r="A487" s="175" t="str">
        <x:f>IF(L487="","","EV-"&amp;TEXT(ROW()-3,"0000"))</x:f>
      </x:c>
      <x:c r="B487" s="174"/>
      <x:c r="C487" s="175" t="str">
        <x:f>IF(L487="","",IF(OR(CM487="Retracted",CN487="Retracted",F487="Not used"),"🔴 Do not use for conclusion",IF(OR(R487="Official / Institutional",I487="Official / contextual"),"🔵 Official / contextual",IF(OR(I487="Definition",I487="Framework",I487="Paradigm shift"),"🟣 Conceptual key source",IF(AND(CJ487="Yes",CL487="Yes",OR(CG487="High",CG487="Moderate"),CH487&lt;&gt;"High",CH487&lt;&gt;"Critical",F487="Claim-ready"),"🟢 Claim-ready","🟡 Caution / context")))))</x:f>
      </x:c>
      <x:c r="D487" s="174"/>
      <x:c r="E487" s="174"/>
      <x:c r="F487" s="174"/>
      <x:c r="G487" s="174"/>
      <x:c r="H487" s="174"/>
      <x:c r="I487" s="174"/>
      <x:c r="J487" s="174"/>
      <x:c r="K487" s="174"/>
      <x:c r="L487" s="174"/>
      <x:c r="M487" s="174"/>
      <x:c r="N487" s="174"/>
      <x:c r="O487" s="176"/>
      <x:c r="P487" s="174"/>
      <x:c r="Q487" s="174"/>
      <x:c r="R487" s="174"/>
      <x:c r="S487" s="174"/>
      <x:c r="T487" s="174"/>
      <x:c r="U487" s="174"/>
      <x:c r="V487" s="174"/>
      <x:c r="W487" s="175" t="str">
        <x:f>IF(V487="","",LOWER(SUBSTITUTE(SUBSTITUTE(SUBSTITUTE(SUBSTITUTE(TRIM(V487),"https://doi.org/",""),"http://doi.org/",""),"https://dx.doi.org/",""),"doi:","")))</x:f>
      </x:c>
      <x:c r="X487" s="174"/>
      <x:c r="Y487" s="174"/>
      <x:c r="Z487" s="174"/>
      <x:c r="AA487" s="174"/>
      <x:c r="AB487" s="174"/>
      <x:c r="AC487" s="174"/>
      <x:c r="AD487" s="177"/>
      <x:c r="AE487" s="177"/>
      <x:c r="AF487" s="174"/>
      <x:c r="AG487" s="174"/>
      <x:c r="AH487" s="174"/>
      <x:c r="AI487" s="174"/>
      <x:c r="AJ487" s="174"/>
      <x:c r="AK487" s="175" t="str">
        <x:f>IF(AJ487="","",IF(OR(LOWER(AJ487)="brazil",LOWER(AJ487)="brasil"),"Yes","No"))</x:f>
      </x:c>
      <x:c r="AL487" s="174"/>
      <x:c r="AM487" s="174"/>
      <x:c r="AN487" s="174"/>
      <x:c r="AO487" s="178"/>
      <x:c r="AP487" s="174"/>
      <x:c r="AQ487" s="174"/>
      <x:c r="AR487" s="174"/>
      <x:c r="AS487" s="174"/>
      <x:c r="AT487" s="174"/>
      <x:c r="AU487" s="174"/>
      <x:c r="AV487" s="174"/>
      <x:c r="AW487" s="174"/>
      <x:c r="AX487" s="174"/>
      <x:c r="AY487" s="174"/>
      <x:c r="AZ487" s="174"/>
      <x:c r="BA487" s="174"/>
      <x:c r="BB487" s="174"/>
      <x:c r="BC487" s="174"/>
      <x:c r="BD487" s="174"/>
      <x:c r="BE487" s="174"/>
      <x:c r="BF487" s="174"/>
      <x:c r="BG487" s="174"/>
      <x:c r="BH487" s="174"/>
      <x:c r="BI487" s="174"/>
      <x:c r="BJ487" s="174"/>
      <x:c r="BK487" s="174"/>
      <x:c r="BL487" s="174"/>
      <x:c r="BM487" s="174"/>
      <x:c r="BN487" s="174"/>
      <x:c r="BO487" s="174"/>
      <x:c r="BP487" s="174"/>
      <x:c r="BQ487" s="174"/>
      <x:c r="BR487" s="174"/>
      <x:c r="BS487" s="174"/>
      <x:c r="BT487" s="174"/>
      <x:c r="BU487" s="174"/>
      <x:c r="BV487" s="174"/>
      <x:c r="BW487" s="174"/>
      <x:c r="BX487" s="174"/>
      <x:c r="BY487" s="174"/>
      <x:c r="BZ487" s="174"/>
      <x:c r="CA487" s="174"/>
      <x:c r="CB487" s="174"/>
      <x:c r="CC487" s="174"/>
      <x:c r="CD487" s="174"/>
      <x:c r="CE487" s="174"/>
      <x:c r="CF487" s="174"/>
      <x:c r="CG487" s="174"/>
      <x:c r="CH487" s="174"/>
      <x:c r="CI487" s="179"/>
      <x:c r="CJ487" s="174"/>
      <x:c r="CK487" s="174"/>
      <x:c r="CL487" s="174"/>
      <x:c r="CM487" s="174"/>
      <x:c r="CN487" s="174"/>
      <x:c r="CO487" s="177"/>
      <x:c r="CP487" s="174"/>
      <x:c r="CQ487" s="174"/>
      <x:c r="CR487" s="174"/>
      <x:c r="CS487" s="174"/>
      <x:c r="CT487" s="174"/>
      <x:c r="CU487" s="176"/>
      <x:c r="CV487" s="176"/>
      <x:c r="CW487" s="176"/>
      <x:c r="CX487" s="176"/>
      <x:c r="CY487" s="176"/>
      <x:c r="CZ487" s="176"/>
      <x:c r="DA487" s="176"/>
      <x:c r="DB487" s="175" t="str">
        <x:f>IF(L487="","",IF(COUNT(CU487:DA487)&lt;7,"",SUM(CU487:DA487)))</x:f>
      </x:c>
      <x:c r="DC487" s="180" t="str">
        <x:f>IF(DB487="","",ROUND(DB487/14*10,1))</x:f>
      </x:c>
      <x:c r="DD487" s="174"/>
      <x:c r="DE487" s="175" t="str">
        <x:f>IF(L487="","",IF(DC487="","Pending",IF(DD487="Yes","CONDITIONAL — safety override",IF(DC487&gt;=8,"HIGH",IF(DC487&gt;=5,"CONDITIONAL","LOW")))))</x:f>
      </x:c>
      <x:c r="DF487" s="174"/>
      <x:c r="DG487" s="174"/>
      <x:c r="DH487" s="174"/>
      <x:c r="DI487" s="174"/>
      <x:c r="DJ487" s="174"/>
      <x:c r="DK487" s="174"/>
      <x:c r="DL487" s="174"/>
      <x:c r="DM487" s="174"/>
      <x:c r="DN487" s="174"/>
      <x:c r="DO487" s="174"/>
      <x:c r="DP487" s="174"/>
      <x:c r="DQ487" s="174"/>
      <x:c r="DR487" s="174"/>
      <x:c r="DS487" s="174"/>
      <x:c r="DT487" s="174"/>
      <x:c r="DU487" s="174"/>
      <x:c r="DV487" s="174"/>
      <x:c r="DW487" s="174"/>
      <x:c r="DX487" s="174"/>
      <x:c r="DY487" s="174"/>
      <x:c r="DZ487" s="174"/>
      <x:c r="EA487" s="174"/>
      <x:c r="EB487" s="175" t="str">
        <x:f>IF(L487="","",IF(AND(F487="Claim-ready",CJ487="Yes",CL487="Yes",DZ487&lt;&gt;""),"Yes","No / Pending"))</x:f>
      </x:c>
      <x:c r="EC487" s="174"/>
      <x:c r="ED487" s="174"/>
      <x:c r="EE487" s="174"/>
      <x:c r="EF487" s="174"/>
      <x:c r="EG487" s="174"/>
      <x:c r="EH487" s="177"/>
      <x:c r="EI487" s="174"/>
      <x:c r="EJ487" s="174"/>
      <x:c r="EK487" s="174"/>
      <x:c r="EL487" s="177"/>
      <x:c r="EM487" s="174"/>
      <x:c r="EN487" s="181" t="str">
        <x:f>IF(L487="","",(IF(N487&lt;&gt;"",1,0)+IF(O487&lt;&gt;"",1,0)+IF(AJ487&lt;&gt;"",1,0)+IF(AU487&lt;&gt;"",1,0)+IF(BE487&lt;&gt;"",1,0)+IF(CF487&lt;&gt;"",1,0)+IF(CJ487="Yes",1,0)+IF(CL487="Yes",1,0)+IF(DE487&lt;&gt;"Pending",1,0)+IF(F487&lt;&gt;"",1,0)+IF(DZ487&lt;&gt;"",1,0)+IF(EI487&lt;&gt;"",1,0))/12)</x:f>
      </x:c>
    </x:row>
    <x:row r="488">
      <x:c r="A488" s="175" t="str">
        <x:f>IF(L488="","","EV-"&amp;TEXT(ROW()-3,"0000"))</x:f>
      </x:c>
      <x:c r="B488" s="174"/>
      <x:c r="C488" s="175" t="str">
        <x:f>IF(L488="","",IF(OR(CM488="Retracted",CN488="Retracted",F488="Not used"),"🔴 Do not use for conclusion",IF(OR(R488="Official / Institutional",I488="Official / contextual"),"🔵 Official / contextual",IF(OR(I488="Definition",I488="Framework",I488="Paradigm shift"),"🟣 Conceptual key source",IF(AND(CJ488="Yes",CL488="Yes",OR(CG488="High",CG488="Moderate"),CH488&lt;&gt;"High",CH488&lt;&gt;"Critical",F488="Claim-ready"),"🟢 Claim-ready","🟡 Caution / context")))))</x:f>
      </x:c>
      <x:c r="D488" s="174"/>
      <x:c r="E488" s="174"/>
      <x:c r="F488" s="174"/>
      <x:c r="G488" s="174"/>
      <x:c r="H488" s="174"/>
      <x:c r="I488" s="174"/>
      <x:c r="J488" s="174"/>
      <x:c r="K488" s="174"/>
      <x:c r="L488" s="174"/>
      <x:c r="M488" s="174"/>
      <x:c r="N488" s="174"/>
      <x:c r="O488" s="176"/>
      <x:c r="P488" s="174"/>
      <x:c r="Q488" s="174"/>
      <x:c r="R488" s="174"/>
      <x:c r="S488" s="174"/>
      <x:c r="T488" s="174"/>
      <x:c r="U488" s="174"/>
      <x:c r="V488" s="174"/>
      <x:c r="W488" s="175" t="str">
        <x:f>IF(V488="","",LOWER(SUBSTITUTE(SUBSTITUTE(SUBSTITUTE(SUBSTITUTE(TRIM(V488),"https://doi.org/",""),"http://doi.org/",""),"https://dx.doi.org/",""),"doi:","")))</x:f>
      </x:c>
      <x:c r="X488" s="174"/>
      <x:c r="Y488" s="174"/>
      <x:c r="Z488" s="174"/>
      <x:c r="AA488" s="174"/>
      <x:c r="AB488" s="174"/>
      <x:c r="AC488" s="174"/>
      <x:c r="AD488" s="177"/>
      <x:c r="AE488" s="177"/>
      <x:c r="AF488" s="174"/>
      <x:c r="AG488" s="174"/>
      <x:c r="AH488" s="174"/>
      <x:c r="AI488" s="174"/>
      <x:c r="AJ488" s="174"/>
      <x:c r="AK488" s="175" t="str">
        <x:f>IF(AJ488="","",IF(OR(LOWER(AJ488)="brazil",LOWER(AJ488)="brasil"),"Yes","No"))</x:f>
      </x:c>
      <x:c r="AL488" s="174"/>
      <x:c r="AM488" s="174"/>
      <x:c r="AN488" s="174"/>
      <x:c r="AO488" s="178"/>
      <x:c r="AP488" s="174"/>
      <x:c r="AQ488" s="174"/>
      <x:c r="AR488" s="174"/>
      <x:c r="AS488" s="174"/>
      <x:c r="AT488" s="174"/>
      <x:c r="AU488" s="174"/>
      <x:c r="AV488" s="174"/>
      <x:c r="AW488" s="174"/>
      <x:c r="AX488" s="174"/>
      <x:c r="AY488" s="174"/>
      <x:c r="AZ488" s="174"/>
      <x:c r="BA488" s="174"/>
      <x:c r="BB488" s="174"/>
      <x:c r="BC488" s="174"/>
      <x:c r="BD488" s="174"/>
      <x:c r="BE488" s="174"/>
      <x:c r="BF488" s="174"/>
      <x:c r="BG488" s="174"/>
      <x:c r="BH488" s="174"/>
      <x:c r="BI488" s="174"/>
      <x:c r="BJ488" s="174"/>
      <x:c r="BK488" s="174"/>
      <x:c r="BL488" s="174"/>
      <x:c r="BM488" s="174"/>
      <x:c r="BN488" s="174"/>
      <x:c r="BO488" s="174"/>
      <x:c r="BP488" s="174"/>
      <x:c r="BQ488" s="174"/>
      <x:c r="BR488" s="174"/>
      <x:c r="BS488" s="174"/>
      <x:c r="BT488" s="174"/>
      <x:c r="BU488" s="174"/>
      <x:c r="BV488" s="174"/>
      <x:c r="BW488" s="174"/>
      <x:c r="BX488" s="174"/>
      <x:c r="BY488" s="174"/>
      <x:c r="BZ488" s="174"/>
      <x:c r="CA488" s="174"/>
      <x:c r="CB488" s="174"/>
      <x:c r="CC488" s="174"/>
      <x:c r="CD488" s="174"/>
      <x:c r="CE488" s="174"/>
      <x:c r="CF488" s="174"/>
      <x:c r="CG488" s="174"/>
      <x:c r="CH488" s="174"/>
      <x:c r="CI488" s="179"/>
      <x:c r="CJ488" s="174"/>
      <x:c r="CK488" s="174"/>
      <x:c r="CL488" s="174"/>
      <x:c r="CM488" s="174"/>
      <x:c r="CN488" s="174"/>
      <x:c r="CO488" s="177"/>
      <x:c r="CP488" s="174"/>
      <x:c r="CQ488" s="174"/>
      <x:c r="CR488" s="174"/>
      <x:c r="CS488" s="174"/>
      <x:c r="CT488" s="174"/>
      <x:c r="CU488" s="176"/>
      <x:c r="CV488" s="176"/>
      <x:c r="CW488" s="176"/>
      <x:c r="CX488" s="176"/>
      <x:c r="CY488" s="176"/>
      <x:c r="CZ488" s="176"/>
      <x:c r="DA488" s="176"/>
      <x:c r="DB488" s="175" t="str">
        <x:f>IF(L488="","",IF(COUNT(CU488:DA488)&lt;7,"",SUM(CU488:DA488)))</x:f>
      </x:c>
      <x:c r="DC488" s="180" t="str">
        <x:f>IF(DB488="","",ROUND(DB488/14*10,1))</x:f>
      </x:c>
      <x:c r="DD488" s="174"/>
      <x:c r="DE488" s="175" t="str">
        <x:f>IF(L488="","",IF(DC488="","Pending",IF(DD488="Yes","CONDITIONAL — safety override",IF(DC488&gt;=8,"HIGH",IF(DC488&gt;=5,"CONDITIONAL","LOW")))))</x:f>
      </x:c>
      <x:c r="DF488" s="174"/>
      <x:c r="DG488" s="174"/>
      <x:c r="DH488" s="174"/>
      <x:c r="DI488" s="174"/>
      <x:c r="DJ488" s="174"/>
      <x:c r="DK488" s="174"/>
      <x:c r="DL488" s="174"/>
      <x:c r="DM488" s="174"/>
      <x:c r="DN488" s="174"/>
      <x:c r="DO488" s="174"/>
      <x:c r="DP488" s="174"/>
      <x:c r="DQ488" s="174"/>
      <x:c r="DR488" s="174"/>
      <x:c r="DS488" s="174"/>
      <x:c r="DT488" s="174"/>
      <x:c r="DU488" s="174"/>
      <x:c r="DV488" s="174"/>
      <x:c r="DW488" s="174"/>
      <x:c r="DX488" s="174"/>
      <x:c r="DY488" s="174"/>
      <x:c r="DZ488" s="174"/>
      <x:c r="EA488" s="174"/>
      <x:c r="EB488" s="175" t="str">
        <x:f>IF(L488="","",IF(AND(F488="Claim-ready",CJ488="Yes",CL488="Yes",DZ488&lt;&gt;""),"Yes","No / Pending"))</x:f>
      </x:c>
      <x:c r="EC488" s="174"/>
      <x:c r="ED488" s="174"/>
      <x:c r="EE488" s="174"/>
      <x:c r="EF488" s="174"/>
      <x:c r="EG488" s="174"/>
      <x:c r="EH488" s="177"/>
      <x:c r="EI488" s="174"/>
      <x:c r="EJ488" s="174"/>
      <x:c r="EK488" s="174"/>
      <x:c r="EL488" s="177"/>
      <x:c r="EM488" s="174"/>
      <x:c r="EN488" s="181" t="str">
        <x:f>IF(L488="","",(IF(N488&lt;&gt;"",1,0)+IF(O488&lt;&gt;"",1,0)+IF(AJ488&lt;&gt;"",1,0)+IF(AU488&lt;&gt;"",1,0)+IF(BE488&lt;&gt;"",1,0)+IF(CF488&lt;&gt;"",1,0)+IF(CJ488="Yes",1,0)+IF(CL488="Yes",1,0)+IF(DE488&lt;&gt;"Pending",1,0)+IF(F488&lt;&gt;"",1,0)+IF(DZ488&lt;&gt;"",1,0)+IF(EI488&lt;&gt;"",1,0))/12)</x:f>
      </x:c>
    </x:row>
    <x:row r="489">
      <x:c r="A489" s="175" t="str">
        <x:f>IF(L489="","","EV-"&amp;TEXT(ROW()-3,"0000"))</x:f>
      </x:c>
      <x:c r="B489" s="174"/>
      <x:c r="C489" s="175" t="str">
        <x:f>IF(L489="","",IF(OR(CM489="Retracted",CN489="Retracted",F489="Not used"),"🔴 Do not use for conclusion",IF(OR(R489="Official / Institutional",I489="Official / contextual"),"🔵 Official / contextual",IF(OR(I489="Definition",I489="Framework",I489="Paradigm shift"),"🟣 Conceptual key source",IF(AND(CJ489="Yes",CL489="Yes",OR(CG489="High",CG489="Moderate"),CH489&lt;&gt;"High",CH489&lt;&gt;"Critical",F489="Claim-ready"),"🟢 Claim-ready","🟡 Caution / context")))))</x:f>
      </x:c>
      <x:c r="D489" s="174"/>
      <x:c r="E489" s="174"/>
      <x:c r="F489" s="174"/>
      <x:c r="G489" s="174"/>
      <x:c r="H489" s="174"/>
      <x:c r="I489" s="174"/>
      <x:c r="J489" s="174"/>
      <x:c r="K489" s="174"/>
      <x:c r="L489" s="174"/>
      <x:c r="M489" s="174"/>
      <x:c r="N489" s="174"/>
      <x:c r="O489" s="176"/>
      <x:c r="P489" s="174"/>
      <x:c r="Q489" s="174"/>
      <x:c r="R489" s="174"/>
      <x:c r="S489" s="174"/>
      <x:c r="T489" s="174"/>
      <x:c r="U489" s="174"/>
      <x:c r="V489" s="174"/>
      <x:c r="W489" s="175" t="str">
        <x:f>IF(V489="","",LOWER(SUBSTITUTE(SUBSTITUTE(SUBSTITUTE(SUBSTITUTE(TRIM(V489),"https://doi.org/",""),"http://doi.org/",""),"https://dx.doi.org/",""),"doi:","")))</x:f>
      </x:c>
      <x:c r="X489" s="174"/>
      <x:c r="Y489" s="174"/>
      <x:c r="Z489" s="174"/>
      <x:c r="AA489" s="174"/>
      <x:c r="AB489" s="174"/>
      <x:c r="AC489" s="174"/>
      <x:c r="AD489" s="177"/>
      <x:c r="AE489" s="177"/>
      <x:c r="AF489" s="174"/>
      <x:c r="AG489" s="174"/>
      <x:c r="AH489" s="174"/>
      <x:c r="AI489" s="174"/>
      <x:c r="AJ489" s="174"/>
      <x:c r="AK489" s="175" t="str">
        <x:f>IF(AJ489="","",IF(OR(LOWER(AJ489)="brazil",LOWER(AJ489)="brasil"),"Yes","No"))</x:f>
      </x:c>
      <x:c r="AL489" s="174"/>
      <x:c r="AM489" s="174"/>
      <x:c r="AN489" s="174"/>
      <x:c r="AO489" s="178"/>
      <x:c r="AP489" s="174"/>
      <x:c r="AQ489" s="174"/>
      <x:c r="AR489" s="174"/>
      <x:c r="AS489" s="174"/>
      <x:c r="AT489" s="174"/>
      <x:c r="AU489" s="174"/>
      <x:c r="AV489" s="174"/>
      <x:c r="AW489" s="174"/>
      <x:c r="AX489" s="174"/>
      <x:c r="AY489" s="174"/>
      <x:c r="AZ489" s="174"/>
      <x:c r="BA489" s="174"/>
      <x:c r="BB489" s="174"/>
      <x:c r="BC489" s="174"/>
      <x:c r="BD489" s="174"/>
      <x:c r="BE489" s="174"/>
      <x:c r="BF489" s="174"/>
      <x:c r="BG489" s="174"/>
      <x:c r="BH489" s="174"/>
      <x:c r="BI489" s="174"/>
      <x:c r="BJ489" s="174"/>
      <x:c r="BK489" s="174"/>
      <x:c r="BL489" s="174"/>
      <x:c r="BM489" s="174"/>
      <x:c r="BN489" s="174"/>
      <x:c r="BO489" s="174"/>
      <x:c r="BP489" s="174"/>
      <x:c r="BQ489" s="174"/>
      <x:c r="BR489" s="174"/>
      <x:c r="BS489" s="174"/>
      <x:c r="BT489" s="174"/>
      <x:c r="BU489" s="174"/>
      <x:c r="BV489" s="174"/>
      <x:c r="BW489" s="174"/>
      <x:c r="BX489" s="174"/>
      <x:c r="BY489" s="174"/>
      <x:c r="BZ489" s="174"/>
      <x:c r="CA489" s="174"/>
      <x:c r="CB489" s="174"/>
      <x:c r="CC489" s="174"/>
      <x:c r="CD489" s="174"/>
      <x:c r="CE489" s="174"/>
      <x:c r="CF489" s="174"/>
      <x:c r="CG489" s="174"/>
      <x:c r="CH489" s="174"/>
      <x:c r="CI489" s="179"/>
      <x:c r="CJ489" s="174"/>
      <x:c r="CK489" s="174"/>
      <x:c r="CL489" s="174"/>
      <x:c r="CM489" s="174"/>
      <x:c r="CN489" s="174"/>
      <x:c r="CO489" s="177"/>
      <x:c r="CP489" s="174"/>
      <x:c r="CQ489" s="174"/>
      <x:c r="CR489" s="174"/>
      <x:c r="CS489" s="174"/>
      <x:c r="CT489" s="174"/>
      <x:c r="CU489" s="176"/>
      <x:c r="CV489" s="176"/>
      <x:c r="CW489" s="176"/>
      <x:c r="CX489" s="176"/>
      <x:c r="CY489" s="176"/>
      <x:c r="CZ489" s="176"/>
      <x:c r="DA489" s="176"/>
      <x:c r="DB489" s="175" t="str">
        <x:f>IF(L489="","",IF(COUNT(CU489:DA489)&lt;7,"",SUM(CU489:DA489)))</x:f>
      </x:c>
      <x:c r="DC489" s="180" t="str">
        <x:f>IF(DB489="","",ROUND(DB489/14*10,1))</x:f>
      </x:c>
      <x:c r="DD489" s="174"/>
      <x:c r="DE489" s="175" t="str">
        <x:f>IF(L489="","",IF(DC489="","Pending",IF(DD489="Yes","CONDITIONAL — safety override",IF(DC489&gt;=8,"HIGH",IF(DC489&gt;=5,"CONDITIONAL","LOW")))))</x:f>
      </x:c>
      <x:c r="DF489" s="174"/>
      <x:c r="DG489" s="174"/>
      <x:c r="DH489" s="174"/>
      <x:c r="DI489" s="174"/>
      <x:c r="DJ489" s="174"/>
      <x:c r="DK489" s="174"/>
      <x:c r="DL489" s="174"/>
      <x:c r="DM489" s="174"/>
      <x:c r="DN489" s="174"/>
      <x:c r="DO489" s="174"/>
      <x:c r="DP489" s="174"/>
      <x:c r="DQ489" s="174"/>
      <x:c r="DR489" s="174"/>
      <x:c r="DS489" s="174"/>
      <x:c r="DT489" s="174"/>
      <x:c r="DU489" s="174"/>
      <x:c r="DV489" s="174"/>
      <x:c r="DW489" s="174"/>
      <x:c r="DX489" s="174"/>
      <x:c r="DY489" s="174"/>
      <x:c r="DZ489" s="174"/>
      <x:c r="EA489" s="174"/>
      <x:c r="EB489" s="175" t="str">
        <x:f>IF(L489="","",IF(AND(F489="Claim-ready",CJ489="Yes",CL489="Yes",DZ489&lt;&gt;""),"Yes","No / Pending"))</x:f>
      </x:c>
      <x:c r="EC489" s="174"/>
      <x:c r="ED489" s="174"/>
      <x:c r="EE489" s="174"/>
      <x:c r="EF489" s="174"/>
      <x:c r="EG489" s="174"/>
      <x:c r="EH489" s="177"/>
      <x:c r="EI489" s="174"/>
      <x:c r="EJ489" s="174"/>
      <x:c r="EK489" s="174"/>
      <x:c r="EL489" s="177"/>
      <x:c r="EM489" s="174"/>
      <x:c r="EN489" s="181" t="str">
        <x:f>IF(L489="","",(IF(N489&lt;&gt;"",1,0)+IF(O489&lt;&gt;"",1,0)+IF(AJ489&lt;&gt;"",1,0)+IF(AU489&lt;&gt;"",1,0)+IF(BE489&lt;&gt;"",1,0)+IF(CF489&lt;&gt;"",1,0)+IF(CJ489="Yes",1,0)+IF(CL489="Yes",1,0)+IF(DE489&lt;&gt;"Pending",1,0)+IF(F489&lt;&gt;"",1,0)+IF(DZ489&lt;&gt;"",1,0)+IF(EI489&lt;&gt;"",1,0))/12)</x:f>
      </x:c>
    </x:row>
    <x:row r="490">
      <x:c r="A490" s="175" t="str">
        <x:f>IF(L490="","","EV-"&amp;TEXT(ROW()-3,"0000"))</x:f>
      </x:c>
      <x:c r="B490" s="174"/>
      <x:c r="C490" s="175" t="str">
        <x:f>IF(L490="","",IF(OR(CM490="Retracted",CN490="Retracted",F490="Not used"),"🔴 Do not use for conclusion",IF(OR(R490="Official / Institutional",I490="Official / contextual"),"🔵 Official / contextual",IF(OR(I490="Definition",I490="Framework",I490="Paradigm shift"),"🟣 Conceptual key source",IF(AND(CJ490="Yes",CL490="Yes",OR(CG490="High",CG490="Moderate"),CH490&lt;&gt;"High",CH490&lt;&gt;"Critical",F490="Claim-ready"),"🟢 Claim-ready","🟡 Caution / context")))))</x:f>
      </x:c>
      <x:c r="D490" s="174"/>
      <x:c r="E490" s="174"/>
      <x:c r="F490" s="174"/>
      <x:c r="G490" s="174"/>
      <x:c r="H490" s="174"/>
      <x:c r="I490" s="174"/>
      <x:c r="J490" s="174"/>
      <x:c r="K490" s="174"/>
      <x:c r="L490" s="174"/>
      <x:c r="M490" s="174"/>
      <x:c r="N490" s="174"/>
      <x:c r="O490" s="176"/>
      <x:c r="P490" s="174"/>
      <x:c r="Q490" s="174"/>
      <x:c r="R490" s="174"/>
      <x:c r="S490" s="174"/>
      <x:c r="T490" s="174"/>
      <x:c r="U490" s="174"/>
      <x:c r="V490" s="174"/>
      <x:c r="W490" s="175" t="str">
        <x:f>IF(V490="","",LOWER(SUBSTITUTE(SUBSTITUTE(SUBSTITUTE(SUBSTITUTE(TRIM(V490),"https://doi.org/",""),"http://doi.org/",""),"https://dx.doi.org/",""),"doi:","")))</x:f>
      </x:c>
      <x:c r="X490" s="174"/>
      <x:c r="Y490" s="174"/>
      <x:c r="Z490" s="174"/>
      <x:c r="AA490" s="174"/>
      <x:c r="AB490" s="174"/>
      <x:c r="AC490" s="174"/>
      <x:c r="AD490" s="177"/>
      <x:c r="AE490" s="177"/>
      <x:c r="AF490" s="174"/>
      <x:c r="AG490" s="174"/>
      <x:c r="AH490" s="174"/>
      <x:c r="AI490" s="174"/>
      <x:c r="AJ490" s="174"/>
      <x:c r="AK490" s="175" t="str">
        <x:f>IF(AJ490="","",IF(OR(LOWER(AJ490)="brazil",LOWER(AJ490)="brasil"),"Yes","No"))</x:f>
      </x:c>
      <x:c r="AL490" s="174"/>
      <x:c r="AM490" s="174"/>
      <x:c r="AN490" s="174"/>
      <x:c r="AO490" s="178"/>
      <x:c r="AP490" s="174"/>
      <x:c r="AQ490" s="174"/>
      <x:c r="AR490" s="174"/>
      <x:c r="AS490" s="174"/>
      <x:c r="AT490" s="174"/>
      <x:c r="AU490" s="174"/>
      <x:c r="AV490" s="174"/>
      <x:c r="AW490" s="174"/>
      <x:c r="AX490" s="174"/>
      <x:c r="AY490" s="174"/>
      <x:c r="AZ490" s="174"/>
      <x:c r="BA490" s="174"/>
      <x:c r="BB490" s="174"/>
      <x:c r="BC490" s="174"/>
      <x:c r="BD490" s="174"/>
      <x:c r="BE490" s="174"/>
      <x:c r="BF490" s="174"/>
      <x:c r="BG490" s="174"/>
      <x:c r="BH490" s="174"/>
      <x:c r="BI490" s="174"/>
      <x:c r="BJ490" s="174"/>
      <x:c r="BK490" s="174"/>
      <x:c r="BL490" s="174"/>
      <x:c r="BM490" s="174"/>
      <x:c r="BN490" s="174"/>
      <x:c r="BO490" s="174"/>
      <x:c r="BP490" s="174"/>
      <x:c r="BQ490" s="174"/>
      <x:c r="BR490" s="174"/>
      <x:c r="BS490" s="174"/>
      <x:c r="BT490" s="174"/>
      <x:c r="BU490" s="174"/>
      <x:c r="BV490" s="174"/>
      <x:c r="BW490" s="174"/>
      <x:c r="BX490" s="174"/>
      <x:c r="BY490" s="174"/>
      <x:c r="BZ490" s="174"/>
      <x:c r="CA490" s="174"/>
      <x:c r="CB490" s="174"/>
      <x:c r="CC490" s="174"/>
      <x:c r="CD490" s="174"/>
      <x:c r="CE490" s="174"/>
      <x:c r="CF490" s="174"/>
      <x:c r="CG490" s="174"/>
      <x:c r="CH490" s="174"/>
      <x:c r="CI490" s="179"/>
      <x:c r="CJ490" s="174"/>
      <x:c r="CK490" s="174"/>
      <x:c r="CL490" s="174"/>
      <x:c r="CM490" s="174"/>
      <x:c r="CN490" s="174"/>
      <x:c r="CO490" s="177"/>
      <x:c r="CP490" s="174"/>
      <x:c r="CQ490" s="174"/>
      <x:c r="CR490" s="174"/>
      <x:c r="CS490" s="174"/>
      <x:c r="CT490" s="174"/>
      <x:c r="CU490" s="176"/>
      <x:c r="CV490" s="176"/>
      <x:c r="CW490" s="176"/>
      <x:c r="CX490" s="176"/>
      <x:c r="CY490" s="176"/>
      <x:c r="CZ490" s="176"/>
      <x:c r="DA490" s="176"/>
      <x:c r="DB490" s="175" t="str">
        <x:f>IF(L490="","",IF(COUNT(CU490:DA490)&lt;7,"",SUM(CU490:DA490)))</x:f>
      </x:c>
      <x:c r="DC490" s="180" t="str">
        <x:f>IF(DB490="","",ROUND(DB490/14*10,1))</x:f>
      </x:c>
      <x:c r="DD490" s="174"/>
      <x:c r="DE490" s="175" t="str">
        <x:f>IF(L490="","",IF(DC490="","Pending",IF(DD490="Yes","CONDITIONAL — safety override",IF(DC490&gt;=8,"HIGH",IF(DC490&gt;=5,"CONDITIONAL","LOW")))))</x:f>
      </x:c>
      <x:c r="DF490" s="174"/>
      <x:c r="DG490" s="174"/>
      <x:c r="DH490" s="174"/>
      <x:c r="DI490" s="174"/>
      <x:c r="DJ490" s="174"/>
      <x:c r="DK490" s="174"/>
      <x:c r="DL490" s="174"/>
      <x:c r="DM490" s="174"/>
      <x:c r="DN490" s="174"/>
      <x:c r="DO490" s="174"/>
      <x:c r="DP490" s="174"/>
      <x:c r="DQ490" s="174"/>
      <x:c r="DR490" s="174"/>
      <x:c r="DS490" s="174"/>
      <x:c r="DT490" s="174"/>
      <x:c r="DU490" s="174"/>
      <x:c r="DV490" s="174"/>
      <x:c r="DW490" s="174"/>
      <x:c r="DX490" s="174"/>
      <x:c r="DY490" s="174"/>
      <x:c r="DZ490" s="174"/>
      <x:c r="EA490" s="174"/>
      <x:c r="EB490" s="175" t="str">
        <x:f>IF(L490="","",IF(AND(F490="Claim-ready",CJ490="Yes",CL490="Yes",DZ490&lt;&gt;""),"Yes","No / Pending"))</x:f>
      </x:c>
      <x:c r="EC490" s="174"/>
      <x:c r="ED490" s="174"/>
      <x:c r="EE490" s="174"/>
      <x:c r="EF490" s="174"/>
      <x:c r="EG490" s="174"/>
      <x:c r="EH490" s="177"/>
      <x:c r="EI490" s="174"/>
      <x:c r="EJ490" s="174"/>
      <x:c r="EK490" s="174"/>
      <x:c r="EL490" s="177"/>
      <x:c r="EM490" s="174"/>
      <x:c r="EN490" s="181" t="str">
        <x:f>IF(L490="","",(IF(N490&lt;&gt;"",1,0)+IF(O490&lt;&gt;"",1,0)+IF(AJ490&lt;&gt;"",1,0)+IF(AU490&lt;&gt;"",1,0)+IF(BE490&lt;&gt;"",1,0)+IF(CF490&lt;&gt;"",1,0)+IF(CJ490="Yes",1,0)+IF(CL490="Yes",1,0)+IF(DE490&lt;&gt;"Pending",1,0)+IF(F490&lt;&gt;"",1,0)+IF(DZ490&lt;&gt;"",1,0)+IF(EI490&lt;&gt;"",1,0))/12)</x:f>
      </x:c>
    </x:row>
    <x:row r="491">
      <x:c r="A491" s="175" t="str">
        <x:f>IF(L491="","","EV-"&amp;TEXT(ROW()-3,"0000"))</x:f>
      </x:c>
      <x:c r="B491" s="174"/>
      <x:c r="C491" s="175" t="str">
        <x:f>IF(L491="","",IF(OR(CM491="Retracted",CN491="Retracted",F491="Not used"),"🔴 Do not use for conclusion",IF(OR(R491="Official / Institutional",I491="Official / contextual"),"🔵 Official / contextual",IF(OR(I491="Definition",I491="Framework",I491="Paradigm shift"),"🟣 Conceptual key source",IF(AND(CJ491="Yes",CL491="Yes",OR(CG491="High",CG491="Moderate"),CH491&lt;&gt;"High",CH491&lt;&gt;"Critical",F491="Claim-ready"),"🟢 Claim-ready","🟡 Caution / context")))))</x:f>
      </x:c>
      <x:c r="D491" s="174"/>
      <x:c r="E491" s="174"/>
      <x:c r="F491" s="174"/>
      <x:c r="G491" s="174"/>
      <x:c r="H491" s="174"/>
      <x:c r="I491" s="174"/>
      <x:c r="J491" s="174"/>
      <x:c r="K491" s="174"/>
      <x:c r="L491" s="174"/>
      <x:c r="M491" s="174"/>
      <x:c r="N491" s="174"/>
      <x:c r="O491" s="176"/>
      <x:c r="P491" s="174"/>
      <x:c r="Q491" s="174"/>
      <x:c r="R491" s="174"/>
      <x:c r="S491" s="174"/>
      <x:c r="T491" s="174"/>
      <x:c r="U491" s="174"/>
      <x:c r="V491" s="174"/>
      <x:c r="W491" s="175" t="str">
        <x:f>IF(V491="","",LOWER(SUBSTITUTE(SUBSTITUTE(SUBSTITUTE(SUBSTITUTE(TRIM(V491),"https://doi.org/",""),"http://doi.org/",""),"https://dx.doi.org/",""),"doi:","")))</x:f>
      </x:c>
      <x:c r="X491" s="174"/>
      <x:c r="Y491" s="174"/>
      <x:c r="Z491" s="174"/>
      <x:c r="AA491" s="174"/>
      <x:c r="AB491" s="174"/>
      <x:c r="AC491" s="174"/>
      <x:c r="AD491" s="177"/>
      <x:c r="AE491" s="177"/>
      <x:c r="AF491" s="174"/>
      <x:c r="AG491" s="174"/>
      <x:c r="AH491" s="174"/>
      <x:c r="AI491" s="174"/>
      <x:c r="AJ491" s="174"/>
      <x:c r="AK491" s="175" t="str">
        <x:f>IF(AJ491="","",IF(OR(LOWER(AJ491)="brazil",LOWER(AJ491)="brasil"),"Yes","No"))</x:f>
      </x:c>
      <x:c r="AL491" s="174"/>
      <x:c r="AM491" s="174"/>
      <x:c r="AN491" s="174"/>
      <x:c r="AO491" s="178"/>
      <x:c r="AP491" s="174"/>
      <x:c r="AQ491" s="174"/>
      <x:c r="AR491" s="174"/>
      <x:c r="AS491" s="174"/>
      <x:c r="AT491" s="174"/>
      <x:c r="AU491" s="174"/>
      <x:c r="AV491" s="174"/>
      <x:c r="AW491" s="174"/>
      <x:c r="AX491" s="174"/>
      <x:c r="AY491" s="174"/>
      <x:c r="AZ491" s="174"/>
      <x:c r="BA491" s="174"/>
      <x:c r="BB491" s="174"/>
      <x:c r="BC491" s="174"/>
      <x:c r="BD491" s="174"/>
      <x:c r="BE491" s="174"/>
      <x:c r="BF491" s="174"/>
      <x:c r="BG491" s="174"/>
      <x:c r="BH491" s="174"/>
      <x:c r="BI491" s="174"/>
      <x:c r="BJ491" s="174"/>
      <x:c r="BK491" s="174"/>
      <x:c r="BL491" s="174"/>
      <x:c r="BM491" s="174"/>
      <x:c r="BN491" s="174"/>
      <x:c r="BO491" s="174"/>
      <x:c r="BP491" s="174"/>
      <x:c r="BQ491" s="174"/>
      <x:c r="BR491" s="174"/>
      <x:c r="BS491" s="174"/>
      <x:c r="BT491" s="174"/>
      <x:c r="BU491" s="174"/>
      <x:c r="BV491" s="174"/>
      <x:c r="BW491" s="174"/>
      <x:c r="BX491" s="174"/>
      <x:c r="BY491" s="174"/>
      <x:c r="BZ491" s="174"/>
      <x:c r="CA491" s="174"/>
      <x:c r="CB491" s="174"/>
      <x:c r="CC491" s="174"/>
      <x:c r="CD491" s="174"/>
      <x:c r="CE491" s="174"/>
      <x:c r="CF491" s="174"/>
      <x:c r="CG491" s="174"/>
      <x:c r="CH491" s="174"/>
      <x:c r="CI491" s="179"/>
      <x:c r="CJ491" s="174"/>
      <x:c r="CK491" s="174"/>
      <x:c r="CL491" s="174"/>
      <x:c r="CM491" s="174"/>
      <x:c r="CN491" s="174"/>
      <x:c r="CO491" s="177"/>
      <x:c r="CP491" s="174"/>
      <x:c r="CQ491" s="174"/>
      <x:c r="CR491" s="174"/>
      <x:c r="CS491" s="174"/>
      <x:c r="CT491" s="174"/>
      <x:c r="CU491" s="176"/>
      <x:c r="CV491" s="176"/>
      <x:c r="CW491" s="176"/>
      <x:c r="CX491" s="176"/>
      <x:c r="CY491" s="176"/>
      <x:c r="CZ491" s="176"/>
      <x:c r="DA491" s="176"/>
      <x:c r="DB491" s="175" t="str">
        <x:f>IF(L491="","",IF(COUNT(CU491:DA491)&lt;7,"",SUM(CU491:DA491)))</x:f>
      </x:c>
      <x:c r="DC491" s="180" t="str">
        <x:f>IF(DB491="","",ROUND(DB491/14*10,1))</x:f>
      </x:c>
      <x:c r="DD491" s="174"/>
      <x:c r="DE491" s="175" t="str">
        <x:f>IF(L491="","",IF(DC491="","Pending",IF(DD491="Yes","CONDITIONAL — safety override",IF(DC491&gt;=8,"HIGH",IF(DC491&gt;=5,"CONDITIONAL","LOW")))))</x:f>
      </x:c>
      <x:c r="DF491" s="174"/>
      <x:c r="DG491" s="174"/>
      <x:c r="DH491" s="174"/>
      <x:c r="DI491" s="174"/>
      <x:c r="DJ491" s="174"/>
      <x:c r="DK491" s="174"/>
      <x:c r="DL491" s="174"/>
      <x:c r="DM491" s="174"/>
      <x:c r="DN491" s="174"/>
      <x:c r="DO491" s="174"/>
      <x:c r="DP491" s="174"/>
      <x:c r="DQ491" s="174"/>
      <x:c r="DR491" s="174"/>
      <x:c r="DS491" s="174"/>
      <x:c r="DT491" s="174"/>
      <x:c r="DU491" s="174"/>
      <x:c r="DV491" s="174"/>
      <x:c r="DW491" s="174"/>
      <x:c r="DX491" s="174"/>
      <x:c r="DY491" s="174"/>
      <x:c r="DZ491" s="174"/>
      <x:c r="EA491" s="174"/>
      <x:c r="EB491" s="175" t="str">
        <x:f>IF(L491="","",IF(AND(F491="Claim-ready",CJ491="Yes",CL491="Yes",DZ491&lt;&gt;""),"Yes","No / Pending"))</x:f>
      </x:c>
      <x:c r="EC491" s="174"/>
      <x:c r="ED491" s="174"/>
      <x:c r="EE491" s="174"/>
      <x:c r="EF491" s="174"/>
      <x:c r="EG491" s="174"/>
      <x:c r="EH491" s="177"/>
      <x:c r="EI491" s="174"/>
      <x:c r="EJ491" s="174"/>
      <x:c r="EK491" s="174"/>
      <x:c r="EL491" s="177"/>
      <x:c r="EM491" s="174"/>
      <x:c r="EN491" s="181" t="str">
        <x:f>IF(L491="","",(IF(N491&lt;&gt;"",1,0)+IF(O491&lt;&gt;"",1,0)+IF(AJ491&lt;&gt;"",1,0)+IF(AU491&lt;&gt;"",1,0)+IF(BE491&lt;&gt;"",1,0)+IF(CF491&lt;&gt;"",1,0)+IF(CJ491="Yes",1,0)+IF(CL491="Yes",1,0)+IF(DE491&lt;&gt;"Pending",1,0)+IF(F491&lt;&gt;"",1,0)+IF(DZ491&lt;&gt;"",1,0)+IF(EI491&lt;&gt;"",1,0))/12)</x:f>
      </x:c>
    </x:row>
    <x:row r="492">
      <x:c r="A492" s="175" t="str">
        <x:f>IF(L492="","","EV-"&amp;TEXT(ROW()-3,"0000"))</x:f>
      </x:c>
      <x:c r="B492" s="174"/>
      <x:c r="C492" s="175" t="str">
        <x:f>IF(L492="","",IF(OR(CM492="Retracted",CN492="Retracted",F492="Not used"),"🔴 Do not use for conclusion",IF(OR(R492="Official / Institutional",I492="Official / contextual"),"🔵 Official / contextual",IF(OR(I492="Definition",I492="Framework",I492="Paradigm shift"),"🟣 Conceptual key source",IF(AND(CJ492="Yes",CL492="Yes",OR(CG492="High",CG492="Moderate"),CH492&lt;&gt;"High",CH492&lt;&gt;"Critical",F492="Claim-ready"),"🟢 Claim-ready","🟡 Caution / context")))))</x:f>
      </x:c>
      <x:c r="D492" s="174"/>
      <x:c r="E492" s="174"/>
      <x:c r="F492" s="174"/>
      <x:c r="G492" s="174"/>
      <x:c r="H492" s="174"/>
      <x:c r="I492" s="174"/>
      <x:c r="J492" s="174"/>
      <x:c r="K492" s="174"/>
      <x:c r="L492" s="174"/>
      <x:c r="M492" s="174"/>
      <x:c r="N492" s="174"/>
      <x:c r="O492" s="176"/>
      <x:c r="P492" s="174"/>
      <x:c r="Q492" s="174"/>
      <x:c r="R492" s="174"/>
      <x:c r="S492" s="174"/>
      <x:c r="T492" s="174"/>
      <x:c r="U492" s="174"/>
      <x:c r="V492" s="174"/>
      <x:c r="W492" s="175" t="str">
        <x:f>IF(V492="","",LOWER(SUBSTITUTE(SUBSTITUTE(SUBSTITUTE(SUBSTITUTE(TRIM(V492),"https://doi.org/",""),"http://doi.org/",""),"https://dx.doi.org/",""),"doi:","")))</x:f>
      </x:c>
      <x:c r="X492" s="174"/>
      <x:c r="Y492" s="174"/>
      <x:c r="Z492" s="174"/>
      <x:c r="AA492" s="174"/>
      <x:c r="AB492" s="174"/>
      <x:c r="AC492" s="174"/>
      <x:c r="AD492" s="177"/>
      <x:c r="AE492" s="177"/>
      <x:c r="AF492" s="174"/>
      <x:c r="AG492" s="174"/>
      <x:c r="AH492" s="174"/>
      <x:c r="AI492" s="174"/>
      <x:c r="AJ492" s="174"/>
      <x:c r="AK492" s="175" t="str">
        <x:f>IF(AJ492="","",IF(OR(LOWER(AJ492)="brazil",LOWER(AJ492)="brasil"),"Yes","No"))</x:f>
      </x:c>
      <x:c r="AL492" s="174"/>
      <x:c r="AM492" s="174"/>
      <x:c r="AN492" s="174"/>
      <x:c r="AO492" s="178"/>
      <x:c r="AP492" s="174"/>
      <x:c r="AQ492" s="174"/>
      <x:c r="AR492" s="174"/>
      <x:c r="AS492" s="174"/>
      <x:c r="AT492" s="174"/>
      <x:c r="AU492" s="174"/>
      <x:c r="AV492" s="174"/>
      <x:c r="AW492" s="174"/>
      <x:c r="AX492" s="174"/>
      <x:c r="AY492" s="174"/>
      <x:c r="AZ492" s="174"/>
      <x:c r="BA492" s="174"/>
      <x:c r="BB492" s="174"/>
      <x:c r="BC492" s="174"/>
      <x:c r="BD492" s="174"/>
      <x:c r="BE492" s="174"/>
      <x:c r="BF492" s="174"/>
      <x:c r="BG492" s="174"/>
      <x:c r="BH492" s="174"/>
      <x:c r="BI492" s="174"/>
      <x:c r="BJ492" s="174"/>
      <x:c r="BK492" s="174"/>
      <x:c r="BL492" s="174"/>
      <x:c r="BM492" s="174"/>
      <x:c r="BN492" s="174"/>
      <x:c r="BO492" s="174"/>
      <x:c r="BP492" s="174"/>
      <x:c r="BQ492" s="174"/>
      <x:c r="BR492" s="174"/>
      <x:c r="BS492" s="174"/>
      <x:c r="BT492" s="174"/>
      <x:c r="BU492" s="174"/>
      <x:c r="BV492" s="174"/>
      <x:c r="BW492" s="174"/>
      <x:c r="BX492" s="174"/>
      <x:c r="BY492" s="174"/>
      <x:c r="BZ492" s="174"/>
      <x:c r="CA492" s="174"/>
      <x:c r="CB492" s="174"/>
      <x:c r="CC492" s="174"/>
      <x:c r="CD492" s="174"/>
      <x:c r="CE492" s="174"/>
      <x:c r="CF492" s="174"/>
      <x:c r="CG492" s="174"/>
      <x:c r="CH492" s="174"/>
      <x:c r="CI492" s="179"/>
      <x:c r="CJ492" s="174"/>
      <x:c r="CK492" s="174"/>
      <x:c r="CL492" s="174"/>
      <x:c r="CM492" s="174"/>
      <x:c r="CN492" s="174"/>
      <x:c r="CO492" s="177"/>
      <x:c r="CP492" s="174"/>
      <x:c r="CQ492" s="174"/>
      <x:c r="CR492" s="174"/>
      <x:c r="CS492" s="174"/>
      <x:c r="CT492" s="174"/>
      <x:c r="CU492" s="176"/>
      <x:c r="CV492" s="176"/>
      <x:c r="CW492" s="176"/>
      <x:c r="CX492" s="176"/>
      <x:c r="CY492" s="176"/>
      <x:c r="CZ492" s="176"/>
      <x:c r="DA492" s="176"/>
      <x:c r="DB492" s="175" t="str">
        <x:f>IF(L492="","",IF(COUNT(CU492:DA492)&lt;7,"",SUM(CU492:DA492)))</x:f>
      </x:c>
      <x:c r="DC492" s="180" t="str">
        <x:f>IF(DB492="","",ROUND(DB492/14*10,1))</x:f>
      </x:c>
      <x:c r="DD492" s="174"/>
      <x:c r="DE492" s="175" t="str">
        <x:f>IF(L492="","",IF(DC492="","Pending",IF(DD492="Yes","CONDITIONAL — safety override",IF(DC492&gt;=8,"HIGH",IF(DC492&gt;=5,"CONDITIONAL","LOW")))))</x:f>
      </x:c>
      <x:c r="DF492" s="174"/>
      <x:c r="DG492" s="174"/>
      <x:c r="DH492" s="174"/>
      <x:c r="DI492" s="174"/>
      <x:c r="DJ492" s="174"/>
      <x:c r="DK492" s="174"/>
      <x:c r="DL492" s="174"/>
      <x:c r="DM492" s="174"/>
      <x:c r="DN492" s="174"/>
      <x:c r="DO492" s="174"/>
      <x:c r="DP492" s="174"/>
      <x:c r="DQ492" s="174"/>
      <x:c r="DR492" s="174"/>
      <x:c r="DS492" s="174"/>
      <x:c r="DT492" s="174"/>
      <x:c r="DU492" s="174"/>
      <x:c r="DV492" s="174"/>
      <x:c r="DW492" s="174"/>
      <x:c r="DX492" s="174"/>
      <x:c r="DY492" s="174"/>
      <x:c r="DZ492" s="174"/>
      <x:c r="EA492" s="174"/>
      <x:c r="EB492" s="175" t="str">
        <x:f>IF(L492="","",IF(AND(F492="Claim-ready",CJ492="Yes",CL492="Yes",DZ492&lt;&gt;""),"Yes","No / Pending"))</x:f>
      </x:c>
      <x:c r="EC492" s="174"/>
      <x:c r="ED492" s="174"/>
      <x:c r="EE492" s="174"/>
      <x:c r="EF492" s="174"/>
      <x:c r="EG492" s="174"/>
      <x:c r="EH492" s="177"/>
      <x:c r="EI492" s="174"/>
      <x:c r="EJ492" s="174"/>
      <x:c r="EK492" s="174"/>
      <x:c r="EL492" s="177"/>
      <x:c r="EM492" s="174"/>
      <x:c r="EN492" s="181" t="str">
        <x:f>IF(L492="","",(IF(N492&lt;&gt;"",1,0)+IF(O492&lt;&gt;"",1,0)+IF(AJ492&lt;&gt;"",1,0)+IF(AU492&lt;&gt;"",1,0)+IF(BE492&lt;&gt;"",1,0)+IF(CF492&lt;&gt;"",1,0)+IF(CJ492="Yes",1,0)+IF(CL492="Yes",1,0)+IF(DE492&lt;&gt;"Pending",1,0)+IF(F492&lt;&gt;"",1,0)+IF(DZ492&lt;&gt;"",1,0)+IF(EI492&lt;&gt;"",1,0))/12)</x:f>
      </x:c>
    </x:row>
    <x:row r="493">
      <x:c r="A493" s="175" t="str">
        <x:f>IF(L493="","","EV-"&amp;TEXT(ROW()-3,"0000"))</x:f>
      </x:c>
      <x:c r="B493" s="174"/>
      <x:c r="C493" s="175" t="str">
        <x:f>IF(L493="","",IF(OR(CM493="Retracted",CN493="Retracted",F493="Not used"),"🔴 Do not use for conclusion",IF(OR(R493="Official / Institutional",I493="Official / contextual"),"🔵 Official / contextual",IF(OR(I493="Definition",I493="Framework",I493="Paradigm shift"),"🟣 Conceptual key source",IF(AND(CJ493="Yes",CL493="Yes",OR(CG493="High",CG493="Moderate"),CH493&lt;&gt;"High",CH493&lt;&gt;"Critical",F493="Claim-ready"),"🟢 Claim-ready","🟡 Caution / context")))))</x:f>
      </x:c>
      <x:c r="D493" s="174"/>
      <x:c r="E493" s="174"/>
      <x:c r="F493" s="174"/>
      <x:c r="G493" s="174"/>
      <x:c r="H493" s="174"/>
      <x:c r="I493" s="174"/>
      <x:c r="J493" s="174"/>
      <x:c r="K493" s="174"/>
      <x:c r="L493" s="174"/>
      <x:c r="M493" s="174"/>
      <x:c r="N493" s="174"/>
      <x:c r="O493" s="176"/>
      <x:c r="P493" s="174"/>
      <x:c r="Q493" s="174"/>
      <x:c r="R493" s="174"/>
      <x:c r="S493" s="174"/>
      <x:c r="T493" s="174"/>
      <x:c r="U493" s="174"/>
      <x:c r="V493" s="174"/>
      <x:c r="W493" s="175" t="str">
        <x:f>IF(V493="","",LOWER(SUBSTITUTE(SUBSTITUTE(SUBSTITUTE(SUBSTITUTE(TRIM(V493),"https://doi.org/",""),"http://doi.org/",""),"https://dx.doi.org/",""),"doi:","")))</x:f>
      </x:c>
      <x:c r="X493" s="174"/>
      <x:c r="Y493" s="174"/>
      <x:c r="Z493" s="174"/>
      <x:c r="AA493" s="174"/>
      <x:c r="AB493" s="174"/>
      <x:c r="AC493" s="174"/>
      <x:c r="AD493" s="177"/>
      <x:c r="AE493" s="177"/>
      <x:c r="AF493" s="174"/>
      <x:c r="AG493" s="174"/>
      <x:c r="AH493" s="174"/>
      <x:c r="AI493" s="174"/>
      <x:c r="AJ493" s="174"/>
      <x:c r="AK493" s="175" t="str">
        <x:f>IF(AJ493="","",IF(OR(LOWER(AJ493)="brazil",LOWER(AJ493)="brasil"),"Yes","No"))</x:f>
      </x:c>
      <x:c r="AL493" s="174"/>
      <x:c r="AM493" s="174"/>
      <x:c r="AN493" s="174"/>
      <x:c r="AO493" s="178"/>
      <x:c r="AP493" s="174"/>
      <x:c r="AQ493" s="174"/>
      <x:c r="AR493" s="174"/>
      <x:c r="AS493" s="174"/>
      <x:c r="AT493" s="174"/>
      <x:c r="AU493" s="174"/>
      <x:c r="AV493" s="174"/>
      <x:c r="AW493" s="174"/>
      <x:c r="AX493" s="174"/>
      <x:c r="AY493" s="174"/>
      <x:c r="AZ493" s="174"/>
      <x:c r="BA493" s="174"/>
      <x:c r="BB493" s="174"/>
      <x:c r="BC493" s="174"/>
      <x:c r="BD493" s="174"/>
      <x:c r="BE493" s="174"/>
      <x:c r="BF493" s="174"/>
      <x:c r="BG493" s="174"/>
      <x:c r="BH493" s="174"/>
      <x:c r="BI493" s="174"/>
      <x:c r="BJ493" s="174"/>
      <x:c r="BK493" s="174"/>
      <x:c r="BL493" s="174"/>
      <x:c r="BM493" s="174"/>
      <x:c r="BN493" s="174"/>
      <x:c r="BO493" s="174"/>
      <x:c r="BP493" s="174"/>
      <x:c r="BQ493" s="174"/>
      <x:c r="BR493" s="174"/>
      <x:c r="BS493" s="174"/>
      <x:c r="BT493" s="174"/>
      <x:c r="BU493" s="174"/>
      <x:c r="BV493" s="174"/>
      <x:c r="BW493" s="174"/>
      <x:c r="BX493" s="174"/>
      <x:c r="BY493" s="174"/>
      <x:c r="BZ493" s="174"/>
      <x:c r="CA493" s="174"/>
      <x:c r="CB493" s="174"/>
      <x:c r="CC493" s="174"/>
      <x:c r="CD493" s="174"/>
      <x:c r="CE493" s="174"/>
      <x:c r="CF493" s="174"/>
      <x:c r="CG493" s="174"/>
      <x:c r="CH493" s="174"/>
      <x:c r="CI493" s="179"/>
      <x:c r="CJ493" s="174"/>
      <x:c r="CK493" s="174"/>
      <x:c r="CL493" s="174"/>
      <x:c r="CM493" s="174"/>
      <x:c r="CN493" s="174"/>
      <x:c r="CO493" s="177"/>
      <x:c r="CP493" s="174"/>
      <x:c r="CQ493" s="174"/>
      <x:c r="CR493" s="174"/>
      <x:c r="CS493" s="174"/>
      <x:c r="CT493" s="174"/>
      <x:c r="CU493" s="176"/>
      <x:c r="CV493" s="176"/>
      <x:c r="CW493" s="176"/>
      <x:c r="CX493" s="176"/>
      <x:c r="CY493" s="176"/>
      <x:c r="CZ493" s="176"/>
      <x:c r="DA493" s="176"/>
      <x:c r="DB493" s="175" t="str">
        <x:f>IF(L493="","",IF(COUNT(CU493:DA493)&lt;7,"",SUM(CU493:DA493)))</x:f>
      </x:c>
      <x:c r="DC493" s="180" t="str">
        <x:f>IF(DB493="","",ROUND(DB493/14*10,1))</x:f>
      </x:c>
      <x:c r="DD493" s="174"/>
      <x:c r="DE493" s="175" t="str">
        <x:f>IF(L493="","",IF(DC493="","Pending",IF(DD493="Yes","CONDITIONAL — safety override",IF(DC493&gt;=8,"HIGH",IF(DC493&gt;=5,"CONDITIONAL","LOW")))))</x:f>
      </x:c>
      <x:c r="DF493" s="174"/>
      <x:c r="DG493" s="174"/>
      <x:c r="DH493" s="174"/>
      <x:c r="DI493" s="174"/>
      <x:c r="DJ493" s="174"/>
      <x:c r="DK493" s="174"/>
      <x:c r="DL493" s="174"/>
      <x:c r="DM493" s="174"/>
      <x:c r="DN493" s="174"/>
      <x:c r="DO493" s="174"/>
      <x:c r="DP493" s="174"/>
      <x:c r="DQ493" s="174"/>
      <x:c r="DR493" s="174"/>
      <x:c r="DS493" s="174"/>
      <x:c r="DT493" s="174"/>
      <x:c r="DU493" s="174"/>
      <x:c r="DV493" s="174"/>
      <x:c r="DW493" s="174"/>
      <x:c r="DX493" s="174"/>
      <x:c r="DY493" s="174"/>
      <x:c r="DZ493" s="174"/>
      <x:c r="EA493" s="174"/>
      <x:c r="EB493" s="175" t="str">
        <x:f>IF(L493="","",IF(AND(F493="Claim-ready",CJ493="Yes",CL493="Yes",DZ493&lt;&gt;""),"Yes","No / Pending"))</x:f>
      </x:c>
      <x:c r="EC493" s="174"/>
      <x:c r="ED493" s="174"/>
      <x:c r="EE493" s="174"/>
      <x:c r="EF493" s="174"/>
      <x:c r="EG493" s="174"/>
      <x:c r="EH493" s="177"/>
      <x:c r="EI493" s="174"/>
      <x:c r="EJ493" s="174"/>
      <x:c r="EK493" s="174"/>
      <x:c r="EL493" s="177"/>
      <x:c r="EM493" s="174"/>
      <x:c r="EN493" s="181" t="str">
        <x:f>IF(L493="","",(IF(N493&lt;&gt;"",1,0)+IF(O493&lt;&gt;"",1,0)+IF(AJ493&lt;&gt;"",1,0)+IF(AU493&lt;&gt;"",1,0)+IF(BE493&lt;&gt;"",1,0)+IF(CF493&lt;&gt;"",1,0)+IF(CJ493="Yes",1,0)+IF(CL493="Yes",1,0)+IF(DE493&lt;&gt;"Pending",1,0)+IF(F493&lt;&gt;"",1,0)+IF(DZ493&lt;&gt;"",1,0)+IF(EI493&lt;&gt;"",1,0))/12)</x:f>
      </x:c>
    </x:row>
    <x:row r="494">
      <x:c r="A494" s="175" t="str">
        <x:f>IF(L494="","","EV-"&amp;TEXT(ROW()-3,"0000"))</x:f>
      </x:c>
      <x:c r="B494" s="174"/>
      <x:c r="C494" s="175" t="str">
        <x:f>IF(L494="","",IF(OR(CM494="Retracted",CN494="Retracted",F494="Not used"),"🔴 Do not use for conclusion",IF(OR(R494="Official / Institutional",I494="Official / contextual"),"🔵 Official / contextual",IF(OR(I494="Definition",I494="Framework",I494="Paradigm shift"),"🟣 Conceptual key source",IF(AND(CJ494="Yes",CL494="Yes",OR(CG494="High",CG494="Moderate"),CH494&lt;&gt;"High",CH494&lt;&gt;"Critical",F494="Claim-ready"),"🟢 Claim-ready","🟡 Caution / context")))))</x:f>
      </x:c>
      <x:c r="D494" s="174"/>
      <x:c r="E494" s="174"/>
      <x:c r="F494" s="174"/>
      <x:c r="G494" s="174"/>
      <x:c r="H494" s="174"/>
      <x:c r="I494" s="174"/>
      <x:c r="J494" s="174"/>
      <x:c r="K494" s="174"/>
      <x:c r="L494" s="174"/>
      <x:c r="M494" s="174"/>
      <x:c r="N494" s="174"/>
      <x:c r="O494" s="176"/>
      <x:c r="P494" s="174"/>
      <x:c r="Q494" s="174"/>
      <x:c r="R494" s="174"/>
      <x:c r="S494" s="174"/>
      <x:c r="T494" s="174"/>
      <x:c r="U494" s="174"/>
      <x:c r="V494" s="174"/>
      <x:c r="W494" s="175" t="str">
        <x:f>IF(V494="","",LOWER(SUBSTITUTE(SUBSTITUTE(SUBSTITUTE(SUBSTITUTE(TRIM(V494),"https://doi.org/",""),"http://doi.org/",""),"https://dx.doi.org/",""),"doi:","")))</x:f>
      </x:c>
      <x:c r="X494" s="174"/>
      <x:c r="Y494" s="174"/>
      <x:c r="Z494" s="174"/>
      <x:c r="AA494" s="174"/>
      <x:c r="AB494" s="174"/>
      <x:c r="AC494" s="174"/>
      <x:c r="AD494" s="177"/>
      <x:c r="AE494" s="177"/>
      <x:c r="AF494" s="174"/>
      <x:c r="AG494" s="174"/>
      <x:c r="AH494" s="174"/>
      <x:c r="AI494" s="174"/>
      <x:c r="AJ494" s="174"/>
      <x:c r="AK494" s="175" t="str">
        <x:f>IF(AJ494="","",IF(OR(LOWER(AJ494)="brazil",LOWER(AJ494)="brasil"),"Yes","No"))</x:f>
      </x:c>
      <x:c r="AL494" s="174"/>
      <x:c r="AM494" s="174"/>
      <x:c r="AN494" s="174"/>
      <x:c r="AO494" s="178"/>
      <x:c r="AP494" s="174"/>
      <x:c r="AQ494" s="174"/>
      <x:c r="AR494" s="174"/>
      <x:c r="AS494" s="174"/>
      <x:c r="AT494" s="174"/>
      <x:c r="AU494" s="174"/>
      <x:c r="AV494" s="174"/>
      <x:c r="AW494" s="174"/>
      <x:c r="AX494" s="174"/>
      <x:c r="AY494" s="174"/>
      <x:c r="AZ494" s="174"/>
      <x:c r="BA494" s="174"/>
      <x:c r="BB494" s="174"/>
      <x:c r="BC494" s="174"/>
      <x:c r="BD494" s="174"/>
      <x:c r="BE494" s="174"/>
      <x:c r="BF494" s="174"/>
      <x:c r="BG494" s="174"/>
      <x:c r="BH494" s="174"/>
      <x:c r="BI494" s="174"/>
      <x:c r="BJ494" s="174"/>
      <x:c r="BK494" s="174"/>
      <x:c r="BL494" s="174"/>
      <x:c r="BM494" s="174"/>
      <x:c r="BN494" s="174"/>
      <x:c r="BO494" s="174"/>
      <x:c r="BP494" s="174"/>
      <x:c r="BQ494" s="174"/>
      <x:c r="BR494" s="174"/>
      <x:c r="BS494" s="174"/>
      <x:c r="BT494" s="174"/>
      <x:c r="BU494" s="174"/>
      <x:c r="BV494" s="174"/>
      <x:c r="BW494" s="174"/>
      <x:c r="BX494" s="174"/>
      <x:c r="BY494" s="174"/>
      <x:c r="BZ494" s="174"/>
      <x:c r="CA494" s="174"/>
      <x:c r="CB494" s="174"/>
      <x:c r="CC494" s="174"/>
      <x:c r="CD494" s="174"/>
      <x:c r="CE494" s="174"/>
      <x:c r="CF494" s="174"/>
      <x:c r="CG494" s="174"/>
      <x:c r="CH494" s="174"/>
      <x:c r="CI494" s="179"/>
      <x:c r="CJ494" s="174"/>
      <x:c r="CK494" s="174"/>
      <x:c r="CL494" s="174"/>
      <x:c r="CM494" s="174"/>
      <x:c r="CN494" s="174"/>
      <x:c r="CO494" s="177"/>
      <x:c r="CP494" s="174"/>
      <x:c r="CQ494" s="174"/>
      <x:c r="CR494" s="174"/>
      <x:c r="CS494" s="174"/>
      <x:c r="CT494" s="174"/>
      <x:c r="CU494" s="176"/>
      <x:c r="CV494" s="176"/>
      <x:c r="CW494" s="176"/>
      <x:c r="CX494" s="176"/>
      <x:c r="CY494" s="176"/>
      <x:c r="CZ494" s="176"/>
      <x:c r="DA494" s="176"/>
      <x:c r="DB494" s="175" t="str">
        <x:f>IF(L494="","",IF(COUNT(CU494:DA494)&lt;7,"",SUM(CU494:DA494)))</x:f>
      </x:c>
      <x:c r="DC494" s="180" t="str">
        <x:f>IF(DB494="","",ROUND(DB494/14*10,1))</x:f>
      </x:c>
      <x:c r="DD494" s="174"/>
      <x:c r="DE494" s="175" t="str">
        <x:f>IF(L494="","",IF(DC494="","Pending",IF(DD494="Yes","CONDITIONAL — safety override",IF(DC494&gt;=8,"HIGH",IF(DC494&gt;=5,"CONDITIONAL","LOW")))))</x:f>
      </x:c>
      <x:c r="DF494" s="174"/>
      <x:c r="DG494" s="174"/>
      <x:c r="DH494" s="174"/>
      <x:c r="DI494" s="174"/>
      <x:c r="DJ494" s="174"/>
      <x:c r="DK494" s="174"/>
      <x:c r="DL494" s="174"/>
      <x:c r="DM494" s="174"/>
      <x:c r="DN494" s="174"/>
      <x:c r="DO494" s="174"/>
      <x:c r="DP494" s="174"/>
      <x:c r="DQ494" s="174"/>
      <x:c r="DR494" s="174"/>
      <x:c r="DS494" s="174"/>
      <x:c r="DT494" s="174"/>
      <x:c r="DU494" s="174"/>
      <x:c r="DV494" s="174"/>
      <x:c r="DW494" s="174"/>
      <x:c r="DX494" s="174"/>
      <x:c r="DY494" s="174"/>
      <x:c r="DZ494" s="174"/>
      <x:c r="EA494" s="174"/>
      <x:c r="EB494" s="175" t="str">
        <x:f>IF(L494="","",IF(AND(F494="Claim-ready",CJ494="Yes",CL494="Yes",DZ494&lt;&gt;""),"Yes","No / Pending"))</x:f>
      </x:c>
      <x:c r="EC494" s="174"/>
      <x:c r="ED494" s="174"/>
      <x:c r="EE494" s="174"/>
      <x:c r="EF494" s="174"/>
      <x:c r="EG494" s="174"/>
      <x:c r="EH494" s="177"/>
      <x:c r="EI494" s="174"/>
      <x:c r="EJ494" s="174"/>
      <x:c r="EK494" s="174"/>
      <x:c r="EL494" s="177"/>
      <x:c r="EM494" s="174"/>
      <x:c r="EN494" s="181" t="str">
        <x:f>IF(L494="","",(IF(N494&lt;&gt;"",1,0)+IF(O494&lt;&gt;"",1,0)+IF(AJ494&lt;&gt;"",1,0)+IF(AU494&lt;&gt;"",1,0)+IF(BE494&lt;&gt;"",1,0)+IF(CF494&lt;&gt;"",1,0)+IF(CJ494="Yes",1,0)+IF(CL494="Yes",1,0)+IF(DE494&lt;&gt;"Pending",1,0)+IF(F494&lt;&gt;"",1,0)+IF(DZ494&lt;&gt;"",1,0)+IF(EI494&lt;&gt;"",1,0))/12)</x:f>
      </x:c>
    </x:row>
    <x:row r="495">
      <x:c r="A495" s="175" t="str">
        <x:f>IF(L495="","","EV-"&amp;TEXT(ROW()-3,"0000"))</x:f>
      </x:c>
      <x:c r="B495" s="174"/>
      <x:c r="C495" s="175" t="str">
        <x:f>IF(L495="","",IF(OR(CM495="Retracted",CN495="Retracted",F495="Not used"),"🔴 Do not use for conclusion",IF(OR(R495="Official / Institutional",I495="Official / contextual"),"🔵 Official / contextual",IF(OR(I495="Definition",I495="Framework",I495="Paradigm shift"),"🟣 Conceptual key source",IF(AND(CJ495="Yes",CL495="Yes",OR(CG495="High",CG495="Moderate"),CH495&lt;&gt;"High",CH495&lt;&gt;"Critical",F495="Claim-ready"),"🟢 Claim-ready","🟡 Caution / context")))))</x:f>
      </x:c>
      <x:c r="D495" s="174"/>
      <x:c r="E495" s="174"/>
      <x:c r="F495" s="174"/>
      <x:c r="G495" s="174"/>
      <x:c r="H495" s="174"/>
      <x:c r="I495" s="174"/>
      <x:c r="J495" s="174"/>
      <x:c r="K495" s="174"/>
      <x:c r="L495" s="174"/>
      <x:c r="M495" s="174"/>
      <x:c r="N495" s="174"/>
      <x:c r="O495" s="176"/>
      <x:c r="P495" s="174"/>
      <x:c r="Q495" s="174"/>
      <x:c r="R495" s="174"/>
      <x:c r="S495" s="174"/>
      <x:c r="T495" s="174"/>
      <x:c r="U495" s="174"/>
      <x:c r="V495" s="174"/>
      <x:c r="W495" s="175" t="str">
        <x:f>IF(V495="","",LOWER(SUBSTITUTE(SUBSTITUTE(SUBSTITUTE(SUBSTITUTE(TRIM(V495),"https://doi.org/",""),"http://doi.org/",""),"https://dx.doi.org/",""),"doi:","")))</x:f>
      </x:c>
      <x:c r="X495" s="174"/>
      <x:c r="Y495" s="174"/>
      <x:c r="Z495" s="174"/>
      <x:c r="AA495" s="174"/>
      <x:c r="AB495" s="174"/>
      <x:c r="AC495" s="174"/>
      <x:c r="AD495" s="177"/>
      <x:c r="AE495" s="177"/>
      <x:c r="AF495" s="174"/>
      <x:c r="AG495" s="174"/>
      <x:c r="AH495" s="174"/>
      <x:c r="AI495" s="174"/>
      <x:c r="AJ495" s="174"/>
      <x:c r="AK495" s="175" t="str">
        <x:f>IF(AJ495="","",IF(OR(LOWER(AJ495)="brazil",LOWER(AJ495)="brasil"),"Yes","No"))</x:f>
      </x:c>
      <x:c r="AL495" s="174"/>
      <x:c r="AM495" s="174"/>
      <x:c r="AN495" s="174"/>
      <x:c r="AO495" s="178"/>
      <x:c r="AP495" s="174"/>
      <x:c r="AQ495" s="174"/>
      <x:c r="AR495" s="174"/>
      <x:c r="AS495" s="174"/>
      <x:c r="AT495" s="174"/>
      <x:c r="AU495" s="174"/>
      <x:c r="AV495" s="174"/>
      <x:c r="AW495" s="174"/>
      <x:c r="AX495" s="174"/>
      <x:c r="AY495" s="174"/>
      <x:c r="AZ495" s="174"/>
      <x:c r="BA495" s="174"/>
      <x:c r="BB495" s="174"/>
      <x:c r="BC495" s="174"/>
      <x:c r="BD495" s="174"/>
      <x:c r="BE495" s="174"/>
      <x:c r="BF495" s="174"/>
      <x:c r="BG495" s="174"/>
      <x:c r="BH495" s="174"/>
      <x:c r="BI495" s="174"/>
      <x:c r="BJ495" s="174"/>
      <x:c r="BK495" s="174"/>
      <x:c r="BL495" s="174"/>
      <x:c r="BM495" s="174"/>
      <x:c r="BN495" s="174"/>
      <x:c r="BO495" s="174"/>
      <x:c r="BP495" s="174"/>
      <x:c r="BQ495" s="174"/>
      <x:c r="BR495" s="174"/>
      <x:c r="BS495" s="174"/>
      <x:c r="BT495" s="174"/>
      <x:c r="BU495" s="174"/>
      <x:c r="BV495" s="174"/>
      <x:c r="BW495" s="174"/>
      <x:c r="BX495" s="174"/>
      <x:c r="BY495" s="174"/>
      <x:c r="BZ495" s="174"/>
      <x:c r="CA495" s="174"/>
      <x:c r="CB495" s="174"/>
      <x:c r="CC495" s="174"/>
      <x:c r="CD495" s="174"/>
      <x:c r="CE495" s="174"/>
      <x:c r="CF495" s="174"/>
      <x:c r="CG495" s="174"/>
      <x:c r="CH495" s="174"/>
      <x:c r="CI495" s="179"/>
      <x:c r="CJ495" s="174"/>
      <x:c r="CK495" s="174"/>
      <x:c r="CL495" s="174"/>
      <x:c r="CM495" s="174"/>
      <x:c r="CN495" s="174"/>
      <x:c r="CO495" s="177"/>
      <x:c r="CP495" s="174"/>
      <x:c r="CQ495" s="174"/>
      <x:c r="CR495" s="174"/>
      <x:c r="CS495" s="174"/>
      <x:c r="CT495" s="174"/>
      <x:c r="CU495" s="176"/>
      <x:c r="CV495" s="176"/>
      <x:c r="CW495" s="176"/>
      <x:c r="CX495" s="176"/>
      <x:c r="CY495" s="176"/>
      <x:c r="CZ495" s="176"/>
      <x:c r="DA495" s="176"/>
      <x:c r="DB495" s="175" t="str">
        <x:f>IF(L495="","",IF(COUNT(CU495:DA495)&lt;7,"",SUM(CU495:DA495)))</x:f>
      </x:c>
      <x:c r="DC495" s="180" t="str">
        <x:f>IF(DB495="","",ROUND(DB495/14*10,1))</x:f>
      </x:c>
      <x:c r="DD495" s="174"/>
      <x:c r="DE495" s="175" t="str">
        <x:f>IF(L495="","",IF(DC495="","Pending",IF(DD495="Yes","CONDITIONAL — safety override",IF(DC495&gt;=8,"HIGH",IF(DC495&gt;=5,"CONDITIONAL","LOW")))))</x:f>
      </x:c>
      <x:c r="DF495" s="174"/>
      <x:c r="DG495" s="174"/>
      <x:c r="DH495" s="174"/>
      <x:c r="DI495" s="174"/>
      <x:c r="DJ495" s="174"/>
      <x:c r="DK495" s="174"/>
      <x:c r="DL495" s="174"/>
      <x:c r="DM495" s="174"/>
      <x:c r="DN495" s="174"/>
      <x:c r="DO495" s="174"/>
      <x:c r="DP495" s="174"/>
      <x:c r="DQ495" s="174"/>
      <x:c r="DR495" s="174"/>
      <x:c r="DS495" s="174"/>
      <x:c r="DT495" s="174"/>
      <x:c r="DU495" s="174"/>
      <x:c r="DV495" s="174"/>
      <x:c r="DW495" s="174"/>
      <x:c r="DX495" s="174"/>
      <x:c r="DY495" s="174"/>
      <x:c r="DZ495" s="174"/>
      <x:c r="EA495" s="174"/>
      <x:c r="EB495" s="175" t="str">
        <x:f>IF(L495="","",IF(AND(F495="Claim-ready",CJ495="Yes",CL495="Yes",DZ495&lt;&gt;""),"Yes","No / Pending"))</x:f>
      </x:c>
      <x:c r="EC495" s="174"/>
      <x:c r="ED495" s="174"/>
      <x:c r="EE495" s="174"/>
      <x:c r="EF495" s="174"/>
      <x:c r="EG495" s="174"/>
      <x:c r="EH495" s="177"/>
      <x:c r="EI495" s="174"/>
      <x:c r="EJ495" s="174"/>
      <x:c r="EK495" s="174"/>
      <x:c r="EL495" s="177"/>
      <x:c r="EM495" s="174"/>
      <x:c r="EN495" s="181" t="str">
        <x:f>IF(L495="","",(IF(N495&lt;&gt;"",1,0)+IF(O495&lt;&gt;"",1,0)+IF(AJ495&lt;&gt;"",1,0)+IF(AU495&lt;&gt;"",1,0)+IF(BE495&lt;&gt;"",1,0)+IF(CF495&lt;&gt;"",1,0)+IF(CJ495="Yes",1,0)+IF(CL495="Yes",1,0)+IF(DE495&lt;&gt;"Pending",1,0)+IF(F495&lt;&gt;"",1,0)+IF(DZ495&lt;&gt;"",1,0)+IF(EI495&lt;&gt;"",1,0))/12)</x:f>
      </x:c>
    </x:row>
    <x:row r="496">
      <x:c r="A496" s="175" t="str">
        <x:f>IF(L496="","","EV-"&amp;TEXT(ROW()-3,"0000"))</x:f>
      </x:c>
      <x:c r="B496" s="174"/>
      <x:c r="C496" s="175" t="str">
        <x:f>IF(L496="","",IF(OR(CM496="Retracted",CN496="Retracted",F496="Not used"),"🔴 Do not use for conclusion",IF(OR(R496="Official / Institutional",I496="Official / contextual"),"🔵 Official / contextual",IF(OR(I496="Definition",I496="Framework",I496="Paradigm shift"),"🟣 Conceptual key source",IF(AND(CJ496="Yes",CL496="Yes",OR(CG496="High",CG496="Moderate"),CH496&lt;&gt;"High",CH496&lt;&gt;"Critical",F496="Claim-ready"),"🟢 Claim-ready","🟡 Caution / context")))))</x:f>
      </x:c>
      <x:c r="D496" s="174"/>
      <x:c r="E496" s="174"/>
      <x:c r="F496" s="174"/>
      <x:c r="G496" s="174"/>
      <x:c r="H496" s="174"/>
      <x:c r="I496" s="174"/>
      <x:c r="J496" s="174"/>
      <x:c r="K496" s="174"/>
      <x:c r="L496" s="174"/>
      <x:c r="M496" s="174"/>
      <x:c r="N496" s="174"/>
      <x:c r="O496" s="176"/>
      <x:c r="P496" s="174"/>
      <x:c r="Q496" s="174"/>
      <x:c r="R496" s="174"/>
      <x:c r="S496" s="174"/>
      <x:c r="T496" s="174"/>
      <x:c r="U496" s="174"/>
      <x:c r="V496" s="174"/>
      <x:c r="W496" s="175" t="str">
        <x:f>IF(V496="","",LOWER(SUBSTITUTE(SUBSTITUTE(SUBSTITUTE(SUBSTITUTE(TRIM(V496),"https://doi.org/",""),"http://doi.org/",""),"https://dx.doi.org/",""),"doi:","")))</x:f>
      </x:c>
      <x:c r="X496" s="174"/>
      <x:c r="Y496" s="174"/>
      <x:c r="Z496" s="174"/>
      <x:c r="AA496" s="174"/>
      <x:c r="AB496" s="174"/>
      <x:c r="AC496" s="174"/>
      <x:c r="AD496" s="177"/>
      <x:c r="AE496" s="177"/>
      <x:c r="AF496" s="174"/>
      <x:c r="AG496" s="174"/>
      <x:c r="AH496" s="174"/>
      <x:c r="AI496" s="174"/>
      <x:c r="AJ496" s="174"/>
      <x:c r="AK496" s="175" t="str">
        <x:f>IF(AJ496="","",IF(OR(LOWER(AJ496)="brazil",LOWER(AJ496)="brasil"),"Yes","No"))</x:f>
      </x:c>
      <x:c r="AL496" s="174"/>
      <x:c r="AM496" s="174"/>
      <x:c r="AN496" s="174"/>
      <x:c r="AO496" s="178"/>
      <x:c r="AP496" s="174"/>
      <x:c r="AQ496" s="174"/>
      <x:c r="AR496" s="174"/>
      <x:c r="AS496" s="174"/>
      <x:c r="AT496" s="174"/>
      <x:c r="AU496" s="174"/>
      <x:c r="AV496" s="174"/>
      <x:c r="AW496" s="174"/>
      <x:c r="AX496" s="174"/>
      <x:c r="AY496" s="174"/>
      <x:c r="AZ496" s="174"/>
      <x:c r="BA496" s="174"/>
      <x:c r="BB496" s="174"/>
      <x:c r="BC496" s="174"/>
      <x:c r="BD496" s="174"/>
      <x:c r="BE496" s="174"/>
      <x:c r="BF496" s="174"/>
      <x:c r="BG496" s="174"/>
      <x:c r="BH496" s="174"/>
      <x:c r="BI496" s="174"/>
      <x:c r="BJ496" s="174"/>
      <x:c r="BK496" s="174"/>
      <x:c r="BL496" s="174"/>
      <x:c r="BM496" s="174"/>
      <x:c r="BN496" s="174"/>
      <x:c r="BO496" s="174"/>
      <x:c r="BP496" s="174"/>
      <x:c r="BQ496" s="174"/>
      <x:c r="BR496" s="174"/>
      <x:c r="BS496" s="174"/>
      <x:c r="BT496" s="174"/>
      <x:c r="BU496" s="174"/>
      <x:c r="BV496" s="174"/>
      <x:c r="BW496" s="174"/>
      <x:c r="BX496" s="174"/>
      <x:c r="BY496" s="174"/>
      <x:c r="BZ496" s="174"/>
      <x:c r="CA496" s="174"/>
      <x:c r="CB496" s="174"/>
      <x:c r="CC496" s="174"/>
      <x:c r="CD496" s="174"/>
      <x:c r="CE496" s="174"/>
      <x:c r="CF496" s="174"/>
      <x:c r="CG496" s="174"/>
      <x:c r="CH496" s="174"/>
      <x:c r="CI496" s="179"/>
      <x:c r="CJ496" s="174"/>
      <x:c r="CK496" s="174"/>
      <x:c r="CL496" s="174"/>
      <x:c r="CM496" s="174"/>
      <x:c r="CN496" s="174"/>
      <x:c r="CO496" s="177"/>
      <x:c r="CP496" s="174"/>
      <x:c r="CQ496" s="174"/>
      <x:c r="CR496" s="174"/>
      <x:c r="CS496" s="174"/>
      <x:c r="CT496" s="174"/>
      <x:c r="CU496" s="176"/>
      <x:c r="CV496" s="176"/>
      <x:c r="CW496" s="176"/>
      <x:c r="CX496" s="176"/>
      <x:c r="CY496" s="176"/>
      <x:c r="CZ496" s="176"/>
      <x:c r="DA496" s="176"/>
      <x:c r="DB496" s="175" t="str">
        <x:f>IF(L496="","",IF(COUNT(CU496:DA496)&lt;7,"",SUM(CU496:DA496)))</x:f>
      </x:c>
      <x:c r="DC496" s="180" t="str">
        <x:f>IF(DB496="","",ROUND(DB496/14*10,1))</x:f>
      </x:c>
      <x:c r="DD496" s="174"/>
      <x:c r="DE496" s="175" t="str">
        <x:f>IF(L496="","",IF(DC496="","Pending",IF(DD496="Yes","CONDITIONAL — safety override",IF(DC496&gt;=8,"HIGH",IF(DC496&gt;=5,"CONDITIONAL","LOW")))))</x:f>
      </x:c>
      <x:c r="DF496" s="174"/>
      <x:c r="DG496" s="174"/>
      <x:c r="DH496" s="174"/>
      <x:c r="DI496" s="174"/>
      <x:c r="DJ496" s="174"/>
      <x:c r="DK496" s="174"/>
      <x:c r="DL496" s="174"/>
      <x:c r="DM496" s="174"/>
      <x:c r="DN496" s="174"/>
      <x:c r="DO496" s="174"/>
      <x:c r="DP496" s="174"/>
      <x:c r="DQ496" s="174"/>
      <x:c r="DR496" s="174"/>
      <x:c r="DS496" s="174"/>
      <x:c r="DT496" s="174"/>
      <x:c r="DU496" s="174"/>
      <x:c r="DV496" s="174"/>
      <x:c r="DW496" s="174"/>
      <x:c r="DX496" s="174"/>
      <x:c r="DY496" s="174"/>
      <x:c r="DZ496" s="174"/>
      <x:c r="EA496" s="174"/>
      <x:c r="EB496" s="175" t="str">
        <x:f>IF(L496="","",IF(AND(F496="Claim-ready",CJ496="Yes",CL496="Yes",DZ496&lt;&gt;""),"Yes","No / Pending"))</x:f>
      </x:c>
      <x:c r="EC496" s="174"/>
      <x:c r="ED496" s="174"/>
      <x:c r="EE496" s="174"/>
      <x:c r="EF496" s="174"/>
      <x:c r="EG496" s="174"/>
      <x:c r="EH496" s="177"/>
      <x:c r="EI496" s="174"/>
      <x:c r="EJ496" s="174"/>
      <x:c r="EK496" s="174"/>
      <x:c r="EL496" s="177"/>
      <x:c r="EM496" s="174"/>
      <x:c r="EN496" s="181" t="str">
        <x:f>IF(L496="","",(IF(N496&lt;&gt;"",1,0)+IF(O496&lt;&gt;"",1,0)+IF(AJ496&lt;&gt;"",1,0)+IF(AU496&lt;&gt;"",1,0)+IF(BE496&lt;&gt;"",1,0)+IF(CF496&lt;&gt;"",1,0)+IF(CJ496="Yes",1,0)+IF(CL496="Yes",1,0)+IF(DE496&lt;&gt;"Pending",1,0)+IF(F496&lt;&gt;"",1,0)+IF(DZ496&lt;&gt;"",1,0)+IF(EI496&lt;&gt;"",1,0))/12)</x:f>
      </x:c>
    </x:row>
    <x:row r="497">
      <x:c r="A497" s="175" t="str">
        <x:f>IF(L497="","","EV-"&amp;TEXT(ROW()-3,"0000"))</x:f>
      </x:c>
      <x:c r="B497" s="174"/>
      <x:c r="C497" s="175" t="str">
        <x:f>IF(L497="","",IF(OR(CM497="Retracted",CN497="Retracted",F497="Not used"),"🔴 Do not use for conclusion",IF(OR(R497="Official / Institutional",I497="Official / contextual"),"🔵 Official / contextual",IF(OR(I497="Definition",I497="Framework",I497="Paradigm shift"),"🟣 Conceptual key source",IF(AND(CJ497="Yes",CL497="Yes",OR(CG497="High",CG497="Moderate"),CH497&lt;&gt;"High",CH497&lt;&gt;"Critical",F497="Claim-ready"),"🟢 Claim-ready","🟡 Caution / context")))))</x:f>
      </x:c>
      <x:c r="D497" s="174"/>
      <x:c r="E497" s="174"/>
      <x:c r="F497" s="174"/>
      <x:c r="G497" s="174"/>
      <x:c r="H497" s="174"/>
      <x:c r="I497" s="174"/>
      <x:c r="J497" s="174"/>
      <x:c r="K497" s="174"/>
      <x:c r="L497" s="174"/>
      <x:c r="M497" s="174"/>
      <x:c r="N497" s="174"/>
      <x:c r="O497" s="176"/>
      <x:c r="P497" s="174"/>
      <x:c r="Q497" s="174"/>
      <x:c r="R497" s="174"/>
      <x:c r="S497" s="174"/>
      <x:c r="T497" s="174"/>
      <x:c r="U497" s="174"/>
      <x:c r="V497" s="174"/>
      <x:c r="W497" s="175" t="str">
        <x:f>IF(V497="","",LOWER(SUBSTITUTE(SUBSTITUTE(SUBSTITUTE(SUBSTITUTE(TRIM(V497),"https://doi.org/",""),"http://doi.org/",""),"https://dx.doi.org/",""),"doi:","")))</x:f>
      </x:c>
      <x:c r="X497" s="174"/>
      <x:c r="Y497" s="174"/>
      <x:c r="Z497" s="174"/>
      <x:c r="AA497" s="174"/>
      <x:c r="AB497" s="174"/>
      <x:c r="AC497" s="174"/>
      <x:c r="AD497" s="177"/>
      <x:c r="AE497" s="177"/>
      <x:c r="AF497" s="174"/>
      <x:c r="AG497" s="174"/>
      <x:c r="AH497" s="174"/>
      <x:c r="AI497" s="174"/>
      <x:c r="AJ497" s="174"/>
      <x:c r="AK497" s="175" t="str">
        <x:f>IF(AJ497="","",IF(OR(LOWER(AJ497)="brazil",LOWER(AJ497)="brasil"),"Yes","No"))</x:f>
      </x:c>
      <x:c r="AL497" s="174"/>
      <x:c r="AM497" s="174"/>
      <x:c r="AN497" s="174"/>
      <x:c r="AO497" s="178"/>
      <x:c r="AP497" s="174"/>
      <x:c r="AQ497" s="174"/>
      <x:c r="AR497" s="174"/>
      <x:c r="AS497" s="174"/>
      <x:c r="AT497" s="174"/>
      <x:c r="AU497" s="174"/>
      <x:c r="AV497" s="174"/>
      <x:c r="AW497" s="174"/>
      <x:c r="AX497" s="174"/>
      <x:c r="AY497" s="174"/>
      <x:c r="AZ497" s="174"/>
      <x:c r="BA497" s="174"/>
      <x:c r="BB497" s="174"/>
      <x:c r="BC497" s="174"/>
      <x:c r="BD497" s="174"/>
      <x:c r="BE497" s="174"/>
      <x:c r="BF497" s="174"/>
      <x:c r="BG497" s="174"/>
      <x:c r="BH497" s="174"/>
      <x:c r="BI497" s="174"/>
      <x:c r="BJ497" s="174"/>
      <x:c r="BK497" s="174"/>
      <x:c r="BL497" s="174"/>
      <x:c r="BM497" s="174"/>
      <x:c r="BN497" s="174"/>
      <x:c r="BO497" s="174"/>
      <x:c r="BP497" s="174"/>
      <x:c r="BQ497" s="174"/>
      <x:c r="BR497" s="174"/>
      <x:c r="BS497" s="174"/>
      <x:c r="BT497" s="174"/>
      <x:c r="BU497" s="174"/>
      <x:c r="BV497" s="174"/>
      <x:c r="BW497" s="174"/>
      <x:c r="BX497" s="174"/>
      <x:c r="BY497" s="174"/>
      <x:c r="BZ497" s="174"/>
      <x:c r="CA497" s="174"/>
      <x:c r="CB497" s="174"/>
      <x:c r="CC497" s="174"/>
      <x:c r="CD497" s="174"/>
      <x:c r="CE497" s="174"/>
      <x:c r="CF497" s="174"/>
      <x:c r="CG497" s="174"/>
      <x:c r="CH497" s="174"/>
      <x:c r="CI497" s="179"/>
      <x:c r="CJ497" s="174"/>
      <x:c r="CK497" s="174"/>
      <x:c r="CL497" s="174"/>
      <x:c r="CM497" s="174"/>
      <x:c r="CN497" s="174"/>
      <x:c r="CO497" s="177"/>
      <x:c r="CP497" s="174"/>
      <x:c r="CQ497" s="174"/>
      <x:c r="CR497" s="174"/>
      <x:c r="CS497" s="174"/>
      <x:c r="CT497" s="174"/>
      <x:c r="CU497" s="176"/>
      <x:c r="CV497" s="176"/>
      <x:c r="CW497" s="176"/>
      <x:c r="CX497" s="176"/>
      <x:c r="CY497" s="176"/>
      <x:c r="CZ497" s="176"/>
      <x:c r="DA497" s="176"/>
      <x:c r="DB497" s="175" t="str">
        <x:f>IF(L497="","",IF(COUNT(CU497:DA497)&lt;7,"",SUM(CU497:DA497)))</x:f>
      </x:c>
      <x:c r="DC497" s="180" t="str">
        <x:f>IF(DB497="","",ROUND(DB497/14*10,1))</x:f>
      </x:c>
      <x:c r="DD497" s="174"/>
      <x:c r="DE497" s="175" t="str">
        <x:f>IF(L497="","",IF(DC497="","Pending",IF(DD497="Yes","CONDITIONAL — safety override",IF(DC497&gt;=8,"HIGH",IF(DC497&gt;=5,"CONDITIONAL","LOW")))))</x:f>
      </x:c>
      <x:c r="DF497" s="174"/>
      <x:c r="DG497" s="174"/>
      <x:c r="DH497" s="174"/>
      <x:c r="DI497" s="174"/>
      <x:c r="DJ497" s="174"/>
      <x:c r="DK497" s="174"/>
      <x:c r="DL497" s="174"/>
      <x:c r="DM497" s="174"/>
      <x:c r="DN497" s="174"/>
      <x:c r="DO497" s="174"/>
      <x:c r="DP497" s="174"/>
      <x:c r="DQ497" s="174"/>
      <x:c r="DR497" s="174"/>
      <x:c r="DS497" s="174"/>
      <x:c r="DT497" s="174"/>
      <x:c r="DU497" s="174"/>
      <x:c r="DV497" s="174"/>
      <x:c r="DW497" s="174"/>
      <x:c r="DX497" s="174"/>
      <x:c r="DY497" s="174"/>
      <x:c r="DZ497" s="174"/>
      <x:c r="EA497" s="174"/>
      <x:c r="EB497" s="175" t="str">
        <x:f>IF(L497="","",IF(AND(F497="Claim-ready",CJ497="Yes",CL497="Yes",DZ497&lt;&gt;""),"Yes","No / Pending"))</x:f>
      </x:c>
      <x:c r="EC497" s="174"/>
      <x:c r="ED497" s="174"/>
      <x:c r="EE497" s="174"/>
      <x:c r="EF497" s="174"/>
      <x:c r="EG497" s="174"/>
      <x:c r="EH497" s="177"/>
      <x:c r="EI497" s="174"/>
      <x:c r="EJ497" s="174"/>
      <x:c r="EK497" s="174"/>
      <x:c r="EL497" s="177"/>
      <x:c r="EM497" s="174"/>
      <x:c r="EN497" s="181" t="str">
        <x:f>IF(L497="","",(IF(N497&lt;&gt;"",1,0)+IF(O497&lt;&gt;"",1,0)+IF(AJ497&lt;&gt;"",1,0)+IF(AU497&lt;&gt;"",1,0)+IF(BE497&lt;&gt;"",1,0)+IF(CF497&lt;&gt;"",1,0)+IF(CJ497="Yes",1,0)+IF(CL497="Yes",1,0)+IF(DE497&lt;&gt;"Pending",1,0)+IF(F497&lt;&gt;"",1,0)+IF(DZ497&lt;&gt;"",1,0)+IF(EI497&lt;&gt;"",1,0))/12)</x:f>
      </x:c>
    </x:row>
    <x:row r="498">
      <x:c r="A498" s="175" t="str">
        <x:f>IF(L498="","","EV-"&amp;TEXT(ROW()-3,"0000"))</x:f>
      </x:c>
      <x:c r="B498" s="174"/>
      <x:c r="C498" s="175" t="str">
        <x:f>IF(L498="","",IF(OR(CM498="Retracted",CN498="Retracted",F498="Not used"),"🔴 Do not use for conclusion",IF(OR(R498="Official / Institutional",I498="Official / contextual"),"🔵 Official / contextual",IF(OR(I498="Definition",I498="Framework",I498="Paradigm shift"),"🟣 Conceptual key source",IF(AND(CJ498="Yes",CL498="Yes",OR(CG498="High",CG498="Moderate"),CH498&lt;&gt;"High",CH498&lt;&gt;"Critical",F498="Claim-ready"),"🟢 Claim-ready","🟡 Caution / context")))))</x:f>
      </x:c>
      <x:c r="D498" s="174"/>
      <x:c r="E498" s="174"/>
      <x:c r="F498" s="174"/>
      <x:c r="G498" s="174"/>
      <x:c r="H498" s="174"/>
      <x:c r="I498" s="174"/>
      <x:c r="J498" s="174"/>
      <x:c r="K498" s="174"/>
      <x:c r="L498" s="174"/>
      <x:c r="M498" s="174"/>
      <x:c r="N498" s="174"/>
      <x:c r="O498" s="176"/>
      <x:c r="P498" s="174"/>
      <x:c r="Q498" s="174"/>
      <x:c r="R498" s="174"/>
      <x:c r="S498" s="174"/>
      <x:c r="T498" s="174"/>
      <x:c r="U498" s="174"/>
      <x:c r="V498" s="174"/>
      <x:c r="W498" s="175" t="str">
        <x:f>IF(V498="","",LOWER(SUBSTITUTE(SUBSTITUTE(SUBSTITUTE(SUBSTITUTE(TRIM(V498),"https://doi.org/",""),"http://doi.org/",""),"https://dx.doi.org/",""),"doi:","")))</x:f>
      </x:c>
      <x:c r="X498" s="174"/>
      <x:c r="Y498" s="174"/>
      <x:c r="Z498" s="174"/>
      <x:c r="AA498" s="174"/>
      <x:c r="AB498" s="174"/>
      <x:c r="AC498" s="174"/>
      <x:c r="AD498" s="177"/>
      <x:c r="AE498" s="177"/>
      <x:c r="AF498" s="174"/>
      <x:c r="AG498" s="174"/>
      <x:c r="AH498" s="174"/>
      <x:c r="AI498" s="174"/>
      <x:c r="AJ498" s="174"/>
      <x:c r="AK498" s="175" t="str">
        <x:f>IF(AJ498="","",IF(OR(LOWER(AJ498)="brazil",LOWER(AJ498)="brasil"),"Yes","No"))</x:f>
      </x:c>
      <x:c r="AL498" s="174"/>
      <x:c r="AM498" s="174"/>
      <x:c r="AN498" s="174"/>
      <x:c r="AO498" s="178"/>
      <x:c r="AP498" s="174"/>
      <x:c r="AQ498" s="174"/>
      <x:c r="AR498" s="174"/>
      <x:c r="AS498" s="174"/>
      <x:c r="AT498" s="174"/>
      <x:c r="AU498" s="174"/>
      <x:c r="AV498" s="174"/>
      <x:c r="AW498" s="174"/>
      <x:c r="AX498" s="174"/>
      <x:c r="AY498" s="174"/>
      <x:c r="AZ498" s="174"/>
      <x:c r="BA498" s="174"/>
      <x:c r="BB498" s="174"/>
      <x:c r="BC498" s="174"/>
      <x:c r="BD498" s="174"/>
      <x:c r="BE498" s="174"/>
      <x:c r="BF498" s="174"/>
      <x:c r="BG498" s="174"/>
      <x:c r="BH498" s="174"/>
      <x:c r="BI498" s="174"/>
      <x:c r="BJ498" s="174"/>
      <x:c r="BK498" s="174"/>
      <x:c r="BL498" s="174"/>
      <x:c r="BM498" s="174"/>
      <x:c r="BN498" s="174"/>
      <x:c r="BO498" s="174"/>
      <x:c r="BP498" s="174"/>
      <x:c r="BQ498" s="174"/>
      <x:c r="BR498" s="174"/>
      <x:c r="BS498" s="174"/>
      <x:c r="BT498" s="174"/>
      <x:c r="BU498" s="174"/>
      <x:c r="BV498" s="174"/>
      <x:c r="BW498" s="174"/>
      <x:c r="BX498" s="174"/>
      <x:c r="BY498" s="174"/>
      <x:c r="BZ498" s="174"/>
      <x:c r="CA498" s="174"/>
      <x:c r="CB498" s="174"/>
      <x:c r="CC498" s="174"/>
      <x:c r="CD498" s="174"/>
      <x:c r="CE498" s="174"/>
      <x:c r="CF498" s="174"/>
      <x:c r="CG498" s="174"/>
      <x:c r="CH498" s="174"/>
      <x:c r="CI498" s="179"/>
      <x:c r="CJ498" s="174"/>
      <x:c r="CK498" s="174"/>
      <x:c r="CL498" s="174"/>
      <x:c r="CM498" s="174"/>
      <x:c r="CN498" s="174"/>
      <x:c r="CO498" s="177"/>
      <x:c r="CP498" s="174"/>
      <x:c r="CQ498" s="174"/>
      <x:c r="CR498" s="174"/>
      <x:c r="CS498" s="174"/>
      <x:c r="CT498" s="174"/>
      <x:c r="CU498" s="176"/>
      <x:c r="CV498" s="176"/>
      <x:c r="CW498" s="176"/>
      <x:c r="CX498" s="176"/>
      <x:c r="CY498" s="176"/>
      <x:c r="CZ498" s="176"/>
      <x:c r="DA498" s="176"/>
      <x:c r="DB498" s="175" t="str">
        <x:f>IF(L498="","",IF(COUNT(CU498:DA498)&lt;7,"",SUM(CU498:DA498)))</x:f>
      </x:c>
      <x:c r="DC498" s="180" t="str">
        <x:f>IF(DB498="","",ROUND(DB498/14*10,1))</x:f>
      </x:c>
      <x:c r="DD498" s="174"/>
      <x:c r="DE498" s="175" t="str">
        <x:f>IF(L498="","",IF(DC498="","Pending",IF(DD498="Yes","CONDITIONAL — safety override",IF(DC498&gt;=8,"HIGH",IF(DC498&gt;=5,"CONDITIONAL","LOW")))))</x:f>
      </x:c>
      <x:c r="DF498" s="174"/>
      <x:c r="DG498" s="174"/>
      <x:c r="DH498" s="174"/>
      <x:c r="DI498" s="174"/>
      <x:c r="DJ498" s="174"/>
      <x:c r="DK498" s="174"/>
      <x:c r="DL498" s="174"/>
      <x:c r="DM498" s="174"/>
      <x:c r="DN498" s="174"/>
      <x:c r="DO498" s="174"/>
      <x:c r="DP498" s="174"/>
      <x:c r="DQ498" s="174"/>
      <x:c r="DR498" s="174"/>
      <x:c r="DS498" s="174"/>
      <x:c r="DT498" s="174"/>
      <x:c r="DU498" s="174"/>
      <x:c r="DV498" s="174"/>
      <x:c r="DW498" s="174"/>
      <x:c r="DX498" s="174"/>
      <x:c r="DY498" s="174"/>
      <x:c r="DZ498" s="174"/>
      <x:c r="EA498" s="174"/>
      <x:c r="EB498" s="175" t="str">
        <x:f>IF(L498="","",IF(AND(F498="Claim-ready",CJ498="Yes",CL498="Yes",DZ498&lt;&gt;""),"Yes","No / Pending"))</x:f>
      </x:c>
      <x:c r="EC498" s="174"/>
      <x:c r="ED498" s="174"/>
      <x:c r="EE498" s="174"/>
      <x:c r="EF498" s="174"/>
      <x:c r="EG498" s="174"/>
      <x:c r="EH498" s="177"/>
      <x:c r="EI498" s="174"/>
      <x:c r="EJ498" s="174"/>
      <x:c r="EK498" s="174"/>
      <x:c r="EL498" s="177"/>
      <x:c r="EM498" s="174"/>
      <x:c r="EN498" s="181" t="str">
        <x:f>IF(L498="","",(IF(N498&lt;&gt;"",1,0)+IF(O498&lt;&gt;"",1,0)+IF(AJ498&lt;&gt;"",1,0)+IF(AU498&lt;&gt;"",1,0)+IF(BE498&lt;&gt;"",1,0)+IF(CF498&lt;&gt;"",1,0)+IF(CJ498="Yes",1,0)+IF(CL498="Yes",1,0)+IF(DE498&lt;&gt;"Pending",1,0)+IF(F498&lt;&gt;"",1,0)+IF(DZ498&lt;&gt;"",1,0)+IF(EI498&lt;&gt;"",1,0))/12)</x:f>
      </x:c>
    </x:row>
    <x:row r="499">
      <x:c r="A499" s="175" t="str">
        <x:f>IF(L499="","","EV-"&amp;TEXT(ROW()-3,"0000"))</x:f>
      </x:c>
      <x:c r="B499" s="174"/>
      <x:c r="C499" s="175" t="str">
        <x:f>IF(L499="","",IF(OR(CM499="Retracted",CN499="Retracted",F499="Not used"),"🔴 Do not use for conclusion",IF(OR(R499="Official / Institutional",I499="Official / contextual"),"🔵 Official / contextual",IF(OR(I499="Definition",I499="Framework",I499="Paradigm shift"),"🟣 Conceptual key source",IF(AND(CJ499="Yes",CL499="Yes",OR(CG499="High",CG499="Moderate"),CH499&lt;&gt;"High",CH499&lt;&gt;"Critical",F499="Claim-ready"),"🟢 Claim-ready","🟡 Caution / context")))))</x:f>
      </x:c>
      <x:c r="D499" s="174"/>
      <x:c r="E499" s="174"/>
      <x:c r="F499" s="174"/>
      <x:c r="G499" s="174"/>
      <x:c r="H499" s="174"/>
      <x:c r="I499" s="174"/>
      <x:c r="J499" s="174"/>
      <x:c r="K499" s="174"/>
      <x:c r="L499" s="174"/>
      <x:c r="M499" s="174"/>
      <x:c r="N499" s="174"/>
      <x:c r="O499" s="176"/>
      <x:c r="P499" s="174"/>
      <x:c r="Q499" s="174"/>
      <x:c r="R499" s="174"/>
      <x:c r="S499" s="174"/>
      <x:c r="T499" s="174"/>
      <x:c r="U499" s="174"/>
      <x:c r="V499" s="174"/>
      <x:c r="W499" s="175" t="str">
        <x:f>IF(V499="","",LOWER(SUBSTITUTE(SUBSTITUTE(SUBSTITUTE(SUBSTITUTE(TRIM(V499),"https://doi.org/",""),"http://doi.org/",""),"https://dx.doi.org/",""),"doi:","")))</x:f>
      </x:c>
      <x:c r="X499" s="174"/>
      <x:c r="Y499" s="174"/>
      <x:c r="Z499" s="174"/>
      <x:c r="AA499" s="174"/>
      <x:c r="AB499" s="174"/>
      <x:c r="AC499" s="174"/>
      <x:c r="AD499" s="177"/>
      <x:c r="AE499" s="177"/>
      <x:c r="AF499" s="174"/>
      <x:c r="AG499" s="174"/>
      <x:c r="AH499" s="174"/>
      <x:c r="AI499" s="174"/>
      <x:c r="AJ499" s="174"/>
      <x:c r="AK499" s="175" t="str">
        <x:f>IF(AJ499="","",IF(OR(LOWER(AJ499)="brazil",LOWER(AJ499)="brasil"),"Yes","No"))</x:f>
      </x:c>
      <x:c r="AL499" s="174"/>
      <x:c r="AM499" s="174"/>
      <x:c r="AN499" s="174"/>
      <x:c r="AO499" s="178"/>
      <x:c r="AP499" s="174"/>
      <x:c r="AQ499" s="174"/>
      <x:c r="AR499" s="174"/>
      <x:c r="AS499" s="174"/>
      <x:c r="AT499" s="174"/>
      <x:c r="AU499" s="174"/>
      <x:c r="AV499" s="174"/>
      <x:c r="AW499" s="174"/>
      <x:c r="AX499" s="174"/>
      <x:c r="AY499" s="174"/>
      <x:c r="AZ499" s="174"/>
      <x:c r="BA499" s="174"/>
      <x:c r="BB499" s="174"/>
      <x:c r="BC499" s="174"/>
      <x:c r="BD499" s="174"/>
      <x:c r="BE499" s="174"/>
      <x:c r="BF499" s="174"/>
      <x:c r="BG499" s="174"/>
      <x:c r="BH499" s="174"/>
      <x:c r="BI499" s="174"/>
      <x:c r="BJ499" s="174"/>
      <x:c r="BK499" s="174"/>
      <x:c r="BL499" s="174"/>
      <x:c r="BM499" s="174"/>
      <x:c r="BN499" s="174"/>
      <x:c r="BO499" s="174"/>
      <x:c r="BP499" s="174"/>
      <x:c r="BQ499" s="174"/>
      <x:c r="BR499" s="174"/>
      <x:c r="BS499" s="174"/>
      <x:c r="BT499" s="174"/>
      <x:c r="BU499" s="174"/>
      <x:c r="BV499" s="174"/>
      <x:c r="BW499" s="174"/>
      <x:c r="BX499" s="174"/>
      <x:c r="BY499" s="174"/>
      <x:c r="BZ499" s="174"/>
      <x:c r="CA499" s="174"/>
      <x:c r="CB499" s="174"/>
      <x:c r="CC499" s="174"/>
      <x:c r="CD499" s="174"/>
      <x:c r="CE499" s="174"/>
      <x:c r="CF499" s="174"/>
      <x:c r="CG499" s="174"/>
      <x:c r="CH499" s="174"/>
      <x:c r="CI499" s="179"/>
      <x:c r="CJ499" s="174"/>
      <x:c r="CK499" s="174"/>
      <x:c r="CL499" s="174"/>
      <x:c r="CM499" s="174"/>
      <x:c r="CN499" s="174"/>
      <x:c r="CO499" s="177"/>
      <x:c r="CP499" s="174"/>
      <x:c r="CQ499" s="174"/>
      <x:c r="CR499" s="174"/>
      <x:c r="CS499" s="174"/>
      <x:c r="CT499" s="174"/>
      <x:c r="CU499" s="176"/>
      <x:c r="CV499" s="176"/>
      <x:c r="CW499" s="176"/>
      <x:c r="CX499" s="176"/>
      <x:c r="CY499" s="176"/>
      <x:c r="CZ499" s="176"/>
      <x:c r="DA499" s="176"/>
      <x:c r="DB499" s="175" t="str">
        <x:f>IF(L499="","",IF(COUNT(CU499:DA499)&lt;7,"",SUM(CU499:DA499)))</x:f>
      </x:c>
      <x:c r="DC499" s="180" t="str">
        <x:f>IF(DB499="","",ROUND(DB499/14*10,1))</x:f>
      </x:c>
      <x:c r="DD499" s="174"/>
      <x:c r="DE499" s="175" t="str">
        <x:f>IF(L499="","",IF(DC499="","Pending",IF(DD499="Yes","CONDITIONAL — safety override",IF(DC499&gt;=8,"HIGH",IF(DC499&gt;=5,"CONDITIONAL","LOW")))))</x:f>
      </x:c>
      <x:c r="DF499" s="174"/>
      <x:c r="DG499" s="174"/>
      <x:c r="DH499" s="174"/>
      <x:c r="DI499" s="174"/>
      <x:c r="DJ499" s="174"/>
      <x:c r="DK499" s="174"/>
      <x:c r="DL499" s="174"/>
      <x:c r="DM499" s="174"/>
      <x:c r="DN499" s="174"/>
      <x:c r="DO499" s="174"/>
      <x:c r="DP499" s="174"/>
      <x:c r="DQ499" s="174"/>
      <x:c r="DR499" s="174"/>
      <x:c r="DS499" s="174"/>
      <x:c r="DT499" s="174"/>
      <x:c r="DU499" s="174"/>
      <x:c r="DV499" s="174"/>
      <x:c r="DW499" s="174"/>
      <x:c r="DX499" s="174"/>
      <x:c r="DY499" s="174"/>
      <x:c r="DZ499" s="174"/>
      <x:c r="EA499" s="174"/>
      <x:c r="EB499" s="175" t="str">
        <x:f>IF(L499="","",IF(AND(F499="Claim-ready",CJ499="Yes",CL499="Yes",DZ499&lt;&gt;""),"Yes","No / Pending"))</x:f>
      </x:c>
      <x:c r="EC499" s="174"/>
      <x:c r="ED499" s="174"/>
      <x:c r="EE499" s="174"/>
      <x:c r="EF499" s="174"/>
      <x:c r="EG499" s="174"/>
      <x:c r="EH499" s="177"/>
      <x:c r="EI499" s="174"/>
      <x:c r="EJ499" s="174"/>
      <x:c r="EK499" s="174"/>
      <x:c r="EL499" s="177"/>
      <x:c r="EM499" s="174"/>
      <x:c r="EN499" s="181" t="str">
        <x:f>IF(L499="","",(IF(N499&lt;&gt;"",1,0)+IF(O499&lt;&gt;"",1,0)+IF(AJ499&lt;&gt;"",1,0)+IF(AU499&lt;&gt;"",1,0)+IF(BE499&lt;&gt;"",1,0)+IF(CF499&lt;&gt;"",1,0)+IF(CJ499="Yes",1,0)+IF(CL499="Yes",1,0)+IF(DE499&lt;&gt;"Pending",1,0)+IF(F499&lt;&gt;"",1,0)+IF(DZ499&lt;&gt;"",1,0)+IF(EI499&lt;&gt;"",1,0))/12)</x:f>
      </x:c>
    </x:row>
    <x:row r="500">
      <x:c r="A500" s="175" t="str">
        <x:f>IF(L500="","","EV-"&amp;TEXT(ROW()-3,"0000"))</x:f>
      </x:c>
      <x:c r="B500" s="174"/>
      <x:c r="C500" s="175" t="str">
        <x:f>IF(L500="","",IF(OR(CM500="Retracted",CN500="Retracted",F500="Not used"),"🔴 Do not use for conclusion",IF(OR(R500="Official / Institutional",I500="Official / contextual"),"🔵 Official / contextual",IF(OR(I500="Definition",I500="Framework",I500="Paradigm shift"),"🟣 Conceptual key source",IF(AND(CJ500="Yes",CL500="Yes",OR(CG500="High",CG500="Moderate"),CH500&lt;&gt;"High",CH500&lt;&gt;"Critical",F500="Claim-ready"),"🟢 Claim-ready","🟡 Caution / context")))))</x:f>
      </x:c>
      <x:c r="D500" s="174"/>
      <x:c r="E500" s="174"/>
      <x:c r="F500" s="174"/>
      <x:c r="G500" s="174"/>
      <x:c r="H500" s="174"/>
      <x:c r="I500" s="174"/>
      <x:c r="J500" s="174"/>
      <x:c r="K500" s="174"/>
      <x:c r="L500" s="174"/>
      <x:c r="M500" s="174"/>
      <x:c r="N500" s="174"/>
      <x:c r="O500" s="176"/>
      <x:c r="P500" s="174"/>
      <x:c r="Q500" s="174"/>
      <x:c r="R500" s="174"/>
      <x:c r="S500" s="174"/>
      <x:c r="T500" s="174"/>
      <x:c r="U500" s="174"/>
      <x:c r="V500" s="174"/>
      <x:c r="W500" s="175" t="str">
        <x:f>IF(V500="","",LOWER(SUBSTITUTE(SUBSTITUTE(SUBSTITUTE(SUBSTITUTE(TRIM(V500),"https://doi.org/",""),"http://doi.org/",""),"https://dx.doi.org/",""),"doi:","")))</x:f>
      </x:c>
      <x:c r="X500" s="174"/>
      <x:c r="Y500" s="174"/>
      <x:c r="Z500" s="174"/>
      <x:c r="AA500" s="174"/>
      <x:c r="AB500" s="174"/>
      <x:c r="AC500" s="174"/>
      <x:c r="AD500" s="177"/>
      <x:c r="AE500" s="177"/>
      <x:c r="AF500" s="174"/>
      <x:c r="AG500" s="174"/>
      <x:c r="AH500" s="174"/>
      <x:c r="AI500" s="174"/>
      <x:c r="AJ500" s="174"/>
      <x:c r="AK500" s="175" t="str">
        <x:f>IF(AJ500="","",IF(OR(LOWER(AJ500)="brazil",LOWER(AJ500)="brasil"),"Yes","No"))</x:f>
      </x:c>
      <x:c r="AL500" s="174"/>
      <x:c r="AM500" s="174"/>
      <x:c r="AN500" s="174"/>
      <x:c r="AO500" s="178"/>
      <x:c r="AP500" s="174"/>
      <x:c r="AQ500" s="174"/>
      <x:c r="AR500" s="174"/>
      <x:c r="AS500" s="174"/>
      <x:c r="AT500" s="174"/>
      <x:c r="AU500" s="174"/>
      <x:c r="AV500" s="174"/>
      <x:c r="AW500" s="174"/>
      <x:c r="AX500" s="174"/>
      <x:c r="AY500" s="174"/>
      <x:c r="AZ500" s="174"/>
      <x:c r="BA500" s="174"/>
      <x:c r="BB500" s="174"/>
      <x:c r="BC500" s="174"/>
      <x:c r="BD500" s="174"/>
      <x:c r="BE500" s="174"/>
      <x:c r="BF500" s="174"/>
      <x:c r="BG500" s="174"/>
      <x:c r="BH500" s="174"/>
      <x:c r="BI500" s="174"/>
      <x:c r="BJ500" s="174"/>
      <x:c r="BK500" s="174"/>
      <x:c r="BL500" s="174"/>
      <x:c r="BM500" s="174"/>
      <x:c r="BN500" s="174"/>
      <x:c r="BO500" s="174"/>
      <x:c r="BP500" s="174"/>
      <x:c r="BQ500" s="174"/>
      <x:c r="BR500" s="174"/>
      <x:c r="BS500" s="174"/>
      <x:c r="BT500" s="174"/>
      <x:c r="BU500" s="174"/>
      <x:c r="BV500" s="174"/>
      <x:c r="BW500" s="174"/>
      <x:c r="BX500" s="174"/>
      <x:c r="BY500" s="174"/>
      <x:c r="BZ500" s="174"/>
      <x:c r="CA500" s="174"/>
      <x:c r="CB500" s="174"/>
      <x:c r="CC500" s="174"/>
      <x:c r="CD500" s="174"/>
      <x:c r="CE500" s="174"/>
      <x:c r="CF500" s="174"/>
      <x:c r="CG500" s="174"/>
      <x:c r="CH500" s="174"/>
      <x:c r="CI500" s="179"/>
      <x:c r="CJ500" s="174"/>
      <x:c r="CK500" s="174"/>
      <x:c r="CL500" s="174"/>
      <x:c r="CM500" s="174"/>
      <x:c r="CN500" s="174"/>
      <x:c r="CO500" s="177"/>
      <x:c r="CP500" s="174"/>
      <x:c r="CQ500" s="174"/>
      <x:c r="CR500" s="174"/>
      <x:c r="CS500" s="174"/>
      <x:c r="CT500" s="174"/>
      <x:c r="CU500" s="176"/>
      <x:c r="CV500" s="176"/>
      <x:c r="CW500" s="176"/>
      <x:c r="CX500" s="176"/>
      <x:c r="CY500" s="176"/>
      <x:c r="CZ500" s="176"/>
      <x:c r="DA500" s="176"/>
      <x:c r="DB500" s="175" t="str">
        <x:f>IF(L500="","",IF(COUNT(CU500:DA500)&lt;7,"",SUM(CU500:DA500)))</x:f>
      </x:c>
      <x:c r="DC500" s="180" t="str">
        <x:f>IF(DB500="","",ROUND(DB500/14*10,1))</x:f>
      </x:c>
      <x:c r="DD500" s="174"/>
      <x:c r="DE500" s="175" t="str">
        <x:f>IF(L500="","",IF(DC500="","Pending",IF(DD500="Yes","CONDITIONAL — safety override",IF(DC500&gt;=8,"HIGH",IF(DC500&gt;=5,"CONDITIONAL","LOW")))))</x:f>
      </x:c>
      <x:c r="DF500" s="174"/>
      <x:c r="DG500" s="174"/>
      <x:c r="DH500" s="174"/>
      <x:c r="DI500" s="174"/>
      <x:c r="DJ500" s="174"/>
      <x:c r="DK500" s="174"/>
      <x:c r="DL500" s="174"/>
      <x:c r="DM500" s="174"/>
      <x:c r="DN500" s="174"/>
      <x:c r="DO500" s="174"/>
      <x:c r="DP500" s="174"/>
      <x:c r="DQ500" s="174"/>
      <x:c r="DR500" s="174"/>
      <x:c r="DS500" s="174"/>
      <x:c r="DT500" s="174"/>
      <x:c r="DU500" s="174"/>
      <x:c r="DV500" s="174"/>
      <x:c r="DW500" s="174"/>
      <x:c r="DX500" s="174"/>
      <x:c r="DY500" s="174"/>
      <x:c r="DZ500" s="174"/>
      <x:c r="EA500" s="174"/>
      <x:c r="EB500" s="175" t="str">
        <x:f>IF(L500="","",IF(AND(F500="Claim-ready",CJ500="Yes",CL500="Yes",DZ500&lt;&gt;""),"Yes","No / Pending"))</x:f>
      </x:c>
      <x:c r="EC500" s="174"/>
      <x:c r="ED500" s="174"/>
      <x:c r="EE500" s="174"/>
      <x:c r="EF500" s="174"/>
      <x:c r="EG500" s="174"/>
      <x:c r="EH500" s="177"/>
      <x:c r="EI500" s="174"/>
      <x:c r="EJ500" s="174"/>
      <x:c r="EK500" s="174"/>
      <x:c r="EL500" s="177"/>
      <x:c r="EM500" s="174"/>
      <x:c r="EN500" s="181" t="str">
        <x:f>IF(L500="","",(IF(N500&lt;&gt;"",1,0)+IF(O500&lt;&gt;"",1,0)+IF(AJ500&lt;&gt;"",1,0)+IF(AU500&lt;&gt;"",1,0)+IF(BE500&lt;&gt;"",1,0)+IF(CF500&lt;&gt;"",1,0)+IF(CJ500="Yes",1,0)+IF(CL500="Yes",1,0)+IF(DE500&lt;&gt;"Pending",1,0)+IF(F500&lt;&gt;"",1,0)+IF(DZ500&lt;&gt;"",1,0)+IF(EI500&lt;&gt;"",1,0))/12)</x:f>
      </x:c>
    </x:row>
    <x:row r="501">
      <x:c r="A501" s="175" t="str">
        <x:f>IF(L501="","","EV-"&amp;TEXT(ROW()-3,"0000"))</x:f>
      </x:c>
      <x:c r="B501" s="174"/>
      <x:c r="C501" s="175" t="str">
        <x:f>IF(L501="","",IF(OR(CM501="Retracted",CN501="Retracted",F501="Not used"),"🔴 Do not use for conclusion",IF(OR(R501="Official / Institutional",I501="Official / contextual"),"🔵 Official / contextual",IF(OR(I501="Definition",I501="Framework",I501="Paradigm shift"),"🟣 Conceptual key source",IF(AND(CJ501="Yes",CL501="Yes",OR(CG501="High",CG501="Moderate"),CH501&lt;&gt;"High",CH501&lt;&gt;"Critical",F501="Claim-ready"),"🟢 Claim-ready","🟡 Caution / context")))))</x:f>
      </x:c>
      <x:c r="D501" s="174"/>
      <x:c r="E501" s="174"/>
      <x:c r="F501" s="174"/>
      <x:c r="G501" s="174"/>
      <x:c r="H501" s="174"/>
      <x:c r="I501" s="174"/>
      <x:c r="J501" s="174"/>
      <x:c r="K501" s="174"/>
      <x:c r="L501" s="174"/>
      <x:c r="M501" s="174"/>
      <x:c r="N501" s="174"/>
      <x:c r="O501" s="176"/>
      <x:c r="P501" s="174"/>
      <x:c r="Q501" s="174"/>
      <x:c r="R501" s="174"/>
      <x:c r="S501" s="174"/>
      <x:c r="T501" s="174"/>
      <x:c r="U501" s="174"/>
      <x:c r="V501" s="174"/>
      <x:c r="W501" s="175" t="str">
        <x:f>IF(V501="","",LOWER(SUBSTITUTE(SUBSTITUTE(SUBSTITUTE(SUBSTITUTE(TRIM(V501),"https://doi.org/",""),"http://doi.org/",""),"https://dx.doi.org/",""),"doi:","")))</x:f>
      </x:c>
      <x:c r="X501" s="174"/>
      <x:c r="Y501" s="174"/>
      <x:c r="Z501" s="174"/>
      <x:c r="AA501" s="174"/>
      <x:c r="AB501" s="174"/>
      <x:c r="AC501" s="174"/>
      <x:c r="AD501" s="177"/>
      <x:c r="AE501" s="177"/>
      <x:c r="AF501" s="174"/>
      <x:c r="AG501" s="174"/>
      <x:c r="AH501" s="174"/>
      <x:c r="AI501" s="174"/>
      <x:c r="AJ501" s="174"/>
      <x:c r="AK501" s="175" t="str">
        <x:f>IF(AJ501="","",IF(OR(LOWER(AJ501)="brazil",LOWER(AJ501)="brasil"),"Yes","No"))</x:f>
      </x:c>
      <x:c r="AL501" s="174"/>
      <x:c r="AM501" s="174"/>
      <x:c r="AN501" s="174"/>
      <x:c r="AO501" s="178"/>
      <x:c r="AP501" s="174"/>
      <x:c r="AQ501" s="174"/>
      <x:c r="AR501" s="174"/>
      <x:c r="AS501" s="174"/>
      <x:c r="AT501" s="174"/>
      <x:c r="AU501" s="174"/>
      <x:c r="AV501" s="174"/>
      <x:c r="AW501" s="174"/>
      <x:c r="AX501" s="174"/>
      <x:c r="AY501" s="174"/>
      <x:c r="AZ501" s="174"/>
      <x:c r="BA501" s="174"/>
      <x:c r="BB501" s="174"/>
      <x:c r="BC501" s="174"/>
      <x:c r="BD501" s="174"/>
      <x:c r="BE501" s="174"/>
      <x:c r="BF501" s="174"/>
      <x:c r="BG501" s="174"/>
      <x:c r="BH501" s="174"/>
      <x:c r="BI501" s="174"/>
      <x:c r="BJ501" s="174"/>
      <x:c r="BK501" s="174"/>
      <x:c r="BL501" s="174"/>
      <x:c r="BM501" s="174"/>
      <x:c r="BN501" s="174"/>
      <x:c r="BO501" s="174"/>
      <x:c r="BP501" s="174"/>
      <x:c r="BQ501" s="174"/>
      <x:c r="BR501" s="174"/>
      <x:c r="BS501" s="174"/>
      <x:c r="BT501" s="174"/>
      <x:c r="BU501" s="174"/>
      <x:c r="BV501" s="174"/>
      <x:c r="BW501" s="174"/>
      <x:c r="BX501" s="174"/>
      <x:c r="BY501" s="174"/>
      <x:c r="BZ501" s="174"/>
      <x:c r="CA501" s="174"/>
      <x:c r="CB501" s="174"/>
      <x:c r="CC501" s="174"/>
      <x:c r="CD501" s="174"/>
      <x:c r="CE501" s="174"/>
      <x:c r="CF501" s="174"/>
      <x:c r="CG501" s="174"/>
      <x:c r="CH501" s="174"/>
      <x:c r="CI501" s="179"/>
      <x:c r="CJ501" s="174"/>
      <x:c r="CK501" s="174"/>
      <x:c r="CL501" s="174"/>
      <x:c r="CM501" s="174"/>
      <x:c r="CN501" s="174"/>
      <x:c r="CO501" s="177"/>
      <x:c r="CP501" s="174"/>
      <x:c r="CQ501" s="174"/>
      <x:c r="CR501" s="174"/>
      <x:c r="CS501" s="174"/>
      <x:c r="CT501" s="174"/>
      <x:c r="CU501" s="176"/>
      <x:c r="CV501" s="176"/>
      <x:c r="CW501" s="176"/>
      <x:c r="CX501" s="176"/>
      <x:c r="CY501" s="176"/>
      <x:c r="CZ501" s="176"/>
      <x:c r="DA501" s="176"/>
      <x:c r="DB501" s="175" t="str">
        <x:f>IF(L501="","",IF(COUNT(CU501:DA501)&lt;7,"",SUM(CU501:DA501)))</x:f>
      </x:c>
      <x:c r="DC501" s="180" t="str">
        <x:f>IF(DB501="","",ROUND(DB501/14*10,1))</x:f>
      </x:c>
      <x:c r="DD501" s="174"/>
      <x:c r="DE501" s="175" t="str">
        <x:f>IF(L501="","",IF(DC501="","Pending",IF(DD501="Yes","CONDITIONAL — safety override",IF(DC501&gt;=8,"HIGH",IF(DC501&gt;=5,"CONDITIONAL","LOW")))))</x:f>
      </x:c>
      <x:c r="DF501" s="174"/>
      <x:c r="DG501" s="174"/>
      <x:c r="DH501" s="174"/>
      <x:c r="DI501" s="174"/>
      <x:c r="DJ501" s="174"/>
      <x:c r="DK501" s="174"/>
      <x:c r="DL501" s="174"/>
      <x:c r="DM501" s="174"/>
      <x:c r="DN501" s="174"/>
      <x:c r="DO501" s="174"/>
      <x:c r="DP501" s="174"/>
      <x:c r="DQ501" s="174"/>
      <x:c r="DR501" s="174"/>
      <x:c r="DS501" s="174"/>
      <x:c r="DT501" s="174"/>
      <x:c r="DU501" s="174"/>
      <x:c r="DV501" s="174"/>
      <x:c r="DW501" s="174"/>
      <x:c r="DX501" s="174"/>
      <x:c r="DY501" s="174"/>
      <x:c r="DZ501" s="174"/>
      <x:c r="EA501" s="174"/>
      <x:c r="EB501" s="175" t="str">
        <x:f>IF(L501="","",IF(AND(F501="Claim-ready",CJ501="Yes",CL501="Yes",DZ501&lt;&gt;""),"Yes","No / Pending"))</x:f>
      </x:c>
      <x:c r="EC501" s="174"/>
      <x:c r="ED501" s="174"/>
      <x:c r="EE501" s="174"/>
      <x:c r="EF501" s="174"/>
      <x:c r="EG501" s="174"/>
      <x:c r="EH501" s="177"/>
      <x:c r="EI501" s="174"/>
      <x:c r="EJ501" s="174"/>
      <x:c r="EK501" s="174"/>
      <x:c r="EL501" s="177"/>
      <x:c r="EM501" s="174"/>
      <x:c r="EN501" s="181" t="str">
        <x:f>IF(L501="","",(IF(N501&lt;&gt;"",1,0)+IF(O501&lt;&gt;"",1,0)+IF(AJ501&lt;&gt;"",1,0)+IF(AU501&lt;&gt;"",1,0)+IF(BE501&lt;&gt;"",1,0)+IF(CF501&lt;&gt;"",1,0)+IF(CJ501="Yes",1,0)+IF(CL501="Yes",1,0)+IF(DE501&lt;&gt;"Pending",1,0)+IF(F501&lt;&gt;"",1,0)+IF(DZ501&lt;&gt;"",1,0)+IF(EI501&lt;&gt;"",1,0))/12)</x:f>
      </x:c>
    </x:row>
    <x:row r="502">
      <x:c r="A502" s="175" t="str">
        <x:f>IF(L502="","","EV-"&amp;TEXT(ROW()-3,"0000"))</x:f>
      </x:c>
      <x:c r="B502" s="174"/>
      <x:c r="C502" s="175" t="str">
        <x:f>IF(L502="","",IF(OR(CM502="Retracted",CN502="Retracted",F502="Not used"),"🔴 Do not use for conclusion",IF(OR(R502="Official / Institutional",I502="Official / contextual"),"🔵 Official / contextual",IF(OR(I502="Definition",I502="Framework",I502="Paradigm shift"),"🟣 Conceptual key source",IF(AND(CJ502="Yes",CL502="Yes",OR(CG502="High",CG502="Moderate"),CH502&lt;&gt;"High",CH502&lt;&gt;"Critical",F502="Claim-ready"),"🟢 Claim-ready","🟡 Caution / context")))))</x:f>
      </x:c>
      <x:c r="D502" s="174"/>
      <x:c r="E502" s="174"/>
      <x:c r="F502" s="174"/>
      <x:c r="G502" s="174"/>
      <x:c r="H502" s="174"/>
      <x:c r="I502" s="174"/>
      <x:c r="J502" s="174"/>
      <x:c r="K502" s="174"/>
      <x:c r="L502" s="174"/>
      <x:c r="M502" s="174"/>
      <x:c r="N502" s="174"/>
      <x:c r="O502" s="176"/>
      <x:c r="P502" s="174"/>
      <x:c r="Q502" s="174"/>
      <x:c r="R502" s="174"/>
      <x:c r="S502" s="174"/>
      <x:c r="T502" s="174"/>
      <x:c r="U502" s="174"/>
      <x:c r="V502" s="174"/>
      <x:c r="W502" s="175" t="str">
        <x:f>IF(V502="","",LOWER(SUBSTITUTE(SUBSTITUTE(SUBSTITUTE(SUBSTITUTE(TRIM(V502),"https://doi.org/",""),"http://doi.org/",""),"https://dx.doi.org/",""),"doi:","")))</x:f>
      </x:c>
      <x:c r="X502" s="174"/>
      <x:c r="Y502" s="174"/>
      <x:c r="Z502" s="174"/>
      <x:c r="AA502" s="174"/>
      <x:c r="AB502" s="174"/>
      <x:c r="AC502" s="174"/>
      <x:c r="AD502" s="177"/>
      <x:c r="AE502" s="177"/>
      <x:c r="AF502" s="174"/>
      <x:c r="AG502" s="174"/>
      <x:c r="AH502" s="174"/>
      <x:c r="AI502" s="174"/>
      <x:c r="AJ502" s="174"/>
      <x:c r="AK502" s="175" t="str">
        <x:f>IF(AJ502="","",IF(OR(LOWER(AJ502)="brazil",LOWER(AJ502)="brasil"),"Yes","No"))</x:f>
      </x:c>
      <x:c r="AL502" s="174"/>
      <x:c r="AM502" s="174"/>
      <x:c r="AN502" s="174"/>
      <x:c r="AO502" s="178"/>
      <x:c r="AP502" s="174"/>
      <x:c r="AQ502" s="174"/>
      <x:c r="AR502" s="174"/>
      <x:c r="AS502" s="174"/>
      <x:c r="AT502" s="174"/>
      <x:c r="AU502" s="174"/>
      <x:c r="AV502" s="174"/>
      <x:c r="AW502" s="174"/>
      <x:c r="AX502" s="174"/>
      <x:c r="AY502" s="174"/>
      <x:c r="AZ502" s="174"/>
      <x:c r="BA502" s="174"/>
      <x:c r="BB502" s="174"/>
      <x:c r="BC502" s="174"/>
      <x:c r="BD502" s="174"/>
      <x:c r="BE502" s="174"/>
      <x:c r="BF502" s="174"/>
      <x:c r="BG502" s="174"/>
      <x:c r="BH502" s="174"/>
      <x:c r="BI502" s="174"/>
      <x:c r="BJ502" s="174"/>
      <x:c r="BK502" s="174"/>
      <x:c r="BL502" s="174"/>
      <x:c r="BM502" s="174"/>
      <x:c r="BN502" s="174"/>
      <x:c r="BO502" s="174"/>
      <x:c r="BP502" s="174"/>
      <x:c r="BQ502" s="174"/>
      <x:c r="BR502" s="174"/>
      <x:c r="BS502" s="174"/>
      <x:c r="BT502" s="174"/>
      <x:c r="BU502" s="174"/>
      <x:c r="BV502" s="174"/>
      <x:c r="BW502" s="174"/>
      <x:c r="BX502" s="174"/>
      <x:c r="BY502" s="174"/>
      <x:c r="BZ502" s="174"/>
      <x:c r="CA502" s="174"/>
      <x:c r="CB502" s="174"/>
      <x:c r="CC502" s="174"/>
      <x:c r="CD502" s="174"/>
      <x:c r="CE502" s="174"/>
      <x:c r="CF502" s="174"/>
      <x:c r="CG502" s="174"/>
      <x:c r="CH502" s="174"/>
      <x:c r="CI502" s="179"/>
      <x:c r="CJ502" s="174"/>
      <x:c r="CK502" s="174"/>
      <x:c r="CL502" s="174"/>
      <x:c r="CM502" s="174"/>
      <x:c r="CN502" s="174"/>
      <x:c r="CO502" s="177"/>
      <x:c r="CP502" s="174"/>
      <x:c r="CQ502" s="174"/>
      <x:c r="CR502" s="174"/>
      <x:c r="CS502" s="174"/>
      <x:c r="CT502" s="174"/>
      <x:c r="CU502" s="176"/>
      <x:c r="CV502" s="176"/>
      <x:c r="CW502" s="176"/>
      <x:c r="CX502" s="176"/>
      <x:c r="CY502" s="176"/>
      <x:c r="CZ502" s="176"/>
      <x:c r="DA502" s="176"/>
      <x:c r="DB502" s="175" t="str">
        <x:f>IF(L502="","",IF(COUNT(CU502:DA502)&lt;7,"",SUM(CU502:DA502)))</x:f>
      </x:c>
      <x:c r="DC502" s="180" t="str">
        <x:f>IF(DB502="","",ROUND(DB502/14*10,1))</x:f>
      </x:c>
      <x:c r="DD502" s="174"/>
      <x:c r="DE502" s="175" t="str">
        <x:f>IF(L502="","",IF(DC502="","Pending",IF(DD502="Yes","CONDITIONAL — safety override",IF(DC502&gt;=8,"HIGH",IF(DC502&gt;=5,"CONDITIONAL","LOW")))))</x:f>
      </x:c>
      <x:c r="DF502" s="174"/>
      <x:c r="DG502" s="174"/>
      <x:c r="DH502" s="174"/>
      <x:c r="DI502" s="174"/>
      <x:c r="DJ502" s="174"/>
      <x:c r="DK502" s="174"/>
      <x:c r="DL502" s="174"/>
      <x:c r="DM502" s="174"/>
      <x:c r="DN502" s="174"/>
      <x:c r="DO502" s="174"/>
      <x:c r="DP502" s="174"/>
      <x:c r="DQ502" s="174"/>
      <x:c r="DR502" s="174"/>
      <x:c r="DS502" s="174"/>
      <x:c r="DT502" s="174"/>
      <x:c r="DU502" s="174"/>
      <x:c r="DV502" s="174"/>
      <x:c r="DW502" s="174"/>
      <x:c r="DX502" s="174"/>
      <x:c r="DY502" s="174"/>
      <x:c r="DZ502" s="174"/>
      <x:c r="EA502" s="174"/>
      <x:c r="EB502" s="175" t="str">
        <x:f>IF(L502="","",IF(AND(F502="Claim-ready",CJ502="Yes",CL502="Yes",DZ502&lt;&gt;""),"Yes","No / Pending"))</x:f>
      </x:c>
      <x:c r="EC502" s="174"/>
      <x:c r="ED502" s="174"/>
      <x:c r="EE502" s="174"/>
      <x:c r="EF502" s="174"/>
      <x:c r="EG502" s="174"/>
      <x:c r="EH502" s="177"/>
      <x:c r="EI502" s="174"/>
      <x:c r="EJ502" s="174"/>
      <x:c r="EK502" s="174"/>
      <x:c r="EL502" s="177"/>
      <x:c r="EM502" s="174"/>
      <x:c r="EN502" s="181" t="str">
        <x:f>IF(L502="","",(IF(N502&lt;&gt;"",1,0)+IF(O502&lt;&gt;"",1,0)+IF(AJ502&lt;&gt;"",1,0)+IF(AU502&lt;&gt;"",1,0)+IF(BE502&lt;&gt;"",1,0)+IF(CF502&lt;&gt;"",1,0)+IF(CJ502="Yes",1,0)+IF(CL502="Yes",1,0)+IF(DE502&lt;&gt;"Pending",1,0)+IF(F502&lt;&gt;"",1,0)+IF(DZ502&lt;&gt;"",1,0)+IF(EI502&lt;&gt;"",1,0))/12)</x:f>
      </x:c>
    </x:row>
    <x:row r="503">
      <x:c r="A503" s="175" t="str">
        <x:f>IF(L503="","","EV-"&amp;TEXT(ROW()-3,"0000"))</x:f>
      </x:c>
      <x:c r="B503" s="174"/>
      <x:c r="C503" s="175" t="str">
        <x:f>IF(L503="","",IF(OR(CM503="Retracted",CN503="Retracted",F503="Not used"),"🔴 Do not use for conclusion",IF(OR(R503="Official / Institutional",I503="Official / contextual"),"🔵 Official / contextual",IF(OR(I503="Definition",I503="Framework",I503="Paradigm shift"),"🟣 Conceptual key source",IF(AND(CJ503="Yes",CL503="Yes",OR(CG503="High",CG503="Moderate"),CH503&lt;&gt;"High",CH503&lt;&gt;"Critical",F503="Claim-ready"),"🟢 Claim-ready","🟡 Caution / context")))))</x:f>
      </x:c>
      <x:c r="D503" s="174"/>
      <x:c r="E503" s="174"/>
      <x:c r="F503" s="174"/>
      <x:c r="G503" s="174"/>
      <x:c r="H503" s="174"/>
      <x:c r="I503" s="174"/>
      <x:c r="J503" s="174"/>
      <x:c r="K503" s="174"/>
      <x:c r="L503" s="174"/>
      <x:c r="M503" s="174"/>
      <x:c r="N503" s="174"/>
      <x:c r="O503" s="176"/>
      <x:c r="P503" s="174"/>
      <x:c r="Q503" s="174"/>
      <x:c r="R503" s="174"/>
      <x:c r="S503" s="174"/>
      <x:c r="T503" s="174"/>
      <x:c r="U503" s="174"/>
      <x:c r="V503" s="174"/>
      <x:c r="W503" s="175" t="str">
        <x:f>IF(V503="","",LOWER(SUBSTITUTE(SUBSTITUTE(SUBSTITUTE(SUBSTITUTE(TRIM(V503),"https://doi.org/",""),"http://doi.org/",""),"https://dx.doi.org/",""),"doi:","")))</x:f>
      </x:c>
      <x:c r="X503" s="174"/>
      <x:c r="Y503" s="174"/>
      <x:c r="Z503" s="174"/>
      <x:c r="AA503" s="174"/>
      <x:c r="AB503" s="174"/>
      <x:c r="AC503" s="174"/>
      <x:c r="AD503" s="177"/>
      <x:c r="AE503" s="177"/>
      <x:c r="AF503" s="174"/>
      <x:c r="AG503" s="174"/>
      <x:c r="AH503" s="174"/>
      <x:c r="AI503" s="174"/>
      <x:c r="AJ503" s="174"/>
      <x:c r="AK503" s="175" t="str">
        <x:f>IF(AJ503="","",IF(OR(LOWER(AJ503)="brazil",LOWER(AJ503)="brasil"),"Yes","No"))</x:f>
      </x:c>
      <x:c r="AL503" s="174"/>
      <x:c r="AM503" s="174"/>
      <x:c r="AN503" s="174"/>
      <x:c r="AO503" s="178"/>
      <x:c r="AP503" s="174"/>
      <x:c r="AQ503" s="174"/>
      <x:c r="AR503" s="174"/>
      <x:c r="AS503" s="174"/>
      <x:c r="AT503" s="174"/>
      <x:c r="AU503" s="174"/>
      <x:c r="AV503" s="174"/>
      <x:c r="AW503" s="174"/>
      <x:c r="AX503" s="174"/>
      <x:c r="AY503" s="174"/>
      <x:c r="AZ503" s="174"/>
      <x:c r="BA503" s="174"/>
      <x:c r="BB503" s="174"/>
      <x:c r="BC503" s="174"/>
      <x:c r="BD503" s="174"/>
      <x:c r="BE503" s="174"/>
      <x:c r="BF503" s="174"/>
      <x:c r="BG503" s="174"/>
      <x:c r="BH503" s="174"/>
      <x:c r="BI503" s="174"/>
      <x:c r="BJ503" s="174"/>
      <x:c r="BK503" s="174"/>
      <x:c r="BL503" s="174"/>
      <x:c r="BM503" s="174"/>
      <x:c r="BN503" s="174"/>
      <x:c r="BO503" s="174"/>
      <x:c r="BP503" s="174"/>
      <x:c r="BQ503" s="174"/>
      <x:c r="BR503" s="174"/>
      <x:c r="BS503" s="174"/>
      <x:c r="BT503" s="174"/>
      <x:c r="BU503" s="174"/>
      <x:c r="BV503" s="174"/>
      <x:c r="BW503" s="174"/>
      <x:c r="BX503" s="174"/>
      <x:c r="BY503" s="174"/>
      <x:c r="BZ503" s="174"/>
      <x:c r="CA503" s="174"/>
      <x:c r="CB503" s="174"/>
      <x:c r="CC503" s="174"/>
      <x:c r="CD503" s="174"/>
      <x:c r="CE503" s="174"/>
      <x:c r="CF503" s="174"/>
      <x:c r="CG503" s="174"/>
      <x:c r="CH503" s="174"/>
      <x:c r="CI503" s="179"/>
      <x:c r="CJ503" s="174"/>
      <x:c r="CK503" s="174"/>
      <x:c r="CL503" s="174"/>
      <x:c r="CM503" s="174"/>
      <x:c r="CN503" s="174"/>
      <x:c r="CO503" s="177"/>
      <x:c r="CP503" s="174"/>
      <x:c r="CQ503" s="174"/>
      <x:c r="CR503" s="174"/>
      <x:c r="CS503" s="174"/>
      <x:c r="CT503" s="174"/>
      <x:c r="CU503" s="176"/>
      <x:c r="CV503" s="176"/>
      <x:c r="CW503" s="176"/>
      <x:c r="CX503" s="176"/>
      <x:c r="CY503" s="176"/>
      <x:c r="CZ503" s="176"/>
      <x:c r="DA503" s="176"/>
      <x:c r="DB503" s="175" t="str">
        <x:f>IF(L503="","",IF(COUNT(CU503:DA503)&lt;7,"",SUM(CU503:DA503)))</x:f>
      </x:c>
      <x:c r="DC503" s="180" t="str">
        <x:f>IF(DB503="","",ROUND(DB503/14*10,1))</x:f>
      </x:c>
      <x:c r="DD503" s="174"/>
      <x:c r="DE503" s="175" t="str">
        <x:f>IF(L503="","",IF(DC503="","Pending",IF(DD503="Yes","CONDITIONAL — safety override",IF(DC503&gt;=8,"HIGH",IF(DC503&gt;=5,"CONDITIONAL","LOW")))))</x:f>
      </x:c>
      <x:c r="DF503" s="174"/>
      <x:c r="DG503" s="174"/>
      <x:c r="DH503" s="174"/>
      <x:c r="DI503" s="174"/>
      <x:c r="DJ503" s="174"/>
      <x:c r="DK503" s="174"/>
      <x:c r="DL503" s="174"/>
      <x:c r="DM503" s="174"/>
      <x:c r="DN503" s="174"/>
      <x:c r="DO503" s="174"/>
      <x:c r="DP503" s="174"/>
      <x:c r="DQ503" s="174"/>
      <x:c r="DR503" s="174"/>
      <x:c r="DS503" s="174"/>
      <x:c r="DT503" s="174"/>
      <x:c r="DU503" s="174"/>
      <x:c r="DV503" s="174"/>
      <x:c r="DW503" s="174"/>
      <x:c r="DX503" s="174"/>
      <x:c r="DY503" s="174"/>
      <x:c r="DZ503" s="174"/>
      <x:c r="EA503" s="174"/>
      <x:c r="EB503" s="175" t="str">
        <x:f>IF(L503="","",IF(AND(F503="Claim-ready",CJ503="Yes",CL503="Yes",DZ503&lt;&gt;""),"Yes","No / Pending"))</x:f>
      </x:c>
      <x:c r="EC503" s="174"/>
      <x:c r="ED503" s="174"/>
      <x:c r="EE503" s="174"/>
      <x:c r="EF503" s="174"/>
      <x:c r="EG503" s="174"/>
      <x:c r="EH503" s="177"/>
      <x:c r="EI503" s="174"/>
      <x:c r="EJ503" s="174"/>
      <x:c r="EK503" s="174"/>
      <x:c r="EL503" s="177"/>
      <x:c r="EM503" s="174"/>
      <x:c r="EN503" s="181" t="str">
        <x:f>IF(L503="","",(IF(N503&lt;&gt;"",1,0)+IF(O503&lt;&gt;"",1,0)+IF(AJ503&lt;&gt;"",1,0)+IF(AU503&lt;&gt;"",1,0)+IF(BE503&lt;&gt;"",1,0)+IF(CF503&lt;&gt;"",1,0)+IF(CJ503="Yes",1,0)+IF(CL503="Yes",1,0)+IF(DE503&lt;&gt;"Pending",1,0)+IF(F503&lt;&gt;"",1,0)+IF(DZ503&lt;&gt;"",1,0)+IF(EI503&lt;&gt;"",1,0))/12)</x:f>
      </x:c>
    </x:row>
  </x:sheetData>
  <x:mergeCells>
    <x:mergeCell ref="A1:EN1"/>
    <x:mergeCell ref="A2:K2"/>
    <x:mergeCell ref="L2:U2"/>
    <x:mergeCell ref="V2:AI2"/>
    <x:mergeCell ref="AJ2:AT2"/>
    <x:mergeCell ref="AU2:BD2"/>
    <x:mergeCell ref="BE2:BP2"/>
    <x:mergeCell ref="BQ2:CE2"/>
    <x:mergeCell ref="CF2:CT2"/>
    <x:mergeCell ref="CU2:DF2"/>
    <x:mergeCell ref="DG2:DS2"/>
    <x:mergeCell ref="DT2:EC2"/>
    <x:mergeCell ref="ED2:EN2"/>
  </x:mergeCells>
  <x:conditionalFormatting sqref="C4:C503">
    <x:cfRule type="containsText" dxfId="5" priority="1" operator="containsText" text="🟢"/>
    <x:cfRule type="containsText" dxfId="6" priority="2" operator="containsText" text="🟡"/>
    <x:cfRule type="containsText" dxfId="7" priority="3" operator="containsText" text="🔴"/>
    <x:cfRule type="containsText" dxfId="8" priority="4" operator="containsText" text="🔵"/>
    <x:cfRule type="containsText" dxfId="9" priority="5" operator="containsText" text="🟣"/>
  </x:conditionalFormatting>
  <x:conditionalFormatting sqref="DE4:DE503">
    <x:cfRule type="containsText" dxfId="10" priority="6" operator="containsText" text="HIGH"/>
    <x:cfRule type="containsText" dxfId="11" priority="7" operator="containsText" text="CONDITIONAL"/>
    <x:cfRule type="containsText" dxfId="12" priority="8" operator="containsText" text="LOW"/>
    <x:cfRule type="containsText" dxfId="13" priority="9" operator="containsText" text="Pending"/>
  </x:conditionalFormatting>
  <x:conditionalFormatting sqref="CH4:CH503">
    <x:cfRule type="containsText" dxfId="14" priority="10" operator="containsText" text="Low"/>
    <x:cfRule type="containsText" dxfId="15" priority="11" operator="containsText" text="Some concerns"/>
    <x:cfRule type="containsText" dxfId="16" priority="12" operator="containsText" text="High"/>
    <x:cfRule type="containsText" dxfId="17" priority="13" operator="containsText" text="Critical"/>
  </x:conditionalFormatting>
  <x:conditionalFormatting sqref="CN4:CN503">
    <x:cfRule type="containsText" dxfId="18" priority="14" operator="containsText" text="Verified — clear"/>
    <x:cfRule type="containsText" dxfId="19" priority="15" operator="containsText" text="Verified — correction"/>
    <x:cfRule type="containsText" dxfId="20" priority="16" operator="containsText" text="Expression of Concern"/>
    <x:cfRule type="containsText" dxfId="21" priority="17" operator="containsText" text="Retracted"/>
  </x:conditionalFormatting>
  <x:dataValidations count="29">
    <x:dataValidation type="list" sqref="B4:B503">
      <x:formula1>"Identified,Metadata verification,Integrity check,Critical appraisal,Transferability,Claim mapping,Claim-ready,Contextual,Not used,Locked"</x:formula1>
    </x:dataValidation>
    <x:dataValidation type="list" sqref="E4:E503">
      <x:formula1>"P1 — Critical,P2 — High,P3 — Medium,P4 — Low"</x:formula1>
    </x:dataValidation>
    <x:dataValidation type="list" sqref="F4:F503">
      <x:formula1>"Pending,Claim-ready,Contextual,Not used"</x:formula1>
    </x:dataValidation>
    <x:dataValidation type="list" sqref="I4:I503">
      <x:formula1>"Definition,Framework,Indicator,Implementation,Brazil context,Paradigm shift,Empirical evidence,Official / contextual"</x:formula1>
    </x:dataValidation>
    <x:dataValidation type="list" sqref="J4:J503">
      <x:formula1>"A — Core,B — APHT / Medical Readiness,C — Implementation Science,Regional / Official,Citation Chasing,Seed / Pilot"</x:formula1>
    </x:dataValidation>
    <x:dataValidation type="list" sqref="K4:K503">
      <x:formula1>"PRE-GATE TEMPLATE,IDENTIFIED,VERIFIED,APPRAISED,CLAIM-READY"</x:formula1>
    </x:dataValidation>
    <x:dataValidation type="list" sqref="R4:R503">
      <x:formula1>"Peer reviewed,Official / Institutional,Preprint,Grey literature,Unclear"</x:formula1>
    </x:dataValidation>
    <x:dataValidation type="list" sqref="S4:S503">
      <x:formula1>"Yes,No,Hybrid,Unknown"</x:formula1>
    </x:dataValidation>
    <x:dataValidation type="list" sqref="CG4:CG503">
      <x:formula1>"High,Moderate,Low,Critical,Pending"</x:formula1>
    </x:dataValidation>
    <x:dataValidation type="list" sqref="CH4:CH503">
      <x:formula1>"Low,Some concerns,High,Critical,Not applicable,Pending"</x:formula1>
    </x:dataValidation>
    <x:dataValidation type="list" sqref="CJ4:CJ503">
      <x:formula1>"Yes,No,Pending,Not applicable"</x:formula1>
    </x:dataValidation>
    <x:dataValidation type="list" sqref="CK4:CK503">
      <x:formula1>"Yes,No,Pending,Not applicable"</x:formula1>
    </x:dataValidation>
    <x:dataValidation type="list" sqref="CL4:CL503">
      <x:formula1>"Yes,No,Pending,Not applicable"</x:formula1>
    </x:dataValidation>
    <x:dataValidation type="list" sqref="CM4:CM503">
      <x:formula1>"Clear,Correction,Expression of Concern,Retracted,Pending"</x:formula1>
    </x:dataValidation>
    <x:dataValidation type="list" sqref="CN4:CN503">
      <x:formula1>"Verified — clear,Verified — correction,Expression of Concern,Retracted,Pending"</x:formula1>
    </x:dataValidation>
    <x:dataValidation type="list" sqref="DD4:DD503">
      <x:formula1>"No,Yes,Pending"</x:formula1>
    </x:dataValidation>
    <x:dataValidation type="list" sqref="DR4:DR503">
      <x:formula1>"0–30 days,31–90 days,3–12 months,&gt;12 months,Not applicable"</x:formula1>
    </x:dataValidation>
    <x:dataValidation type="list" sqref="EA4:EA503">
      <x:formula1>"Strong,Moderate,Weak,Contextual,Not usable,Pending"</x:formula1>
    </x:dataValidation>
    <x:dataValidation type="list" sqref="ED4:ED503">
      <x:formula1>"Yes,No,Pending,Not required"</x:formula1>
    </x:dataValidation>
    <x:dataValidation type="list" sqref="EF4:EF503">
      <x:formula1>"Available lawful,Pending,Unavailable,Not required"</x:formula1>
    </x:dataValidation>
    <x:dataValidation type="list" sqref="EG4:EG503">
      <x:formula1>"Complete,Pending,Not required"</x:formula1>
    </x:dataValidation>
    <x:dataValidation type="list" sqref="EK4:EK503">
      <x:formula1>"Not required,Pending,Resolved"</x:formula1>
    </x:dataValidation>
    <x:dataValidation type="whole" operator="between" sqref="CU4:CU503">
      <x:formula1>0</x:formula1>
      <x:formula2>2</x:formula2>
    </x:dataValidation>
    <x:dataValidation type="whole" operator="between" sqref="CV4:CV503">
      <x:formula1>0</x:formula1>
      <x:formula2>2</x:formula2>
    </x:dataValidation>
    <x:dataValidation type="whole" operator="between" sqref="CW4:CW503">
      <x:formula1>0</x:formula1>
      <x:formula2>2</x:formula2>
    </x:dataValidation>
    <x:dataValidation type="whole" operator="between" sqref="CX4:CX503">
      <x:formula1>0</x:formula1>
      <x:formula2>2</x:formula2>
    </x:dataValidation>
    <x:dataValidation type="whole" operator="between" sqref="CY4:CY503">
      <x:formula1>0</x:formula1>
      <x:formula2>2</x:formula2>
    </x:dataValidation>
    <x:dataValidation type="whole" operator="between" sqref="CZ4:CZ503">
      <x:formula1>0</x:formula1>
      <x:formula2>2</x:formula2>
    </x:dataValidation>
    <x:dataValidation type="whole" operator="between" sqref="DA4:DA503">
      <x:formula1>0</x:formula1>
      <x:formula2>2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e1bb84c424e499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6" hidden="0" customWidth="1"/>
    <x:col min="4" max="4" width="24" hidden="0" customWidth="1"/>
    <x:col min="5" max="5" width="38" hidden="0" customWidth="1"/>
    <x:col min="6" max="6" width="22" hidden="0" customWidth="1"/>
    <x:col min="7" max="7" width="24" hidden="0" customWidth="1"/>
    <x:col min="8" max="8" width="20" hidden="0" customWidth="1"/>
    <x:col min="9" max="9" width="18" hidden="0" customWidth="1"/>
    <x:col min="10" max="10" width="38" hidden="0" customWidth="1"/>
    <x:col min="11" max="11" width="36" hidden="0" customWidth="1"/>
    <x:col min="12" max="12" width="40" hidden="0" customWidth="1"/>
    <x:col min="13" max="13" width="16" hidden="0" customWidth="1"/>
    <x:col min="14" max="14" width="16" hidden="0" customWidth="1"/>
    <x:col min="15" max="15" width="20" hidden="0" customWidth="1"/>
    <x:col min="16" max="16" width="20" hidden="0" customWidth="1"/>
    <x:col min="17" max="17" width="14" hidden="0" customWidth="1"/>
    <x:col min="18" max="18" width="32" hidden="0" customWidth="1"/>
  </x:cols>
  <x:sheetData>
    <x:row r="1" ht="34" customHeight="1">
      <x:c r="A1" s="366" t="str">
        <x:v>CLAIM → SOURCE → EXACT LOCATION REGISTER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Relational link table. Enter Evidence ID; title and DOI resolve automatically from Master Evidence.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Claim Link ID</x:v>
      </x:c>
      <x:c r="B3" s="371" t="str">
        <x:v>Evidence ID</x:v>
      </x:c>
      <x:c r="C3" s="371" t="str">
        <x:v>Source Title</x:v>
      </x:c>
      <x:c r="D3" s="371" t="str">
        <x:v>Normalized DOI</x:v>
      </x:c>
      <x:c r="E3" s="371" t="str">
        <x:v>Manuscript Claim</x:v>
      </x:c>
      <x:c r="F3" s="371" t="str">
        <x:v>Manuscript Section</x:v>
      </x:c>
      <x:c r="G3" s="371" t="str">
        <x:v>Claim Location</x:v>
      </x:c>
      <x:c r="H3" s="371" t="str">
        <x:v>Page / Section</x:v>
      </x:c>
      <x:c r="I3" s="371" t="str">
        <x:v>Table / Figure</x:v>
      </x:c>
      <x:c r="J3" s="371" t="str">
        <x:v>Exact Supporting Result</x:v>
      </x:c>
      <x:c r="K3" s="371" t="str">
        <x:v>Controlled Paraphrase</x:v>
      </x:c>
      <x:c r="L3" s="371" t="str">
        <x:v>What Source Does NOT Allow</x:v>
      </x:c>
      <x:c r="M3" s="371" t="str">
        <x:v>Claim Strength</x:v>
      </x:c>
      <x:c r="N3" s="371" t="str">
        <x:v>Use Decision</x:v>
      </x:c>
      <x:c r="O3" s="371" t="str">
        <x:v>Verification Status</x:v>
      </x:c>
      <x:c r="P3" s="371" t="str">
        <x:v>Reviewer</x:v>
      </x:c>
      <x:c r="Q3" s="371" t="str">
        <x:v>Review Date</x:v>
      </x:c>
      <x:c r="R3" s="371" t="str">
        <x:v>Notes</x:v>
      </x:c>
    </x:row>
    <x:row r="4">
      <x:c r="A4" s="174" t="str">
        <x:f>IF(B4="","","CL-"&amp;TEXT(ROW()-3,"0000"))</x:f>
      </x:c>
      <x:c r="B4" s="174"/>
      <x:c r="C4" s="174" t="str">
        <x:f>IF(B4="","",IFERROR(INDEX('Master Evidence'!$L$4:$L$503,MATCH(B4,'Master Evidence'!$A$4:$A$503,0)),""))</x:f>
      </x:c>
      <x:c r="D4" s="174" t="str">
        <x:f>IF(B4="","",IFERROR(INDEX('Master Evidence'!$W$4:$W$503,MATCH(B4,'Master Evidence'!$A$4:$A$503,0)),""))</x:f>
      </x:c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  <x:c r="P4" s="174"/>
      <x:c r="Q4" s="177"/>
      <x:c r="R4" s="174"/>
    </x:row>
    <x:row r="5">
      <x:c r="A5" s="174" t="str">
        <x:f>IF(B5="","","CL-"&amp;TEXT(ROW()-3,"0000"))</x:f>
      </x:c>
      <x:c r="B5" s="174"/>
      <x:c r="C5" s="174" t="str">
        <x:f>IF(B5="","",IFERROR(INDEX('Master Evidence'!$L$4:$L$503,MATCH(B5,'Master Evidence'!$A$4:$A$503,0)),""))</x:f>
      </x:c>
      <x:c r="D5" s="174" t="str">
        <x:f>IF(B5="","",IFERROR(INDEX('Master Evidence'!$W$4:$W$503,MATCH(B5,'Master Evidence'!$A$4:$A$503,0)),""))</x:f>
      </x:c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  <x:c r="P5" s="174"/>
      <x:c r="Q5" s="177"/>
      <x:c r="R5" s="174"/>
    </x:row>
    <x:row r="6">
      <x:c r="A6" s="174" t="str">
        <x:f>IF(B6="","","CL-"&amp;TEXT(ROW()-3,"0000"))</x:f>
      </x:c>
      <x:c r="B6" s="174"/>
      <x:c r="C6" s="174" t="str">
        <x:f>IF(B6="","",IFERROR(INDEX('Master Evidence'!$L$4:$L$503,MATCH(B6,'Master Evidence'!$A$4:$A$503,0)),""))</x:f>
      </x:c>
      <x:c r="D6" s="174" t="str">
        <x:f>IF(B6="","",IFERROR(INDEX('Master Evidence'!$W$4:$W$503,MATCH(B6,'Master Evidence'!$A$4:$A$503,0)),""))</x:f>
      </x:c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  <x:c r="P6" s="174"/>
      <x:c r="Q6" s="177"/>
      <x:c r="R6" s="174"/>
    </x:row>
    <x:row r="7">
      <x:c r="A7" s="174" t="str">
        <x:f>IF(B7="","","CL-"&amp;TEXT(ROW()-3,"0000"))</x:f>
      </x:c>
      <x:c r="B7" s="174"/>
      <x:c r="C7" s="174" t="str">
        <x:f>IF(B7="","",IFERROR(INDEX('Master Evidence'!$L$4:$L$503,MATCH(B7,'Master Evidence'!$A$4:$A$503,0)),""))</x:f>
      </x:c>
      <x:c r="D7" s="174" t="str">
        <x:f>IF(B7="","",IFERROR(INDEX('Master Evidence'!$W$4:$W$503,MATCH(B7,'Master Evidence'!$A$4:$A$503,0)),""))</x:f>
      </x:c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  <x:c r="P7" s="174"/>
      <x:c r="Q7" s="177"/>
      <x:c r="R7" s="174"/>
    </x:row>
    <x:row r="8">
      <x:c r="A8" s="174" t="str">
        <x:f>IF(B8="","","CL-"&amp;TEXT(ROW()-3,"0000"))</x:f>
      </x:c>
      <x:c r="B8" s="174"/>
      <x:c r="C8" s="174" t="str">
        <x:f>IF(B8="","",IFERROR(INDEX('Master Evidence'!$L$4:$L$503,MATCH(B8,'Master Evidence'!$A$4:$A$503,0)),""))</x:f>
      </x:c>
      <x:c r="D8" s="174" t="str">
        <x:f>IF(B8="","",IFERROR(INDEX('Master Evidence'!$W$4:$W$503,MATCH(B8,'Master Evidence'!$A$4:$A$503,0)),""))</x:f>
      </x:c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  <x:c r="P8" s="174"/>
      <x:c r="Q8" s="177"/>
      <x:c r="R8" s="174"/>
    </x:row>
    <x:row r="9">
      <x:c r="A9" s="174" t="str">
        <x:f>IF(B9="","","CL-"&amp;TEXT(ROW()-3,"0000"))</x:f>
      </x:c>
      <x:c r="B9" s="174"/>
      <x:c r="C9" s="174" t="str">
        <x:f>IF(B9="","",IFERROR(INDEX('Master Evidence'!$L$4:$L$503,MATCH(B9,'Master Evidence'!$A$4:$A$503,0)),""))</x:f>
      </x:c>
      <x:c r="D9" s="174" t="str">
        <x:f>IF(B9="","",IFERROR(INDEX('Master Evidence'!$W$4:$W$503,MATCH(B9,'Master Evidence'!$A$4:$A$503,0)),""))</x:f>
      </x:c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  <x:c r="P9" s="174"/>
      <x:c r="Q9" s="177"/>
      <x:c r="R9" s="174"/>
    </x:row>
    <x:row r="10">
      <x:c r="A10" s="174" t="str">
        <x:f>IF(B10="","","CL-"&amp;TEXT(ROW()-3,"0000"))</x:f>
      </x:c>
      <x:c r="B10" s="174"/>
      <x:c r="C10" s="174" t="str">
        <x:f>IF(B10="","",IFERROR(INDEX('Master Evidence'!$L$4:$L$503,MATCH(B10,'Master Evidence'!$A$4:$A$503,0)),""))</x:f>
      </x:c>
      <x:c r="D10" s="174" t="str">
        <x:f>IF(B10="","",IFERROR(INDEX('Master Evidence'!$W$4:$W$503,MATCH(B10,'Master Evidence'!$A$4:$A$503,0)),""))</x:f>
      </x:c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  <x:c r="P10" s="174"/>
      <x:c r="Q10" s="177"/>
      <x:c r="R10" s="174"/>
    </x:row>
    <x:row r="11">
      <x:c r="A11" s="174" t="str">
        <x:f>IF(B11="","","CL-"&amp;TEXT(ROW()-3,"0000"))</x:f>
      </x:c>
      <x:c r="B11" s="174"/>
      <x:c r="C11" s="174" t="str">
        <x:f>IF(B11="","",IFERROR(INDEX('Master Evidence'!$L$4:$L$503,MATCH(B11,'Master Evidence'!$A$4:$A$503,0)),""))</x:f>
      </x:c>
      <x:c r="D11" s="174" t="str">
        <x:f>IF(B11="","",IFERROR(INDEX('Master Evidence'!$W$4:$W$503,MATCH(B11,'Master Evidence'!$A$4:$A$503,0)),""))</x:f>
      </x:c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  <x:c r="P11" s="174"/>
      <x:c r="Q11" s="177"/>
      <x:c r="R11" s="174"/>
    </x:row>
    <x:row r="12">
      <x:c r="A12" s="174" t="str">
        <x:f>IF(B12="","","CL-"&amp;TEXT(ROW()-3,"0000"))</x:f>
      </x:c>
      <x:c r="B12" s="174"/>
      <x:c r="C12" s="174" t="str">
        <x:f>IF(B12="","",IFERROR(INDEX('Master Evidence'!$L$4:$L$503,MATCH(B12,'Master Evidence'!$A$4:$A$503,0)),""))</x:f>
      </x:c>
      <x:c r="D12" s="174" t="str">
        <x:f>IF(B12="","",IFERROR(INDEX('Master Evidence'!$W$4:$W$503,MATCH(B12,'Master Evidence'!$A$4:$A$503,0)),""))</x:f>
      </x:c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7"/>
      <x:c r="R12" s="174"/>
    </x:row>
    <x:row r="13">
      <x:c r="A13" s="174" t="str">
        <x:f>IF(B13="","","CL-"&amp;TEXT(ROW()-3,"0000"))</x:f>
      </x:c>
      <x:c r="B13" s="174"/>
      <x:c r="C13" s="174" t="str">
        <x:f>IF(B13="","",IFERROR(INDEX('Master Evidence'!$L$4:$L$503,MATCH(B13,'Master Evidence'!$A$4:$A$503,0)),""))</x:f>
      </x:c>
      <x:c r="D13" s="174" t="str">
        <x:f>IF(B13="","",IFERROR(INDEX('Master Evidence'!$W$4:$W$503,MATCH(B13,'Master Evidence'!$A$4:$A$503,0)),""))</x:f>
      </x:c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7"/>
      <x:c r="R13" s="174"/>
    </x:row>
    <x:row r="14">
      <x:c r="A14" s="174" t="str">
        <x:f>IF(B14="","","CL-"&amp;TEXT(ROW()-3,"0000"))</x:f>
      </x:c>
      <x:c r="B14" s="174"/>
      <x:c r="C14" s="174" t="str">
        <x:f>IF(B14="","",IFERROR(INDEX('Master Evidence'!$L$4:$L$503,MATCH(B14,'Master Evidence'!$A$4:$A$503,0)),""))</x:f>
      </x:c>
      <x:c r="D14" s="174" t="str">
        <x:f>IF(B14="","",IFERROR(INDEX('Master Evidence'!$W$4:$W$503,MATCH(B14,'Master Evidence'!$A$4:$A$503,0)),""))</x:f>
      </x:c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7"/>
      <x:c r="R14" s="174"/>
    </x:row>
    <x:row r="15">
      <x:c r="A15" s="174" t="str">
        <x:f>IF(B15="","","CL-"&amp;TEXT(ROW()-3,"0000"))</x:f>
      </x:c>
      <x:c r="B15" s="174"/>
      <x:c r="C15" s="174" t="str">
        <x:f>IF(B15="","",IFERROR(INDEX('Master Evidence'!$L$4:$L$503,MATCH(B15,'Master Evidence'!$A$4:$A$503,0)),""))</x:f>
      </x:c>
      <x:c r="D15" s="174" t="str">
        <x:f>IF(B15="","",IFERROR(INDEX('Master Evidence'!$W$4:$W$503,MATCH(B15,'Master Evidence'!$A$4:$A$503,0)),""))</x:f>
      </x:c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7"/>
      <x:c r="R15" s="174"/>
    </x:row>
    <x:row r="16">
      <x:c r="A16" s="174" t="str">
        <x:f>IF(B16="","","CL-"&amp;TEXT(ROW()-3,"0000"))</x:f>
      </x:c>
      <x:c r="B16" s="174"/>
      <x:c r="C16" s="174" t="str">
        <x:f>IF(B16="","",IFERROR(INDEX('Master Evidence'!$L$4:$L$503,MATCH(B16,'Master Evidence'!$A$4:$A$503,0)),""))</x:f>
      </x:c>
      <x:c r="D16" s="174" t="str">
        <x:f>IF(B16="","",IFERROR(INDEX('Master Evidence'!$W$4:$W$503,MATCH(B16,'Master Evidence'!$A$4:$A$503,0)),""))</x:f>
      </x:c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7"/>
      <x:c r="R16" s="174"/>
    </x:row>
    <x:row r="17">
      <x:c r="A17" s="174" t="str">
        <x:f>IF(B17="","","CL-"&amp;TEXT(ROW()-3,"0000"))</x:f>
      </x:c>
      <x:c r="B17" s="174"/>
      <x:c r="C17" s="174" t="str">
        <x:f>IF(B17="","",IFERROR(INDEX('Master Evidence'!$L$4:$L$503,MATCH(B17,'Master Evidence'!$A$4:$A$503,0)),""))</x:f>
      </x:c>
      <x:c r="D17" s="174" t="str">
        <x:f>IF(B17="","",IFERROR(INDEX('Master Evidence'!$W$4:$W$503,MATCH(B17,'Master Evidence'!$A$4:$A$503,0)),""))</x:f>
      </x:c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  <x:c r="P17" s="174"/>
      <x:c r="Q17" s="177"/>
      <x:c r="R17" s="174"/>
    </x:row>
    <x:row r="18">
      <x:c r="A18" s="174" t="str">
        <x:f>IF(B18="","","CL-"&amp;TEXT(ROW()-3,"0000"))</x:f>
      </x:c>
      <x:c r="B18" s="174"/>
      <x:c r="C18" s="174" t="str">
        <x:f>IF(B18="","",IFERROR(INDEX('Master Evidence'!$L$4:$L$503,MATCH(B18,'Master Evidence'!$A$4:$A$503,0)),""))</x:f>
      </x:c>
      <x:c r="D18" s="174" t="str">
        <x:f>IF(B18="","",IFERROR(INDEX('Master Evidence'!$W$4:$W$503,MATCH(B18,'Master Evidence'!$A$4:$A$503,0)),""))</x:f>
      </x:c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  <x:c r="P18" s="174"/>
      <x:c r="Q18" s="177"/>
      <x:c r="R18" s="174"/>
    </x:row>
    <x:row r="19">
      <x:c r="A19" s="174" t="str">
        <x:f>IF(B19="","","CL-"&amp;TEXT(ROW()-3,"0000"))</x:f>
      </x:c>
      <x:c r="B19" s="174"/>
      <x:c r="C19" s="174" t="str">
        <x:f>IF(B19="","",IFERROR(INDEX('Master Evidence'!$L$4:$L$503,MATCH(B19,'Master Evidence'!$A$4:$A$503,0)),""))</x:f>
      </x:c>
      <x:c r="D19" s="174" t="str">
        <x:f>IF(B19="","",IFERROR(INDEX('Master Evidence'!$W$4:$W$503,MATCH(B19,'Master Evidence'!$A$4:$A$503,0)),""))</x:f>
      </x:c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  <x:c r="P19" s="174"/>
      <x:c r="Q19" s="177"/>
      <x:c r="R19" s="174"/>
    </x:row>
    <x:row r="20">
      <x:c r="A20" s="174" t="str">
        <x:f>IF(B20="","","CL-"&amp;TEXT(ROW()-3,"0000"))</x:f>
      </x:c>
      <x:c r="B20" s="174"/>
      <x:c r="C20" s="174" t="str">
        <x:f>IF(B20="","",IFERROR(INDEX('Master Evidence'!$L$4:$L$503,MATCH(B20,'Master Evidence'!$A$4:$A$503,0)),""))</x:f>
      </x:c>
      <x:c r="D20" s="174" t="str">
        <x:f>IF(B20="","",IFERROR(INDEX('Master Evidence'!$W$4:$W$503,MATCH(B20,'Master Evidence'!$A$4:$A$503,0)),""))</x:f>
      </x:c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  <x:c r="P20" s="174"/>
      <x:c r="Q20" s="177"/>
      <x:c r="R20" s="174"/>
    </x:row>
    <x:row r="21">
      <x:c r="A21" s="174" t="str">
        <x:f>IF(B21="","","CL-"&amp;TEXT(ROW()-3,"0000"))</x:f>
      </x:c>
      <x:c r="B21" s="174"/>
      <x:c r="C21" s="174" t="str">
        <x:f>IF(B21="","",IFERROR(INDEX('Master Evidence'!$L$4:$L$503,MATCH(B21,'Master Evidence'!$A$4:$A$503,0)),""))</x:f>
      </x:c>
      <x:c r="D21" s="174" t="str">
        <x:f>IF(B21="","",IFERROR(INDEX('Master Evidence'!$W$4:$W$503,MATCH(B21,'Master Evidence'!$A$4:$A$503,0)),""))</x:f>
      </x:c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7"/>
      <x:c r="R21" s="174"/>
    </x:row>
    <x:row r="22">
      <x:c r="A22" s="174" t="str">
        <x:f>IF(B22="","","CL-"&amp;TEXT(ROW()-3,"0000"))</x:f>
      </x:c>
      <x:c r="B22" s="174"/>
      <x:c r="C22" s="174" t="str">
        <x:f>IF(B22="","",IFERROR(INDEX('Master Evidence'!$L$4:$L$503,MATCH(B22,'Master Evidence'!$A$4:$A$503,0)),""))</x:f>
      </x:c>
      <x:c r="D22" s="174" t="str">
        <x:f>IF(B22="","",IFERROR(INDEX('Master Evidence'!$W$4:$W$503,MATCH(B22,'Master Evidence'!$A$4:$A$503,0)),""))</x:f>
      </x:c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  <x:c r="P22" s="174"/>
      <x:c r="Q22" s="177"/>
      <x:c r="R22" s="174"/>
    </x:row>
    <x:row r="23">
      <x:c r="A23" s="174" t="str">
        <x:f>IF(B23="","","CL-"&amp;TEXT(ROW()-3,"0000"))</x:f>
      </x:c>
      <x:c r="B23" s="174"/>
      <x:c r="C23" s="174" t="str">
        <x:f>IF(B23="","",IFERROR(INDEX('Master Evidence'!$L$4:$L$503,MATCH(B23,'Master Evidence'!$A$4:$A$503,0)),""))</x:f>
      </x:c>
      <x:c r="D23" s="174" t="str">
        <x:f>IF(B23="","",IFERROR(INDEX('Master Evidence'!$W$4:$W$503,MATCH(B23,'Master Evidence'!$A$4:$A$503,0)),""))</x:f>
      </x:c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  <x:c r="P23" s="174"/>
      <x:c r="Q23" s="177"/>
      <x:c r="R23" s="174"/>
    </x:row>
    <x:row r="24">
      <x:c r="A24" s="174" t="str">
        <x:f>IF(B24="","","CL-"&amp;TEXT(ROW()-3,"0000"))</x:f>
      </x:c>
      <x:c r="B24" s="174"/>
      <x:c r="C24" s="174" t="str">
        <x:f>IF(B24="","",IFERROR(INDEX('Master Evidence'!$L$4:$L$503,MATCH(B24,'Master Evidence'!$A$4:$A$503,0)),""))</x:f>
      </x:c>
      <x:c r="D24" s="174" t="str">
        <x:f>IF(B24="","",IFERROR(INDEX('Master Evidence'!$W$4:$W$503,MATCH(B24,'Master Evidence'!$A$4:$A$503,0)),""))</x:f>
      </x:c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  <x:c r="P24" s="174"/>
      <x:c r="Q24" s="177"/>
      <x:c r="R24" s="174"/>
    </x:row>
    <x:row r="25">
      <x:c r="A25" s="174" t="str">
        <x:f>IF(B25="","","CL-"&amp;TEXT(ROW()-3,"0000"))</x:f>
      </x:c>
      <x:c r="B25" s="174"/>
      <x:c r="C25" s="174" t="str">
        <x:f>IF(B25="","",IFERROR(INDEX('Master Evidence'!$L$4:$L$503,MATCH(B25,'Master Evidence'!$A$4:$A$503,0)),""))</x:f>
      </x:c>
      <x:c r="D25" s="174" t="str">
        <x:f>IF(B25="","",IFERROR(INDEX('Master Evidence'!$W$4:$W$503,MATCH(B25,'Master Evidence'!$A$4:$A$503,0)),""))</x:f>
      </x:c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  <x:c r="P25" s="174"/>
      <x:c r="Q25" s="177"/>
      <x:c r="R25" s="174"/>
    </x:row>
    <x:row r="26">
      <x:c r="A26" s="174" t="str">
        <x:f>IF(B26="","","CL-"&amp;TEXT(ROW()-3,"0000"))</x:f>
      </x:c>
      <x:c r="B26" s="174"/>
      <x:c r="C26" s="174" t="str">
        <x:f>IF(B26="","",IFERROR(INDEX('Master Evidence'!$L$4:$L$503,MATCH(B26,'Master Evidence'!$A$4:$A$503,0)),""))</x:f>
      </x:c>
      <x:c r="D26" s="174" t="str">
        <x:f>IF(B26="","",IFERROR(INDEX('Master Evidence'!$W$4:$W$503,MATCH(B26,'Master Evidence'!$A$4:$A$503,0)),""))</x:f>
      </x:c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  <x:c r="P26" s="174"/>
      <x:c r="Q26" s="177"/>
      <x:c r="R26" s="174"/>
    </x:row>
    <x:row r="27">
      <x:c r="A27" s="174" t="str">
        <x:f>IF(B27="","","CL-"&amp;TEXT(ROW()-3,"0000"))</x:f>
      </x:c>
      <x:c r="B27" s="174"/>
      <x:c r="C27" s="174" t="str">
        <x:f>IF(B27="","",IFERROR(INDEX('Master Evidence'!$L$4:$L$503,MATCH(B27,'Master Evidence'!$A$4:$A$503,0)),""))</x:f>
      </x:c>
      <x:c r="D27" s="174" t="str">
        <x:f>IF(B27="","",IFERROR(INDEX('Master Evidence'!$W$4:$W$503,MATCH(B27,'Master Evidence'!$A$4:$A$503,0)),""))</x:f>
      </x:c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  <x:c r="P27" s="174"/>
      <x:c r="Q27" s="177"/>
      <x:c r="R27" s="174"/>
    </x:row>
    <x:row r="28">
      <x:c r="A28" s="174" t="str">
        <x:f>IF(B28="","","CL-"&amp;TEXT(ROW()-3,"0000"))</x:f>
      </x:c>
      <x:c r="B28" s="174"/>
      <x:c r="C28" s="174" t="str">
        <x:f>IF(B28="","",IFERROR(INDEX('Master Evidence'!$L$4:$L$503,MATCH(B28,'Master Evidence'!$A$4:$A$503,0)),""))</x:f>
      </x:c>
      <x:c r="D28" s="174" t="str">
        <x:f>IF(B28="","",IFERROR(INDEX('Master Evidence'!$W$4:$W$503,MATCH(B28,'Master Evidence'!$A$4:$A$503,0)),""))</x:f>
      </x:c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  <x:c r="P28" s="174"/>
      <x:c r="Q28" s="177"/>
      <x:c r="R28" s="174"/>
    </x:row>
    <x:row r="29">
      <x:c r="A29" s="174" t="str">
        <x:f>IF(B29="","","CL-"&amp;TEXT(ROW()-3,"0000"))</x:f>
      </x:c>
      <x:c r="B29" s="174"/>
      <x:c r="C29" s="174" t="str">
        <x:f>IF(B29="","",IFERROR(INDEX('Master Evidence'!$L$4:$L$503,MATCH(B29,'Master Evidence'!$A$4:$A$503,0)),""))</x:f>
      </x:c>
      <x:c r="D29" s="174" t="str">
        <x:f>IF(B29="","",IFERROR(INDEX('Master Evidence'!$W$4:$W$503,MATCH(B29,'Master Evidence'!$A$4:$A$503,0)),""))</x:f>
      </x:c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  <x:c r="P29" s="174"/>
      <x:c r="Q29" s="177"/>
      <x:c r="R29" s="174"/>
    </x:row>
    <x:row r="30">
      <x:c r="A30" s="174" t="str">
        <x:f>IF(B30="","","CL-"&amp;TEXT(ROW()-3,"0000"))</x:f>
      </x:c>
      <x:c r="B30" s="174"/>
      <x:c r="C30" s="174" t="str">
        <x:f>IF(B30="","",IFERROR(INDEX('Master Evidence'!$L$4:$L$503,MATCH(B30,'Master Evidence'!$A$4:$A$503,0)),""))</x:f>
      </x:c>
      <x:c r="D30" s="174" t="str">
        <x:f>IF(B30="","",IFERROR(INDEX('Master Evidence'!$W$4:$W$503,MATCH(B30,'Master Evidence'!$A$4:$A$503,0)),""))</x:f>
      </x:c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  <x:c r="P30" s="174"/>
      <x:c r="Q30" s="177"/>
      <x:c r="R30" s="174"/>
    </x:row>
    <x:row r="31">
      <x:c r="A31" s="174" t="str">
        <x:f>IF(B31="","","CL-"&amp;TEXT(ROW()-3,"0000"))</x:f>
      </x:c>
      <x:c r="B31" s="174"/>
      <x:c r="C31" s="174" t="str">
        <x:f>IF(B31="","",IFERROR(INDEX('Master Evidence'!$L$4:$L$503,MATCH(B31,'Master Evidence'!$A$4:$A$503,0)),""))</x:f>
      </x:c>
      <x:c r="D31" s="174" t="str">
        <x:f>IF(B31="","",IFERROR(INDEX('Master Evidence'!$W$4:$W$503,MATCH(B31,'Master Evidence'!$A$4:$A$503,0)),""))</x:f>
      </x:c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  <x:c r="P31" s="174"/>
      <x:c r="Q31" s="177"/>
      <x:c r="R31" s="174"/>
    </x:row>
    <x:row r="32">
      <x:c r="A32" s="174" t="str">
        <x:f>IF(B32="","","CL-"&amp;TEXT(ROW()-3,"0000"))</x:f>
      </x:c>
      <x:c r="B32" s="174"/>
      <x:c r="C32" s="174" t="str">
        <x:f>IF(B32="","",IFERROR(INDEX('Master Evidence'!$L$4:$L$503,MATCH(B32,'Master Evidence'!$A$4:$A$503,0)),""))</x:f>
      </x:c>
      <x:c r="D32" s="174" t="str">
        <x:f>IF(B32="","",IFERROR(INDEX('Master Evidence'!$W$4:$W$503,MATCH(B32,'Master Evidence'!$A$4:$A$503,0)),""))</x:f>
      </x:c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  <x:c r="P32" s="174"/>
      <x:c r="Q32" s="177"/>
      <x:c r="R32" s="174"/>
    </x:row>
    <x:row r="33">
      <x:c r="A33" s="174" t="str">
        <x:f>IF(B33="","","CL-"&amp;TEXT(ROW()-3,"0000"))</x:f>
      </x:c>
      <x:c r="B33" s="174"/>
      <x:c r="C33" s="174" t="str">
        <x:f>IF(B33="","",IFERROR(INDEX('Master Evidence'!$L$4:$L$503,MATCH(B33,'Master Evidence'!$A$4:$A$503,0)),""))</x:f>
      </x:c>
      <x:c r="D33" s="174" t="str">
        <x:f>IF(B33="","",IFERROR(INDEX('Master Evidence'!$W$4:$W$503,MATCH(B33,'Master Evidence'!$A$4:$A$503,0)),""))</x:f>
      </x:c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  <x:c r="P33" s="174"/>
      <x:c r="Q33" s="177"/>
      <x:c r="R33" s="174"/>
    </x:row>
    <x:row r="34">
      <x:c r="A34" s="174" t="str">
        <x:f>IF(B34="","","CL-"&amp;TEXT(ROW()-3,"0000"))</x:f>
      </x:c>
      <x:c r="B34" s="174"/>
      <x:c r="C34" s="174" t="str">
        <x:f>IF(B34="","",IFERROR(INDEX('Master Evidence'!$L$4:$L$503,MATCH(B34,'Master Evidence'!$A$4:$A$503,0)),""))</x:f>
      </x:c>
      <x:c r="D34" s="174" t="str">
        <x:f>IF(B34="","",IFERROR(INDEX('Master Evidence'!$W$4:$W$503,MATCH(B34,'Master Evidence'!$A$4:$A$503,0)),""))</x:f>
      </x:c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  <x:c r="P34" s="174"/>
      <x:c r="Q34" s="177"/>
      <x:c r="R34" s="174"/>
    </x:row>
    <x:row r="35">
      <x:c r="A35" s="174" t="str">
        <x:f>IF(B35="","","CL-"&amp;TEXT(ROW()-3,"0000"))</x:f>
      </x:c>
      <x:c r="B35" s="174"/>
      <x:c r="C35" s="174" t="str">
        <x:f>IF(B35="","",IFERROR(INDEX('Master Evidence'!$L$4:$L$503,MATCH(B35,'Master Evidence'!$A$4:$A$503,0)),""))</x:f>
      </x:c>
      <x:c r="D35" s="174" t="str">
        <x:f>IF(B35="","",IFERROR(INDEX('Master Evidence'!$W$4:$W$503,MATCH(B35,'Master Evidence'!$A$4:$A$503,0)),""))</x:f>
      </x:c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  <x:c r="P35" s="174"/>
      <x:c r="Q35" s="177"/>
      <x:c r="R35" s="174"/>
    </x:row>
    <x:row r="36">
      <x:c r="A36" s="174" t="str">
        <x:f>IF(B36="","","CL-"&amp;TEXT(ROW()-3,"0000"))</x:f>
      </x:c>
      <x:c r="B36" s="174"/>
      <x:c r="C36" s="174" t="str">
        <x:f>IF(B36="","",IFERROR(INDEX('Master Evidence'!$L$4:$L$503,MATCH(B36,'Master Evidence'!$A$4:$A$503,0)),""))</x:f>
      </x:c>
      <x:c r="D36" s="174" t="str">
        <x:f>IF(B36="","",IFERROR(INDEX('Master Evidence'!$W$4:$W$503,MATCH(B36,'Master Evidence'!$A$4:$A$503,0)),""))</x:f>
      </x:c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  <x:c r="P36" s="174"/>
      <x:c r="Q36" s="177"/>
      <x:c r="R36" s="174"/>
    </x:row>
    <x:row r="37">
      <x:c r="A37" s="174" t="str">
        <x:f>IF(B37="","","CL-"&amp;TEXT(ROW()-3,"0000"))</x:f>
      </x:c>
      <x:c r="B37" s="174"/>
      <x:c r="C37" s="174" t="str">
        <x:f>IF(B37="","",IFERROR(INDEX('Master Evidence'!$L$4:$L$503,MATCH(B37,'Master Evidence'!$A$4:$A$503,0)),""))</x:f>
      </x:c>
      <x:c r="D37" s="174" t="str">
        <x:f>IF(B37="","",IFERROR(INDEX('Master Evidence'!$W$4:$W$503,MATCH(B37,'Master Evidence'!$A$4:$A$503,0)),""))</x:f>
      </x:c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  <x:c r="P37" s="174"/>
      <x:c r="Q37" s="177"/>
      <x:c r="R37" s="174"/>
    </x:row>
    <x:row r="38">
      <x:c r="A38" s="174" t="str">
        <x:f>IF(B38="","","CL-"&amp;TEXT(ROW()-3,"0000"))</x:f>
      </x:c>
      <x:c r="B38" s="174"/>
      <x:c r="C38" s="174" t="str">
        <x:f>IF(B38="","",IFERROR(INDEX('Master Evidence'!$L$4:$L$503,MATCH(B38,'Master Evidence'!$A$4:$A$503,0)),""))</x:f>
      </x:c>
      <x:c r="D38" s="174" t="str">
        <x:f>IF(B38="","",IFERROR(INDEX('Master Evidence'!$W$4:$W$503,MATCH(B38,'Master Evidence'!$A$4:$A$503,0)),""))</x:f>
      </x:c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  <x:c r="P38" s="174"/>
      <x:c r="Q38" s="177"/>
      <x:c r="R38" s="174"/>
    </x:row>
    <x:row r="39">
      <x:c r="A39" s="174" t="str">
        <x:f>IF(B39="","","CL-"&amp;TEXT(ROW()-3,"0000"))</x:f>
      </x:c>
      <x:c r="B39" s="174"/>
      <x:c r="C39" s="174" t="str">
        <x:f>IF(B39="","",IFERROR(INDEX('Master Evidence'!$L$4:$L$503,MATCH(B39,'Master Evidence'!$A$4:$A$503,0)),""))</x:f>
      </x:c>
      <x:c r="D39" s="174" t="str">
        <x:f>IF(B39="","",IFERROR(INDEX('Master Evidence'!$W$4:$W$503,MATCH(B39,'Master Evidence'!$A$4:$A$503,0)),""))</x:f>
      </x:c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  <x:c r="P39" s="174"/>
      <x:c r="Q39" s="177"/>
      <x:c r="R39" s="174"/>
    </x:row>
    <x:row r="40">
      <x:c r="A40" s="174" t="str">
        <x:f>IF(B40="","","CL-"&amp;TEXT(ROW()-3,"0000"))</x:f>
      </x:c>
      <x:c r="B40" s="174"/>
      <x:c r="C40" s="174" t="str">
        <x:f>IF(B40="","",IFERROR(INDEX('Master Evidence'!$L$4:$L$503,MATCH(B40,'Master Evidence'!$A$4:$A$503,0)),""))</x:f>
      </x:c>
      <x:c r="D40" s="174" t="str">
        <x:f>IF(B40="","",IFERROR(INDEX('Master Evidence'!$W$4:$W$503,MATCH(B40,'Master Evidence'!$A$4:$A$503,0)),""))</x:f>
      </x:c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  <x:c r="P40" s="174"/>
      <x:c r="Q40" s="177"/>
      <x:c r="R40" s="174"/>
    </x:row>
    <x:row r="41">
      <x:c r="A41" s="174" t="str">
        <x:f>IF(B41="","","CL-"&amp;TEXT(ROW()-3,"0000"))</x:f>
      </x:c>
      <x:c r="B41" s="174"/>
      <x:c r="C41" s="174" t="str">
        <x:f>IF(B41="","",IFERROR(INDEX('Master Evidence'!$L$4:$L$503,MATCH(B41,'Master Evidence'!$A$4:$A$503,0)),""))</x:f>
      </x:c>
      <x:c r="D41" s="174" t="str">
        <x:f>IF(B41="","",IFERROR(INDEX('Master Evidence'!$W$4:$W$503,MATCH(B41,'Master Evidence'!$A$4:$A$503,0)),""))</x:f>
      </x:c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  <x:c r="P41" s="174"/>
      <x:c r="Q41" s="177"/>
      <x:c r="R41" s="174"/>
    </x:row>
    <x:row r="42">
      <x:c r="A42" s="174" t="str">
        <x:f>IF(B42="","","CL-"&amp;TEXT(ROW()-3,"0000"))</x:f>
      </x:c>
      <x:c r="B42" s="174"/>
      <x:c r="C42" s="174" t="str">
        <x:f>IF(B42="","",IFERROR(INDEX('Master Evidence'!$L$4:$L$503,MATCH(B42,'Master Evidence'!$A$4:$A$503,0)),""))</x:f>
      </x:c>
      <x:c r="D42" s="174" t="str">
        <x:f>IF(B42="","",IFERROR(INDEX('Master Evidence'!$W$4:$W$503,MATCH(B42,'Master Evidence'!$A$4:$A$503,0)),""))</x:f>
      </x:c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  <x:c r="P42" s="174"/>
      <x:c r="Q42" s="177"/>
      <x:c r="R42" s="174"/>
    </x:row>
    <x:row r="43">
      <x:c r="A43" s="174" t="str">
        <x:f>IF(B43="","","CL-"&amp;TEXT(ROW()-3,"0000"))</x:f>
      </x:c>
      <x:c r="B43" s="174"/>
      <x:c r="C43" s="174" t="str">
        <x:f>IF(B43="","",IFERROR(INDEX('Master Evidence'!$L$4:$L$503,MATCH(B43,'Master Evidence'!$A$4:$A$503,0)),""))</x:f>
      </x:c>
      <x:c r="D43" s="174" t="str">
        <x:f>IF(B43="","",IFERROR(INDEX('Master Evidence'!$W$4:$W$503,MATCH(B43,'Master Evidence'!$A$4:$A$503,0)),""))</x:f>
      </x:c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  <x:c r="P43" s="174"/>
      <x:c r="Q43" s="177"/>
      <x:c r="R43" s="174"/>
    </x:row>
    <x:row r="44">
      <x:c r="A44" s="174" t="str">
        <x:f>IF(B44="","","CL-"&amp;TEXT(ROW()-3,"0000"))</x:f>
      </x:c>
      <x:c r="B44" s="174"/>
      <x:c r="C44" s="174" t="str">
        <x:f>IF(B44="","",IFERROR(INDEX('Master Evidence'!$L$4:$L$503,MATCH(B44,'Master Evidence'!$A$4:$A$503,0)),""))</x:f>
      </x:c>
      <x:c r="D44" s="174" t="str">
        <x:f>IF(B44="","",IFERROR(INDEX('Master Evidence'!$W$4:$W$503,MATCH(B44,'Master Evidence'!$A$4:$A$503,0)),""))</x:f>
      </x:c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  <x:c r="P44" s="174"/>
      <x:c r="Q44" s="177"/>
      <x:c r="R44" s="174"/>
    </x:row>
    <x:row r="45">
      <x:c r="A45" s="174" t="str">
        <x:f>IF(B45="","","CL-"&amp;TEXT(ROW()-3,"0000"))</x:f>
      </x:c>
      <x:c r="B45" s="174"/>
      <x:c r="C45" s="174" t="str">
        <x:f>IF(B45="","",IFERROR(INDEX('Master Evidence'!$L$4:$L$503,MATCH(B45,'Master Evidence'!$A$4:$A$503,0)),""))</x:f>
      </x:c>
      <x:c r="D45" s="174" t="str">
        <x:f>IF(B45="","",IFERROR(INDEX('Master Evidence'!$W$4:$W$503,MATCH(B45,'Master Evidence'!$A$4:$A$503,0)),""))</x:f>
      </x:c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  <x:c r="P45" s="174"/>
      <x:c r="Q45" s="177"/>
      <x:c r="R45" s="174"/>
    </x:row>
    <x:row r="46">
      <x:c r="A46" s="174" t="str">
        <x:f>IF(B46="","","CL-"&amp;TEXT(ROW()-3,"0000"))</x:f>
      </x:c>
      <x:c r="B46" s="174"/>
      <x:c r="C46" s="174" t="str">
        <x:f>IF(B46="","",IFERROR(INDEX('Master Evidence'!$L$4:$L$503,MATCH(B46,'Master Evidence'!$A$4:$A$503,0)),""))</x:f>
      </x:c>
      <x:c r="D46" s="174" t="str">
        <x:f>IF(B46="","",IFERROR(INDEX('Master Evidence'!$W$4:$W$503,MATCH(B46,'Master Evidence'!$A$4:$A$503,0)),""))</x:f>
      </x:c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  <x:c r="P46" s="174"/>
      <x:c r="Q46" s="177"/>
      <x:c r="R46" s="174"/>
    </x:row>
    <x:row r="47">
      <x:c r="A47" s="174" t="str">
        <x:f>IF(B47="","","CL-"&amp;TEXT(ROW()-3,"0000"))</x:f>
      </x:c>
      <x:c r="B47" s="174"/>
      <x:c r="C47" s="174" t="str">
        <x:f>IF(B47="","",IFERROR(INDEX('Master Evidence'!$L$4:$L$503,MATCH(B47,'Master Evidence'!$A$4:$A$503,0)),""))</x:f>
      </x:c>
      <x:c r="D47" s="174" t="str">
        <x:f>IF(B47="","",IFERROR(INDEX('Master Evidence'!$W$4:$W$503,MATCH(B47,'Master Evidence'!$A$4:$A$503,0)),""))</x:f>
      </x:c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  <x:c r="P47" s="174"/>
      <x:c r="Q47" s="177"/>
      <x:c r="R47" s="174"/>
    </x:row>
    <x:row r="48">
      <x:c r="A48" s="174" t="str">
        <x:f>IF(B48="","","CL-"&amp;TEXT(ROW()-3,"0000"))</x:f>
      </x:c>
      <x:c r="B48" s="174"/>
      <x:c r="C48" s="174" t="str">
        <x:f>IF(B48="","",IFERROR(INDEX('Master Evidence'!$L$4:$L$503,MATCH(B48,'Master Evidence'!$A$4:$A$503,0)),""))</x:f>
      </x:c>
      <x:c r="D48" s="174" t="str">
        <x:f>IF(B48="","",IFERROR(INDEX('Master Evidence'!$W$4:$W$503,MATCH(B48,'Master Evidence'!$A$4:$A$503,0)),""))</x:f>
      </x:c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  <x:c r="P48" s="174"/>
      <x:c r="Q48" s="177"/>
      <x:c r="R48" s="174"/>
    </x:row>
    <x:row r="49">
      <x:c r="A49" s="174" t="str">
        <x:f>IF(B49="","","CL-"&amp;TEXT(ROW()-3,"0000"))</x:f>
      </x:c>
      <x:c r="B49" s="174"/>
      <x:c r="C49" s="174" t="str">
        <x:f>IF(B49="","",IFERROR(INDEX('Master Evidence'!$L$4:$L$503,MATCH(B49,'Master Evidence'!$A$4:$A$503,0)),""))</x:f>
      </x:c>
      <x:c r="D49" s="174" t="str">
        <x:f>IF(B49="","",IFERROR(INDEX('Master Evidence'!$W$4:$W$503,MATCH(B49,'Master Evidence'!$A$4:$A$503,0)),""))</x:f>
      </x:c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  <x:c r="P49" s="174"/>
      <x:c r="Q49" s="177"/>
      <x:c r="R49" s="174"/>
    </x:row>
    <x:row r="50">
      <x:c r="A50" s="174" t="str">
        <x:f>IF(B50="","","CL-"&amp;TEXT(ROW()-3,"0000"))</x:f>
      </x:c>
      <x:c r="B50" s="174"/>
      <x:c r="C50" s="174" t="str">
        <x:f>IF(B50="","",IFERROR(INDEX('Master Evidence'!$L$4:$L$503,MATCH(B50,'Master Evidence'!$A$4:$A$503,0)),""))</x:f>
      </x:c>
      <x:c r="D50" s="174" t="str">
        <x:f>IF(B50="","",IFERROR(INDEX('Master Evidence'!$W$4:$W$503,MATCH(B50,'Master Evidence'!$A$4:$A$503,0)),""))</x:f>
      </x:c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  <x:c r="P50" s="174"/>
      <x:c r="Q50" s="177"/>
      <x:c r="R50" s="174"/>
    </x:row>
    <x:row r="51">
      <x:c r="A51" s="174" t="str">
        <x:f>IF(B51="","","CL-"&amp;TEXT(ROW()-3,"0000"))</x:f>
      </x:c>
      <x:c r="B51" s="174"/>
      <x:c r="C51" s="174" t="str">
        <x:f>IF(B51="","",IFERROR(INDEX('Master Evidence'!$L$4:$L$503,MATCH(B51,'Master Evidence'!$A$4:$A$503,0)),""))</x:f>
      </x:c>
      <x:c r="D51" s="174" t="str">
        <x:f>IF(B51="","",IFERROR(INDEX('Master Evidence'!$W$4:$W$503,MATCH(B51,'Master Evidence'!$A$4:$A$503,0)),""))</x:f>
      </x:c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  <x:c r="P51" s="174"/>
      <x:c r="Q51" s="177"/>
      <x:c r="R51" s="174"/>
    </x:row>
    <x:row r="52">
      <x:c r="A52" s="174" t="str">
        <x:f>IF(B52="","","CL-"&amp;TEXT(ROW()-3,"0000"))</x:f>
      </x:c>
      <x:c r="B52" s="174"/>
      <x:c r="C52" s="174" t="str">
        <x:f>IF(B52="","",IFERROR(INDEX('Master Evidence'!$L$4:$L$503,MATCH(B52,'Master Evidence'!$A$4:$A$503,0)),""))</x:f>
      </x:c>
      <x:c r="D52" s="174" t="str">
        <x:f>IF(B52="","",IFERROR(INDEX('Master Evidence'!$W$4:$W$503,MATCH(B52,'Master Evidence'!$A$4:$A$503,0)),""))</x:f>
      </x:c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  <x:c r="P52" s="174"/>
      <x:c r="Q52" s="177"/>
      <x:c r="R52" s="174"/>
    </x:row>
    <x:row r="53">
      <x:c r="A53" s="174" t="str">
        <x:f>IF(B53="","","CL-"&amp;TEXT(ROW()-3,"0000"))</x:f>
      </x:c>
      <x:c r="B53" s="174"/>
      <x:c r="C53" s="174" t="str">
        <x:f>IF(B53="","",IFERROR(INDEX('Master Evidence'!$L$4:$L$503,MATCH(B53,'Master Evidence'!$A$4:$A$503,0)),""))</x:f>
      </x:c>
      <x:c r="D53" s="174" t="str">
        <x:f>IF(B53="","",IFERROR(INDEX('Master Evidence'!$W$4:$W$503,MATCH(B53,'Master Evidence'!$A$4:$A$503,0)),""))</x:f>
      </x:c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  <x:c r="P53" s="174"/>
      <x:c r="Q53" s="177"/>
      <x:c r="R53" s="174"/>
    </x:row>
    <x:row r="54">
      <x:c r="A54" s="174" t="str">
        <x:f>IF(B54="","","CL-"&amp;TEXT(ROW()-3,"0000"))</x:f>
      </x:c>
      <x:c r="B54" s="174"/>
      <x:c r="C54" s="174" t="str">
        <x:f>IF(B54="","",IFERROR(INDEX('Master Evidence'!$L$4:$L$503,MATCH(B54,'Master Evidence'!$A$4:$A$503,0)),""))</x:f>
      </x:c>
      <x:c r="D54" s="174" t="str">
        <x:f>IF(B54="","",IFERROR(INDEX('Master Evidence'!$W$4:$W$503,MATCH(B54,'Master Evidence'!$A$4:$A$503,0)),""))</x:f>
      </x:c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  <x:c r="P54" s="174"/>
      <x:c r="Q54" s="177"/>
      <x:c r="R54" s="174"/>
    </x:row>
    <x:row r="55">
      <x:c r="A55" s="174" t="str">
        <x:f>IF(B55="","","CL-"&amp;TEXT(ROW()-3,"0000"))</x:f>
      </x:c>
      <x:c r="B55" s="174"/>
      <x:c r="C55" s="174" t="str">
        <x:f>IF(B55="","",IFERROR(INDEX('Master Evidence'!$L$4:$L$503,MATCH(B55,'Master Evidence'!$A$4:$A$503,0)),""))</x:f>
      </x:c>
      <x:c r="D55" s="174" t="str">
        <x:f>IF(B55="","",IFERROR(INDEX('Master Evidence'!$W$4:$W$503,MATCH(B55,'Master Evidence'!$A$4:$A$503,0)),""))</x:f>
      </x:c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  <x:c r="P55" s="174"/>
      <x:c r="Q55" s="177"/>
      <x:c r="R55" s="174"/>
    </x:row>
    <x:row r="56">
      <x:c r="A56" s="174" t="str">
        <x:f>IF(B56="","","CL-"&amp;TEXT(ROW()-3,"0000"))</x:f>
      </x:c>
      <x:c r="B56" s="174"/>
      <x:c r="C56" s="174" t="str">
        <x:f>IF(B56="","",IFERROR(INDEX('Master Evidence'!$L$4:$L$503,MATCH(B56,'Master Evidence'!$A$4:$A$503,0)),""))</x:f>
      </x:c>
      <x:c r="D56" s="174" t="str">
        <x:f>IF(B56="","",IFERROR(INDEX('Master Evidence'!$W$4:$W$503,MATCH(B56,'Master Evidence'!$A$4:$A$503,0)),""))</x:f>
      </x:c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  <x:c r="P56" s="174"/>
      <x:c r="Q56" s="177"/>
      <x:c r="R56" s="174"/>
    </x:row>
    <x:row r="57">
      <x:c r="A57" s="174" t="str">
        <x:f>IF(B57="","","CL-"&amp;TEXT(ROW()-3,"0000"))</x:f>
      </x:c>
      <x:c r="B57" s="174"/>
      <x:c r="C57" s="174" t="str">
        <x:f>IF(B57="","",IFERROR(INDEX('Master Evidence'!$L$4:$L$503,MATCH(B57,'Master Evidence'!$A$4:$A$503,0)),""))</x:f>
      </x:c>
      <x:c r="D57" s="174" t="str">
        <x:f>IF(B57="","",IFERROR(INDEX('Master Evidence'!$W$4:$W$503,MATCH(B57,'Master Evidence'!$A$4:$A$503,0)),""))</x:f>
      </x:c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  <x:c r="P57" s="174"/>
      <x:c r="Q57" s="177"/>
      <x:c r="R57" s="174"/>
    </x:row>
    <x:row r="58">
      <x:c r="A58" s="174" t="str">
        <x:f>IF(B58="","","CL-"&amp;TEXT(ROW()-3,"0000"))</x:f>
      </x:c>
      <x:c r="B58" s="174"/>
      <x:c r="C58" s="174" t="str">
        <x:f>IF(B58="","",IFERROR(INDEX('Master Evidence'!$L$4:$L$503,MATCH(B58,'Master Evidence'!$A$4:$A$503,0)),""))</x:f>
      </x:c>
      <x:c r="D58" s="174" t="str">
        <x:f>IF(B58="","",IFERROR(INDEX('Master Evidence'!$W$4:$W$503,MATCH(B58,'Master Evidence'!$A$4:$A$503,0)),""))</x:f>
      </x:c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  <x:c r="P58" s="174"/>
      <x:c r="Q58" s="177"/>
      <x:c r="R58" s="174"/>
    </x:row>
    <x:row r="59">
      <x:c r="A59" s="174" t="str">
        <x:f>IF(B59="","","CL-"&amp;TEXT(ROW()-3,"0000"))</x:f>
      </x:c>
      <x:c r="B59" s="174"/>
      <x:c r="C59" s="174" t="str">
        <x:f>IF(B59="","",IFERROR(INDEX('Master Evidence'!$L$4:$L$503,MATCH(B59,'Master Evidence'!$A$4:$A$503,0)),""))</x:f>
      </x:c>
      <x:c r="D59" s="174" t="str">
        <x:f>IF(B59="","",IFERROR(INDEX('Master Evidence'!$W$4:$W$503,MATCH(B59,'Master Evidence'!$A$4:$A$503,0)),""))</x:f>
      </x:c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  <x:c r="P59" s="174"/>
      <x:c r="Q59" s="177"/>
      <x:c r="R59" s="174"/>
    </x:row>
    <x:row r="60">
      <x:c r="A60" s="174" t="str">
        <x:f>IF(B60="","","CL-"&amp;TEXT(ROW()-3,"0000"))</x:f>
      </x:c>
      <x:c r="B60" s="174"/>
      <x:c r="C60" s="174" t="str">
        <x:f>IF(B60="","",IFERROR(INDEX('Master Evidence'!$L$4:$L$503,MATCH(B60,'Master Evidence'!$A$4:$A$503,0)),""))</x:f>
      </x:c>
      <x:c r="D60" s="174" t="str">
        <x:f>IF(B60="","",IFERROR(INDEX('Master Evidence'!$W$4:$W$503,MATCH(B60,'Master Evidence'!$A$4:$A$503,0)),""))</x:f>
      </x:c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  <x:c r="P60" s="174"/>
      <x:c r="Q60" s="177"/>
      <x:c r="R60" s="174"/>
    </x:row>
    <x:row r="61">
      <x:c r="A61" s="174" t="str">
        <x:f>IF(B61="","","CL-"&amp;TEXT(ROW()-3,"0000"))</x:f>
      </x:c>
      <x:c r="B61" s="174"/>
      <x:c r="C61" s="174" t="str">
        <x:f>IF(B61="","",IFERROR(INDEX('Master Evidence'!$L$4:$L$503,MATCH(B61,'Master Evidence'!$A$4:$A$503,0)),""))</x:f>
      </x:c>
      <x:c r="D61" s="174" t="str">
        <x:f>IF(B61="","",IFERROR(INDEX('Master Evidence'!$W$4:$W$503,MATCH(B61,'Master Evidence'!$A$4:$A$503,0)),""))</x:f>
      </x:c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  <x:c r="P61" s="174"/>
      <x:c r="Q61" s="177"/>
      <x:c r="R61" s="174"/>
    </x:row>
    <x:row r="62">
      <x:c r="A62" s="174" t="str">
        <x:f>IF(B62="","","CL-"&amp;TEXT(ROW()-3,"0000"))</x:f>
      </x:c>
      <x:c r="B62" s="174"/>
      <x:c r="C62" s="174" t="str">
        <x:f>IF(B62="","",IFERROR(INDEX('Master Evidence'!$L$4:$L$503,MATCH(B62,'Master Evidence'!$A$4:$A$503,0)),""))</x:f>
      </x:c>
      <x:c r="D62" s="174" t="str">
        <x:f>IF(B62="","",IFERROR(INDEX('Master Evidence'!$W$4:$W$503,MATCH(B62,'Master Evidence'!$A$4:$A$503,0)),""))</x:f>
      </x:c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  <x:c r="P62" s="174"/>
      <x:c r="Q62" s="177"/>
      <x:c r="R62" s="174"/>
    </x:row>
    <x:row r="63">
      <x:c r="A63" s="174" t="str">
        <x:f>IF(B63="","","CL-"&amp;TEXT(ROW()-3,"0000"))</x:f>
      </x:c>
      <x:c r="B63" s="174"/>
      <x:c r="C63" s="174" t="str">
        <x:f>IF(B63="","",IFERROR(INDEX('Master Evidence'!$L$4:$L$503,MATCH(B63,'Master Evidence'!$A$4:$A$503,0)),""))</x:f>
      </x:c>
      <x:c r="D63" s="174" t="str">
        <x:f>IF(B63="","",IFERROR(INDEX('Master Evidence'!$W$4:$W$503,MATCH(B63,'Master Evidence'!$A$4:$A$503,0)),""))</x:f>
      </x:c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  <x:c r="P63" s="174"/>
      <x:c r="Q63" s="177"/>
      <x:c r="R63" s="174"/>
    </x:row>
    <x:row r="64">
      <x:c r="A64" s="174" t="str">
        <x:f>IF(B64="","","CL-"&amp;TEXT(ROW()-3,"0000"))</x:f>
      </x:c>
      <x:c r="B64" s="174"/>
      <x:c r="C64" s="174" t="str">
        <x:f>IF(B64="","",IFERROR(INDEX('Master Evidence'!$L$4:$L$503,MATCH(B64,'Master Evidence'!$A$4:$A$503,0)),""))</x:f>
      </x:c>
      <x:c r="D64" s="174" t="str">
        <x:f>IF(B64="","",IFERROR(INDEX('Master Evidence'!$W$4:$W$503,MATCH(B64,'Master Evidence'!$A$4:$A$503,0)),""))</x:f>
      </x:c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  <x:c r="P64" s="174"/>
      <x:c r="Q64" s="177"/>
      <x:c r="R64" s="174"/>
    </x:row>
    <x:row r="65">
      <x:c r="A65" s="174" t="str">
        <x:f>IF(B65="","","CL-"&amp;TEXT(ROW()-3,"0000"))</x:f>
      </x:c>
      <x:c r="B65" s="174"/>
      <x:c r="C65" s="174" t="str">
        <x:f>IF(B65="","",IFERROR(INDEX('Master Evidence'!$L$4:$L$503,MATCH(B65,'Master Evidence'!$A$4:$A$503,0)),""))</x:f>
      </x:c>
      <x:c r="D65" s="174" t="str">
        <x:f>IF(B65="","",IFERROR(INDEX('Master Evidence'!$W$4:$W$503,MATCH(B65,'Master Evidence'!$A$4:$A$503,0)),""))</x:f>
      </x:c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  <x:c r="P65" s="174"/>
      <x:c r="Q65" s="177"/>
      <x:c r="R65" s="174"/>
    </x:row>
    <x:row r="66">
      <x:c r="A66" s="174" t="str">
        <x:f>IF(B66="","","CL-"&amp;TEXT(ROW()-3,"0000"))</x:f>
      </x:c>
      <x:c r="B66" s="174"/>
      <x:c r="C66" s="174" t="str">
        <x:f>IF(B66="","",IFERROR(INDEX('Master Evidence'!$L$4:$L$503,MATCH(B66,'Master Evidence'!$A$4:$A$503,0)),""))</x:f>
      </x:c>
      <x:c r="D66" s="174" t="str">
        <x:f>IF(B66="","",IFERROR(INDEX('Master Evidence'!$W$4:$W$503,MATCH(B66,'Master Evidence'!$A$4:$A$503,0)),""))</x:f>
      </x:c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  <x:c r="P66" s="174"/>
      <x:c r="Q66" s="177"/>
      <x:c r="R66" s="174"/>
    </x:row>
    <x:row r="67">
      <x:c r="A67" s="174" t="str">
        <x:f>IF(B67="","","CL-"&amp;TEXT(ROW()-3,"0000"))</x:f>
      </x:c>
      <x:c r="B67" s="174"/>
      <x:c r="C67" s="174" t="str">
        <x:f>IF(B67="","",IFERROR(INDEX('Master Evidence'!$L$4:$L$503,MATCH(B67,'Master Evidence'!$A$4:$A$503,0)),""))</x:f>
      </x:c>
      <x:c r="D67" s="174" t="str">
        <x:f>IF(B67="","",IFERROR(INDEX('Master Evidence'!$W$4:$W$503,MATCH(B67,'Master Evidence'!$A$4:$A$503,0)),""))</x:f>
      </x:c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  <x:c r="P67" s="174"/>
      <x:c r="Q67" s="177"/>
      <x:c r="R67" s="174"/>
    </x:row>
    <x:row r="68">
      <x:c r="A68" s="174" t="str">
        <x:f>IF(B68="","","CL-"&amp;TEXT(ROW()-3,"0000"))</x:f>
      </x:c>
      <x:c r="B68" s="174"/>
      <x:c r="C68" s="174" t="str">
        <x:f>IF(B68="","",IFERROR(INDEX('Master Evidence'!$L$4:$L$503,MATCH(B68,'Master Evidence'!$A$4:$A$503,0)),""))</x:f>
      </x:c>
      <x:c r="D68" s="174" t="str">
        <x:f>IF(B68="","",IFERROR(INDEX('Master Evidence'!$W$4:$W$503,MATCH(B68,'Master Evidence'!$A$4:$A$503,0)),""))</x:f>
      </x:c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  <x:c r="P68" s="174"/>
      <x:c r="Q68" s="177"/>
      <x:c r="R68" s="174"/>
    </x:row>
    <x:row r="69">
      <x:c r="A69" s="174" t="str">
        <x:f>IF(B69="","","CL-"&amp;TEXT(ROW()-3,"0000"))</x:f>
      </x:c>
      <x:c r="B69" s="174"/>
      <x:c r="C69" s="174" t="str">
        <x:f>IF(B69="","",IFERROR(INDEX('Master Evidence'!$L$4:$L$503,MATCH(B69,'Master Evidence'!$A$4:$A$503,0)),""))</x:f>
      </x:c>
      <x:c r="D69" s="174" t="str">
        <x:f>IF(B69="","",IFERROR(INDEX('Master Evidence'!$W$4:$W$503,MATCH(B69,'Master Evidence'!$A$4:$A$503,0)),""))</x:f>
      </x:c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  <x:c r="P69" s="174"/>
      <x:c r="Q69" s="177"/>
      <x:c r="R69" s="174"/>
    </x:row>
    <x:row r="70">
      <x:c r="A70" s="174" t="str">
        <x:f>IF(B70="","","CL-"&amp;TEXT(ROW()-3,"0000"))</x:f>
      </x:c>
      <x:c r="B70" s="174"/>
      <x:c r="C70" s="174" t="str">
        <x:f>IF(B70="","",IFERROR(INDEX('Master Evidence'!$L$4:$L$503,MATCH(B70,'Master Evidence'!$A$4:$A$503,0)),""))</x:f>
      </x:c>
      <x:c r="D70" s="174" t="str">
        <x:f>IF(B70="","",IFERROR(INDEX('Master Evidence'!$W$4:$W$503,MATCH(B70,'Master Evidence'!$A$4:$A$503,0)),""))</x:f>
      </x:c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  <x:c r="P70" s="174"/>
      <x:c r="Q70" s="177"/>
      <x:c r="R70" s="174"/>
    </x:row>
    <x:row r="71">
      <x:c r="A71" s="174" t="str">
        <x:f>IF(B71="","","CL-"&amp;TEXT(ROW()-3,"0000"))</x:f>
      </x:c>
      <x:c r="B71" s="174"/>
      <x:c r="C71" s="174" t="str">
        <x:f>IF(B71="","",IFERROR(INDEX('Master Evidence'!$L$4:$L$503,MATCH(B71,'Master Evidence'!$A$4:$A$503,0)),""))</x:f>
      </x:c>
      <x:c r="D71" s="174" t="str">
        <x:f>IF(B71="","",IFERROR(INDEX('Master Evidence'!$W$4:$W$503,MATCH(B71,'Master Evidence'!$A$4:$A$503,0)),""))</x:f>
      </x:c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  <x:c r="P71" s="174"/>
      <x:c r="Q71" s="177"/>
      <x:c r="R71" s="174"/>
    </x:row>
    <x:row r="72">
      <x:c r="A72" s="174" t="str">
        <x:f>IF(B72="","","CL-"&amp;TEXT(ROW()-3,"0000"))</x:f>
      </x:c>
      <x:c r="B72" s="174"/>
      <x:c r="C72" s="174" t="str">
        <x:f>IF(B72="","",IFERROR(INDEX('Master Evidence'!$L$4:$L$503,MATCH(B72,'Master Evidence'!$A$4:$A$503,0)),""))</x:f>
      </x:c>
      <x:c r="D72" s="174" t="str">
        <x:f>IF(B72="","",IFERROR(INDEX('Master Evidence'!$W$4:$W$503,MATCH(B72,'Master Evidence'!$A$4:$A$503,0)),""))</x:f>
      </x:c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  <x:c r="P72" s="174"/>
      <x:c r="Q72" s="177"/>
      <x:c r="R72" s="174"/>
    </x:row>
    <x:row r="73">
      <x:c r="A73" s="174" t="str">
        <x:f>IF(B73="","","CL-"&amp;TEXT(ROW()-3,"0000"))</x:f>
      </x:c>
      <x:c r="B73" s="174"/>
      <x:c r="C73" s="174" t="str">
        <x:f>IF(B73="","",IFERROR(INDEX('Master Evidence'!$L$4:$L$503,MATCH(B73,'Master Evidence'!$A$4:$A$503,0)),""))</x:f>
      </x:c>
      <x:c r="D73" s="174" t="str">
        <x:f>IF(B73="","",IFERROR(INDEX('Master Evidence'!$W$4:$W$503,MATCH(B73,'Master Evidence'!$A$4:$A$503,0)),""))</x:f>
      </x:c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  <x:c r="P73" s="174"/>
      <x:c r="Q73" s="177"/>
      <x:c r="R73" s="174"/>
    </x:row>
    <x:row r="74">
      <x:c r="A74" s="174" t="str">
        <x:f>IF(B74="","","CL-"&amp;TEXT(ROW()-3,"0000"))</x:f>
      </x:c>
      <x:c r="B74" s="174"/>
      <x:c r="C74" s="174" t="str">
        <x:f>IF(B74="","",IFERROR(INDEX('Master Evidence'!$L$4:$L$503,MATCH(B74,'Master Evidence'!$A$4:$A$503,0)),""))</x:f>
      </x:c>
      <x:c r="D74" s="174" t="str">
        <x:f>IF(B74="","",IFERROR(INDEX('Master Evidence'!$W$4:$W$503,MATCH(B74,'Master Evidence'!$A$4:$A$503,0)),""))</x:f>
      </x:c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  <x:c r="P74" s="174"/>
      <x:c r="Q74" s="177"/>
      <x:c r="R74" s="174"/>
    </x:row>
    <x:row r="75">
      <x:c r="A75" s="174" t="str">
        <x:f>IF(B75="","","CL-"&amp;TEXT(ROW()-3,"0000"))</x:f>
      </x:c>
      <x:c r="B75" s="174"/>
      <x:c r="C75" s="174" t="str">
        <x:f>IF(B75="","",IFERROR(INDEX('Master Evidence'!$L$4:$L$503,MATCH(B75,'Master Evidence'!$A$4:$A$503,0)),""))</x:f>
      </x:c>
      <x:c r="D75" s="174" t="str">
        <x:f>IF(B75="","",IFERROR(INDEX('Master Evidence'!$W$4:$W$503,MATCH(B75,'Master Evidence'!$A$4:$A$503,0)),""))</x:f>
      </x:c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  <x:c r="P75" s="174"/>
      <x:c r="Q75" s="177"/>
      <x:c r="R75" s="174"/>
    </x:row>
    <x:row r="76">
      <x:c r="A76" s="174" t="str">
        <x:f>IF(B76="","","CL-"&amp;TEXT(ROW()-3,"0000"))</x:f>
      </x:c>
      <x:c r="B76" s="174"/>
      <x:c r="C76" s="174" t="str">
        <x:f>IF(B76="","",IFERROR(INDEX('Master Evidence'!$L$4:$L$503,MATCH(B76,'Master Evidence'!$A$4:$A$503,0)),""))</x:f>
      </x:c>
      <x:c r="D76" s="174" t="str">
        <x:f>IF(B76="","",IFERROR(INDEX('Master Evidence'!$W$4:$W$503,MATCH(B76,'Master Evidence'!$A$4:$A$503,0)),""))</x:f>
      </x:c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  <x:c r="P76" s="174"/>
      <x:c r="Q76" s="177"/>
      <x:c r="R76" s="174"/>
    </x:row>
    <x:row r="77">
      <x:c r="A77" s="174" t="str">
        <x:f>IF(B77="","","CL-"&amp;TEXT(ROW()-3,"0000"))</x:f>
      </x:c>
      <x:c r="B77" s="174"/>
      <x:c r="C77" s="174" t="str">
        <x:f>IF(B77="","",IFERROR(INDEX('Master Evidence'!$L$4:$L$503,MATCH(B77,'Master Evidence'!$A$4:$A$503,0)),""))</x:f>
      </x:c>
      <x:c r="D77" s="174" t="str">
        <x:f>IF(B77="","",IFERROR(INDEX('Master Evidence'!$W$4:$W$503,MATCH(B77,'Master Evidence'!$A$4:$A$503,0)),""))</x:f>
      </x:c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  <x:c r="P77" s="174"/>
      <x:c r="Q77" s="177"/>
      <x:c r="R77" s="174"/>
    </x:row>
    <x:row r="78">
      <x:c r="A78" s="174" t="str">
        <x:f>IF(B78="","","CL-"&amp;TEXT(ROW()-3,"0000"))</x:f>
      </x:c>
      <x:c r="B78" s="174"/>
      <x:c r="C78" s="174" t="str">
        <x:f>IF(B78="","",IFERROR(INDEX('Master Evidence'!$L$4:$L$503,MATCH(B78,'Master Evidence'!$A$4:$A$503,0)),""))</x:f>
      </x:c>
      <x:c r="D78" s="174" t="str">
        <x:f>IF(B78="","",IFERROR(INDEX('Master Evidence'!$W$4:$W$503,MATCH(B78,'Master Evidence'!$A$4:$A$503,0)),""))</x:f>
      </x:c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  <x:c r="P78" s="174"/>
      <x:c r="Q78" s="177"/>
      <x:c r="R78" s="174"/>
    </x:row>
    <x:row r="79">
      <x:c r="A79" s="174" t="str">
        <x:f>IF(B79="","","CL-"&amp;TEXT(ROW()-3,"0000"))</x:f>
      </x:c>
      <x:c r="B79" s="174"/>
      <x:c r="C79" s="174" t="str">
        <x:f>IF(B79="","",IFERROR(INDEX('Master Evidence'!$L$4:$L$503,MATCH(B79,'Master Evidence'!$A$4:$A$503,0)),""))</x:f>
      </x:c>
      <x:c r="D79" s="174" t="str">
        <x:f>IF(B79="","",IFERROR(INDEX('Master Evidence'!$W$4:$W$503,MATCH(B79,'Master Evidence'!$A$4:$A$503,0)),""))</x:f>
      </x:c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  <x:c r="P79" s="174"/>
      <x:c r="Q79" s="177"/>
      <x:c r="R79" s="174"/>
    </x:row>
    <x:row r="80">
      <x:c r="A80" s="174" t="str">
        <x:f>IF(B80="","","CL-"&amp;TEXT(ROW()-3,"0000"))</x:f>
      </x:c>
      <x:c r="B80" s="174"/>
      <x:c r="C80" s="174" t="str">
        <x:f>IF(B80="","",IFERROR(INDEX('Master Evidence'!$L$4:$L$503,MATCH(B80,'Master Evidence'!$A$4:$A$503,0)),""))</x:f>
      </x:c>
      <x:c r="D80" s="174" t="str">
        <x:f>IF(B80="","",IFERROR(INDEX('Master Evidence'!$W$4:$W$503,MATCH(B80,'Master Evidence'!$A$4:$A$503,0)),""))</x:f>
      </x:c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  <x:c r="P80" s="174"/>
      <x:c r="Q80" s="177"/>
      <x:c r="R80" s="174"/>
    </x:row>
    <x:row r="81">
      <x:c r="A81" s="174" t="str">
        <x:f>IF(B81="","","CL-"&amp;TEXT(ROW()-3,"0000"))</x:f>
      </x:c>
      <x:c r="B81" s="174"/>
      <x:c r="C81" s="174" t="str">
        <x:f>IF(B81="","",IFERROR(INDEX('Master Evidence'!$L$4:$L$503,MATCH(B81,'Master Evidence'!$A$4:$A$503,0)),""))</x:f>
      </x:c>
      <x:c r="D81" s="174" t="str">
        <x:f>IF(B81="","",IFERROR(INDEX('Master Evidence'!$W$4:$W$503,MATCH(B81,'Master Evidence'!$A$4:$A$503,0)),""))</x:f>
      </x:c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  <x:c r="P81" s="174"/>
      <x:c r="Q81" s="177"/>
      <x:c r="R81" s="174"/>
    </x:row>
    <x:row r="82">
      <x:c r="A82" s="174" t="str">
        <x:f>IF(B82="","","CL-"&amp;TEXT(ROW()-3,"0000"))</x:f>
      </x:c>
      <x:c r="B82" s="174"/>
      <x:c r="C82" s="174" t="str">
        <x:f>IF(B82="","",IFERROR(INDEX('Master Evidence'!$L$4:$L$503,MATCH(B82,'Master Evidence'!$A$4:$A$503,0)),""))</x:f>
      </x:c>
      <x:c r="D82" s="174" t="str">
        <x:f>IF(B82="","",IFERROR(INDEX('Master Evidence'!$W$4:$W$503,MATCH(B82,'Master Evidence'!$A$4:$A$503,0)),""))</x:f>
      </x:c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  <x:c r="P82" s="174"/>
      <x:c r="Q82" s="177"/>
      <x:c r="R82" s="174"/>
    </x:row>
    <x:row r="83">
      <x:c r="A83" s="174" t="str">
        <x:f>IF(B83="","","CL-"&amp;TEXT(ROW()-3,"0000"))</x:f>
      </x:c>
      <x:c r="B83" s="174"/>
      <x:c r="C83" s="174" t="str">
        <x:f>IF(B83="","",IFERROR(INDEX('Master Evidence'!$L$4:$L$503,MATCH(B83,'Master Evidence'!$A$4:$A$503,0)),""))</x:f>
      </x:c>
      <x:c r="D83" s="174" t="str">
        <x:f>IF(B83="","",IFERROR(INDEX('Master Evidence'!$W$4:$W$503,MATCH(B83,'Master Evidence'!$A$4:$A$503,0)),""))</x:f>
      </x:c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  <x:c r="P83" s="174"/>
      <x:c r="Q83" s="177"/>
      <x:c r="R83" s="174"/>
    </x:row>
    <x:row r="84">
      <x:c r="A84" s="174" t="str">
        <x:f>IF(B84="","","CL-"&amp;TEXT(ROW()-3,"0000"))</x:f>
      </x:c>
      <x:c r="B84" s="174"/>
      <x:c r="C84" s="174" t="str">
        <x:f>IF(B84="","",IFERROR(INDEX('Master Evidence'!$L$4:$L$503,MATCH(B84,'Master Evidence'!$A$4:$A$503,0)),""))</x:f>
      </x:c>
      <x:c r="D84" s="174" t="str">
        <x:f>IF(B84="","",IFERROR(INDEX('Master Evidence'!$W$4:$W$503,MATCH(B84,'Master Evidence'!$A$4:$A$503,0)),""))</x:f>
      </x:c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  <x:c r="P84" s="174"/>
      <x:c r="Q84" s="177"/>
      <x:c r="R84" s="174"/>
    </x:row>
    <x:row r="85">
      <x:c r="A85" s="174" t="str">
        <x:f>IF(B85="","","CL-"&amp;TEXT(ROW()-3,"0000"))</x:f>
      </x:c>
      <x:c r="B85" s="174"/>
      <x:c r="C85" s="174" t="str">
        <x:f>IF(B85="","",IFERROR(INDEX('Master Evidence'!$L$4:$L$503,MATCH(B85,'Master Evidence'!$A$4:$A$503,0)),""))</x:f>
      </x:c>
      <x:c r="D85" s="174" t="str">
        <x:f>IF(B85="","",IFERROR(INDEX('Master Evidence'!$W$4:$W$503,MATCH(B85,'Master Evidence'!$A$4:$A$503,0)),""))</x:f>
      </x:c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  <x:c r="P85" s="174"/>
      <x:c r="Q85" s="177"/>
      <x:c r="R85" s="174"/>
    </x:row>
    <x:row r="86">
      <x:c r="A86" s="174" t="str">
        <x:f>IF(B86="","","CL-"&amp;TEXT(ROW()-3,"0000"))</x:f>
      </x:c>
      <x:c r="B86" s="174"/>
      <x:c r="C86" s="174" t="str">
        <x:f>IF(B86="","",IFERROR(INDEX('Master Evidence'!$L$4:$L$503,MATCH(B86,'Master Evidence'!$A$4:$A$503,0)),""))</x:f>
      </x:c>
      <x:c r="D86" s="174" t="str">
        <x:f>IF(B86="","",IFERROR(INDEX('Master Evidence'!$W$4:$W$503,MATCH(B86,'Master Evidence'!$A$4:$A$503,0)),""))</x:f>
      </x:c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  <x:c r="P86" s="174"/>
      <x:c r="Q86" s="177"/>
      <x:c r="R86" s="174"/>
    </x:row>
    <x:row r="87">
      <x:c r="A87" s="174" t="str">
        <x:f>IF(B87="","","CL-"&amp;TEXT(ROW()-3,"0000"))</x:f>
      </x:c>
      <x:c r="B87" s="174"/>
      <x:c r="C87" s="174" t="str">
        <x:f>IF(B87="","",IFERROR(INDEX('Master Evidence'!$L$4:$L$503,MATCH(B87,'Master Evidence'!$A$4:$A$503,0)),""))</x:f>
      </x:c>
      <x:c r="D87" s="174" t="str">
        <x:f>IF(B87="","",IFERROR(INDEX('Master Evidence'!$W$4:$W$503,MATCH(B87,'Master Evidence'!$A$4:$A$503,0)),""))</x:f>
      </x:c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  <x:c r="P87" s="174"/>
      <x:c r="Q87" s="177"/>
      <x:c r="R87" s="174"/>
    </x:row>
    <x:row r="88">
      <x:c r="A88" s="174" t="str">
        <x:f>IF(B88="","","CL-"&amp;TEXT(ROW()-3,"0000"))</x:f>
      </x:c>
      <x:c r="B88" s="174"/>
      <x:c r="C88" s="174" t="str">
        <x:f>IF(B88="","",IFERROR(INDEX('Master Evidence'!$L$4:$L$503,MATCH(B88,'Master Evidence'!$A$4:$A$503,0)),""))</x:f>
      </x:c>
      <x:c r="D88" s="174" t="str">
        <x:f>IF(B88="","",IFERROR(INDEX('Master Evidence'!$W$4:$W$503,MATCH(B88,'Master Evidence'!$A$4:$A$503,0)),""))</x:f>
      </x:c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  <x:c r="P88" s="174"/>
      <x:c r="Q88" s="177"/>
      <x:c r="R88" s="174"/>
    </x:row>
    <x:row r="89">
      <x:c r="A89" s="174" t="str">
        <x:f>IF(B89="","","CL-"&amp;TEXT(ROW()-3,"0000"))</x:f>
      </x:c>
      <x:c r="B89" s="174"/>
      <x:c r="C89" s="174" t="str">
        <x:f>IF(B89="","",IFERROR(INDEX('Master Evidence'!$L$4:$L$503,MATCH(B89,'Master Evidence'!$A$4:$A$503,0)),""))</x:f>
      </x:c>
      <x:c r="D89" s="174" t="str">
        <x:f>IF(B89="","",IFERROR(INDEX('Master Evidence'!$W$4:$W$503,MATCH(B89,'Master Evidence'!$A$4:$A$503,0)),""))</x:f>
      </x:c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  <x:c r="P89" s="174"/>
      <x:c r="Q89" s="177"/>
      <x:c r="R89" s="174"/>
    </x:row>
    <x:row r="90">
      <x:c r="A90" s="174" t="str">
        <x:f>IF(B90="","","CL-"&amp;TEXT(ROW()-3,"0000"))</x:f>
      </x:c>
      <x:c r="B90" s="174"/>
      <x:c r="C90" s="174" t="str">
        <x:f>IF(B90="","",IFERROR(INDEX('Master Evidence'!$L$4:$L$503,MATCH(B90,'Master Evidence'!$A$4:$A$503,0)),""))</x:f>
      </x:c>
      <x:c r="D90" s="174" t="str">
        <x:f>IF(B90="","",IFERROR(INDEX('Master Evidence'!$W$4:$W$503,MATCH(B90,'Master Evidence'!$A$4:$A$503,0)),""))</x:f>
      </x:c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  <x:c r="P90" s="174"/>
      <x:c r="Q90" s="177"/>
      <x:c r="R90" s="174"/>
    </x:row>
    <x:row r="91">
      <x:c r="A91" s="174" t="str">
        <x:f>IF(B91="","","CL-"&amp;TEXT(ROW()-3,"0000"))</x:f>
      </x:c>
      <x:c r="B91" s="174"/>
      <x:c r="C91" s="174" t="str">
        <x:f>IF(B91="","",IFERROR(INDEX('Master Evidence'!$L$4:$L$503,MATCH(B91,'Master Evidence'!$A$4:$A$503,0)),""))</x:f>
      </x:c>
      <x:c r="D91" s="174" t="str">
        <x:f>IF(B91="","",IFERROR(INDEX('Master Evidence'!$W$4:$W$503,MATCH(B91,'Master Evidence'!$A$4:$A$503,0)),""))</x:f>
      </x:c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  <x:c r="P91" s="174"/>
      <x:c r="Q91" s="177"/>
      <x:c r="R91" s="174"/>
    </x:row>
    <x:row r="92">
      <x:c r="A92" s="174" t="str">
        <x:f>IF(B92="","","CL-"&amp;TEXT(ROW()-3,"0000"))</x:f>
      </x:c>
      <x:c r="B92" s="174"/>
      <x:c r="C92" s="174" t="str">
        <x:f>IF(B92="","",IFERROR(INDEX('Master Evidence'!$L$4:$L$503,MATCH(B92,'Master Evidence'!$A$4:$A$503,0)),""))</x:f>
      </x:c>
      <x:c r="D92" s="174" t="str">
        <x:f>IF(B92="","",IFERROR(INDEX('Master Evidence'!$W$4:$W$503,MATCH(B92,'Master Evidence'!$A$4:$A$503,0)),""))</x:f>
      </x:c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  <x:c r="P92" s="174"/>
      <x:c r="Q92" s="177"/>
      <x:c r="R92" s="174"/>
    </x:row>
    <x:row r="93">
      <x:c r="A93" s="174" t="str">
        <x:f>IF(B93="","","CL-"&amp;TEXT(ROW()-3,"0000"))</x:f>
      </x:c>
      <x:c r="B93" s="174"/>
      <x:c r="C93" s="174" t="str">
        <x:f>IF(B93="","",IFERROR(INDEX('Master Evidence'!$L$4:$L$503,MATCH(B93,'Master Evidence'!$A$4:$A$503,0)),""))</x:f>
      </x:c>
      <x:c r="D93" s="174" t="str">
        <x:f>IF(B93="","",IFERROR(INDEX('Master Evidence'!$W$4:$W$503,MATCH(B93,'Master Evidence'!$A$4:$A$503,0)),""))</x:f>
      </x:c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  <x:c r="P93" s="174"/>
      <x:c r="Q93" s="177"/>
      <x:c r="R93" s="174"/>
    </x:row>
    <x:row r="94">
      <x:c r="A94" s="174" t="str">
        <x:f>IF(B94="","","CL-"&amp;TEXT(ROW()-3,"0000"))</x:f>
      </x:c>
      <x:c r="B94" s="174"/>
      <x:c r="C94" s="174" t="str">
        <x:f>IF(B94="","",IFERROR(INDEX('Master Evidence'!$L$4:$L$503,MATCH(B94,'Master Evidence'!$A$4:$A$503,0)),""))</x:f>
      </x:c>
      <x:c r="D94" s="174" t="str">
        <x:f>IF(B94="","",IFERROR(INDEX('Master Evidence'!$W$4:$W$503,MATCH(B94,'Master Evidence'!$A$4:$A$503,0)),""))</x:f>
      </x:c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  <x:c r="P94" s="174"/>
      <x:c r="Q94" s="177"/>
      <x:c r="R94" s="174"/>
    </x:row>
    <x:row r="95">
      <x:c r="A95" s="174" t="str">
        <x:f>IF(B95="","","CL-"&amp;TEXT(ROW()-3,"0000"))</x:f>
      </x:c>
      <x:c r="B95" s="174"/>
      <x:c r="C95" s="174" t="str">
        <x:f>IF(B95="","",IFERROR(INDEX('Master Evidence'!$L$4:$L$503,MATCH(B95,'Master Evidence'!$A$4:$A$503,0)),""))</x:f>
      </x:c>
      <x:c r="D95" s="174" t="str">
        <x:f>IF(B95="","",IFERROR(INDEX('Master Evidence'!$W$4:$W$503,MATCH(B95,'Master Evidence'!$A$4:$A$503,0)),""))</x:f>
      </x:c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  <x:c r="P95" s="174"/>
      <x:c r="Q95" s="177"/>
      <x:c r="R95" s="174"/>
    </x:row>
    <x:row r="96">
      <x:c r="A96" s="174" t="str">
        <x:f>IF(B96="","","CL-"&amp;TEXT(ROW()-3,"0000"))</x:f>
      </x:c>
      <x:c r="B96" s="174"/>
      <x:c r="C96" s="174" t="str">
        <x:f>IF(B96="","",IFERROR(INDEX('Master Evidence'!$L$4:$L$503,MATCH(B96,'Master Evidence'!$A$4:$A$503,0)),""))</x:f>
      </x:c>
      <x:c r="D96" s="174" t="str">
        <x:f>IF(B96="","",IFERROR(INDEX('Master Evidence'!$W$4:$W$503,MATCH(B96,'Master Evidence'!$A$4:$A$503,0)),""))</x:f>
      </x:c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  <x:c r="P96" s="174"/>
      <x:c r="Q96" s="177"/>
      <x:c r="R96" s="174"/>
    </x:row>
    <x:row r="97">
      <x:c r="A97" s="174" t="str">
        <x:f>IF(B97="","","CL-"&amp;TEXT(ROW()-3,"0000"))</x:f>
      </x:c>
      <x:c r="B97" s="174"/>
      <x:c r="C97" s="174" t="str">
        <x:f>IF(B97="","",IFERROR(INDEX('Master Evidence'!$L$4:$L$503,MATCH(B97,'Master Evidence'!$A$4:$A$503,0)),""))</x:f>
      </x:c>
      <x:c r="D97" s="174" t="str">
        <x:f>IF(B97="","",IFERROR(INDEX('Master Evidence'!$W$4:$W$503,MATCH(B97,'Master Evidence'!$A$4:$A$503,0)),""))</x:f>
      </x:c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  <x:c r="P97" s="174"/>
      <x:c r="Q97" s="177"/>
      <x:c r="R97" s="174"/>
    </x:row>
    <x:row r="98">
      <x:c r="A98" s="174" t="str">
        <x:f>IF(B98="","","CL-"&amp;TEXT(ROW()-3,"0000"))</x:f>
      </x:c>
      <x:c r="B98" s="174"/>
      <x:c r="C98" s="174" t="str">
        <x:f>IF(B98="","",IFERROR(INDEX('Master Evidence'!$L$4:$L$503,MATCH(B98,'Master Evidence'!$A$4:$A$503,0)),""))</x:f>
      </x:c>
      <x:c r="D98" s="174" t="str">
        <x:f>IF(B98="","",IFERROR(INDEX('Master Evidence'!$W$4:$W$503,MATCH(B98,'Master Evidence'!$A$4:$A$503,0)),""))</x:f>
      </x:c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  <x:c r="P98" s="174"/>
      <x:c r="Q98" s="177"/>
      <x:c r="R98" s="174"/>
    </x:row>
    <x:row r="99">
      <x:c r="A99" s="174" t="str">
        <x:f>IF(B99="","","CL-"&amp;TEXT(ROW()-3,"0000"))</x:f>
      </x:c>
      <x:c r="B99" s="174"/>
      <x:c r="C99" s="174" t="str">
        <x:f>IF(B99="","",IFERROR(INDEX('Master Evidence'!$L$4:$L$503,MATCH(B99,'Master Evidence'!$A$4:$A$503,0)),""))</x:f>
      </x:c>
      <x:c r="D99" s="174" t="str">
        <x:f>IF(B99="","",IFERROR(INDEX('Master Evidence'!$W$4:$W$503,MATCH(B99,'Master Evidence'!$A$4:$A$503,0)),""))</x:f>
      </x:c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  <x:c r="P99" s="174"/>
      <x:c r="Q99" s="177"/>
      <x:c r="R99" s="174"/>
    </x:row>
    <x:row r="100">
      <x:c r="A100" s="174" t="str">
        <x:f>IF(B100="","","CL-"&amp;TEXT(ROW()-3,"0000"))</x:f>
      </x:c>
      <x:c r="B100" s="174"/>
      <x:c r="C100" s="174" t="str">
        <x:f>IF(B100="","",IFERROR(INDEX('Master Evidence'!$L$4:$L$503,MATCH(B100,'Master Evidence'!$A$4:$A$503,0)),""))</x:f>
      </x:c>
      <x:c r="D100" s="174" t="str">
        <x:f>IF(B100="","",IFERROR(INDEX('Master Evidence'!$W$4:$W$503,MATCH(B100,'Master Evidence'!$A$4:$A$503,0)),""))</x:f>
      </x:c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  <x:c r="P100" s="174"/>
      <x:c r="Q100" s="177"/>
      <x:c r="R100" s="174"/>
    </x:row>
    <x:row r="101">
      <x:c r="A101" s="174" t="str">
        <x:f>IF(B101="","","CL-"&amp;TEXT(ROW()-3,"0000"))</x:f>
      </x:c>
      <x:c r="B101" s="174"/>
      <x:c r="C101" s="174" t="str">
        <x:f>IF(B101="","",IFERROR(INDEX('Master Evidence'!$L$4:$L$503,MATCH(B101,'Master Evidence'!$A$4:$A$503,0)),""))</x:f>
      </x:c>
      <x:c r="D101" s="174" t="str">
        <x:f>IF(B101="","",IFERROR(INDEX('Master Evidence'!$W$4:$W$503,MATCH(B101,'Master Evidence'!$A$4:$A$503,0)),""))</x:f>
      </x:c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  <x:c r="P101" s="174"/>
      <x:c r="Q101" s="177"/>
      <x:c r="R101" s="174"/>
    </x:row>
    <x:row r="102">
      <x:c r="A102" s="174" t="str">
        <x:f>IF(B102="","","CL-"&amp;TEXT(ROW()-3,"0000"))</x:f>
      </x:c>
      <x:c r="B102" s="174"/>
      <x:c r="C102" s="174" t="str">
        <x:f>IF(B102="","",IFERROR(INDEX('Master Evidence'!$L$4:$L$503,MATCH(B102,'Master Evidence'!$A$4:$A$503,0)),""))</x:f>
      </x:c>
      <x:c r="D102" s="174" t="str">
        <x:f>IF(B102="","",IFERROR(INDEX('Master Evidence'!$W$4:$W$503,MATCH(B102,'Master Evidence'!$A$4:$A$503,0)),""))</x:f>
      </x:c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  <x:c r="P102" s="174"/>
      <x:c r="Q102" s="177"/>
      <x:c r="R102" s="174"/>
    </x:row>
    <x:row r="103">
      <x:c r="A103" s="174" t="str">
        <x:f>IF(B103="","","CL-"&amp;TEXT(ROW()-3,"0000"))</x:f>
      </x:c>
      <x:c r="B103" s="174"/>
      <x:c r="C103" s="174" t="str">
        <x:f>IF(B103="","",IFERROR(INDEX('Master Evidence'!$L$4:$L$503,MATCH(B103,'Master Evidence'!$A$4:$A$503,0)),""))</x:f>
      </x:c>
      <x:c r="D103" s="174" t="str">
        <x:f>IF(B103="","",IFERROR(INDEX('Master Evidence'!$W$4:$W$503,MATCH(B103,'Master Evidence'!$A$4:$A$503,0)),""))</x:f>
      </x:c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  <x:c r="P103" s="174"/>
      <x:c r="Q103" s="177"/>
      <x:c r="R103" s="174"/>
    </x:row>
    <x:row r="104">
      <x:c r="A104" s="174" t="str">
        <x:f>IF(B104="","","CL-"&amp;TEXT(ROW()-3,"0000"))</x:f>
      </x:c>
      <x:c r="B104" s="174"/>
      <x:c r="C104" s="174" t="str">
        <x:f>IF(B104="","",IFERROR(INDEX('Master Evidence'!$L$4:$L$503,MATCH(B104,'Master Evidence'!$A$4:$A$503,0)),""))</x:f>
      </x:c>
      <x:c r="D104" s="174" t="str">
        <x:f>IF(B104="","",IFERROR(INDEX('Master Evidence'!$W$4:$W$503,MATCH(B104,'Master Evidence'!$A$4:$A$503,0)),""))</x:f>
      </x:c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  <x:c r="P104" s="174"/>
      <x:c r="Q104" s="177"/>
      <x:c r="R104" s="174"/>
    </x:row>
    <x:row r="105">
      <x:c r="A105" s="174" t="str">
        <x:f>IF(B105="","","CL-"&amp;TEXT(ROW()-3,"0000"))</x:f>
      </x:c>
      <x:c r="B105" s="174"/>
      <x:c r="C105" s="174" t="str">
        <x:f>IF(B105="","",IFERROR(INDEX('Master Evidence'!$L$4:$L$503,MATCH(B105,'Master Evidence'!$A$4:$A$503,0)),""))</x:f>
      </x:c>
      <x:c r="D105" s="174" t="str">
        <x:f>IF(B105="","",IFERROR(INDEX('Master Evidence'!$W$4:$W$503,MATCH(B105,'Master Evidence'!$A$4:$A$503,0)),""))</x:f>
      </x:c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  <x:c r="P105" s="174"/>
      <x:c r="Q105" s="177"/>
      <x:c r="R105" s="174"/>
    </x:row>
    <x:row r="106">
      <x:c r="A106" s="174" t="str">
        <x:f>IF(B106="","","CL-"&amp;TEXT(ROW()-3,"0000"))</x:f>
      </x:c>
      <x:c r="B106" s="174"/>
      <x:c r="C106" s="174" t="str">
        <x:f>IF(B106="","",IFERROR(INDEX('Master Evidence'!$L$4:$L$503,MATCH(B106,'Master Evidence'!$A$4:$A$503,0)),""))</x:f>
      </x:c>
      <x:c r="D106" s="174" t="str">
        <x:f>IF(B106="","",IFERROR(INDEX('Master Evidence'!$W$4:$W$503,MATCH(B106,'Master Evidence'!$A$4:$A$503,0)),""))</x:f>
      </x:c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  <x:c r="P106" s="174"/>
      <x:c r="Q106" s="177"/>
      <x:c r="R106" s="174"/>
    </x:row>
    <x:row r="107">
      <x:c r="A107" s="174" t="str">
        <x:f>IF(B107="","","CL-"&amp;TEXT(ROW()-3,"0000"))</x:f>
      </x:c>
      <x:c r="B107" s="174"/>
      <x:c r="C107" s="174" t="str">
        <x:f>IF(B107="","",IFERROR(INDEX('Master Evidence'!$L$4:$L$503,MATCH(B107,'Master Evidence'!$A$4:$A$503,0)),""))</x:f>
      </x:c>
      <x:c r="D107" s="174" t="str">
        <x:f>IF(B107="","",IFERROR(INDEX('Master Evidence'!$W$4:$W$503,MATCH(B107,'Master Evidence'!$A$4:$A$503,0)),""))</x:f>
      </x:c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  <x:c r="P107" s="174"/>
      <x:c r="Q107" s="177"/>
      <x:c r="R107" s="174"/>
    </x:row>
    <x:row r="108">
      <x:c r="A108" s="174" t="str">
        <x:f>IF(B108="","","CL-"&amp;TEXT(ROW()-3,"0000"))</x:f>
      </x:c>
      <x:c r="B108" s="174"/>
      <x:c r="C108" s="174" t="str">
        <x:f>IF(B108="","",IFERROR(INDEX('Master Evidence'!$L$4:$L$503,MATCH(B108,'Master Evidence'!$A$4:$A$503,0)),""))</x:f>
      </x:c>
      <x:c r="D108" s="174" t="str">
        <x:f>IF(B108="","",IFERROR(INDEX('Master Evidence'!$W$4:$W$503,MATCH(B108,'Master Evidence'!$A$4:$A$503,0)),""))</x:f>
      </x:c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  <x:c r="P108" s="174"/>
      <x:c r="Q108" s="177"/>
      <x:c r="R108" s="174"/>
    </x:row>
    <x:row r="109">
      <x:c r="A109" s="174" t="str">
        <x:f>IF(B109="","","CL-"&amp;TEXT(ROW()-3,"0000"))</x:f>
      </x:c>
      <x:c r="B109" s="174"/>
      <x:c r="C109" s="174" t="str">
        <x:f>IF(B109="","",IFERROR(INDEX('Master Evidence'!$L$4:$L$503,MATCH(B109,'Master Evidence'!$A$4:$A$503,0)),""))</x:f>
      </x:c>
      <x:c r="D109" s="174" t="str">
        <x:f>IF(B109="","",IFERROR(INDEX('Master Evidence'!$W$4:$W$503,MATCH(B109,'Master Evidence'!$A$4:$A$503,0)),""))</x:f>
      </x:c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  <x:c r="P109" s="174"/>
      <x:c r="Q109" s="177"/>
      <x:c r="R109" s="174"/>
    </x:row>
    <x:row r="110">
      <x:c r="A110" s="174" t="str">
        <x:f>IF(B110="","","CL-"&amp;TEXT(ROW()-3,"0000"))</x:f>
      </x:c>
      <x:c r="B110" s="174"/>
      <x:c r="C110" s="174" t="str">
        <x:f>IF(B110="","",IFERROR(INDEX('Master Evidence'!$L$4:$L$503,MATCH(B110,'Master Evidence'!$A$4:$A$503,0)),""))</x:f>
      </x:c>
      <x:c r="D110" s="174" t="str">
        <x:f>IF(B110="","",IFERROR(INDEX('Master Evidence'!$W$4:$W$503,MATCH(B110,'Master Evidence'!$A$4:$A$503,0)),""))</x:f>
      </x:c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  <x:c r="P110" s="174"/>
      <x:c r="Q110" s="177"/>
      <x:c r="R110" s="174"/>
    </x:row>
    <x:row r="111">
      <x:c r="A111" s="174" t="str">
        <x:f>IF(B111="","","CL-"&amp;TEXT(ROW()-3,"0000"))</x:f>
      </x:c>
      <x:c r="B111" s="174"/>
      <x:c r="C111" s="174" t="str">
        <x:f>IF(B111="","",IFERROR(INDEX('Master Evidence'!$L$4:$L$503,MATCH(B111,'Master Evidence'!$A$4:$A$503,0)),""))</x:f>
      </x:c>
      <x:c r="D111" s="174" t="str">
        <x:f>IF(B111="","",IFERROR(INDEX('Master Evidence'!$W$4:$W$503,MATCH(B111,'Master Evidence'!$A$4:$A$503,0)),""))</x:f>
      </x:c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  <x:c r="P111" s="174"/>
      <x:c r="Q111" s="177"/>
      <x:c r="R111" s="174"/>
    </x:row>
    <x:row r="112">
      <x:c r="A112" s="174" t="str">
        <x:f>IF(B112="","","CL-"&amp;TEXT(ROW()-3,"0000"))</x:f>
      </x:c>
      <x:c r="B112" s="174"/>
      <x:c r="C112" s="174" t="str">
        <x:f>IF(B112="","",IFERROR(INDEX('Master Evidence'!$L$4:$L$503,MATCH(B112,'Master Evidence'!$A$4:$A$503,0)),""))</x:f>
      </x:c>
      <x:c r="D112" s="174" t="str">
        <x:f>IF(B112="","",IFERROR(INDEX('Master Evidence'!$W$4:$W$503,MATCH(B112,'Master Evidence'!$A$4:$A$503,0)),""))</x:f>
      </x:c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  <x:c r="P112" s="174"/>
      <x:c r="Q112" s="177"/>
      <x:c r="R112" s="174"/>
    </x:row>
    <x:row r="113">
      <x:c r="A113" s="174" t="str">
        <x:f>IF(B113="","","CL-"&amp;TEXT(ROW()-3,"0000"))</x:f>
      </x:c>
      <x:c r="B113" s="174"/>
      <x:c r="C113" s="174" t="str">
        <x:f>IF(B113="","",IFERROR(INDEX('Master Evidence'!$L$4:$L$503,MATCH(B113,'Master Evidence'!$A$4:$A$503,0)),""))</x:f>
      </x:c>
      <x:c r="D113" s="174" t="str">
        <x:f>IF(B113="","",IFERROR(INDEX('Master Evidence'!$W$4:$W$503,MATCH(B113,'Master Evidence'!$A$4:$A$503,0)),""))</x:f>
      </x:c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  <x:c r="P113" s="174"/>
      <x:c r="Q113" s="177"/>
      <x:c r="R113" s="174"/>
    </x:row>
    <x:row r="114">
      <x:c r="A114" s="174" t="str">
        <x:f>IF(B114="","","CL-"&amp;TEXT(ROW()-3,"0000"))</x:f>
      </x:c>
      <x:c r="B114" s="174"/>
      <x:c r="C114" s="174" t="str">
        <x:f>IF(B114="","",IFERROR(INDEX('Master Evidence'!$L$4:$L$503,MATCH(B114,'Master Evidence'!$A$4:$A$503,0)),""))</x:f>
      </x:c>
      <x:c r="D114" s="174" t="str">
        <x:f>IF(B114="","",IFERROR(INDEX('Master Evidence'!$W$4:$W$503,MATCH(B114,'Master Evidence'!$A$4:$A$503,0)),""))</x:f>
      </x:c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  <x:c r="P114" s="174"/>
      <x:c r="Q114" s="177"/>
      <x:c r="R114" s="174"/>
    </x:row>
    <x:row r="115">
      <x:c r="A115" s="174" t="str">
        <x:f>IF(B115="","","CL-"&amp;TEXT(ROW()-3,"0000"))</x:f>
      </x:c>
      <x:c r="B115" s="174"/>
      <x:c r="C115" s="174" t="str">
        <x:f>IF(B115="","",IFERROR(INDEX('Master Evidence'!$L$4:$L$503,MATCH(B115,'Master Evidence'!$A$4:$A$503,0)),""))</x:f>
      </x:c>
      <x:c r="D115" s="174" t="str">
        <x:f>IF(B115="","",IFERROR(INDEX('Master Evidence'!$W$4:$W$503,MATCH(B115,'Master Evidence'!$A$4:$A$503,0)),""))</x:f>
      </x:c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  <x:c r="P115" s="174"/>
      <x:c r="Q115" s="177"/>
      <x:c r="R115" s="174"/>
    </x:row>
    <x:row r="116">
      <x:c r="A116" s="174" t="str">
        <x:f>IF(B116="","","CL-"&amp;TEXT(ROW()-3,"0000"))</x:f>
      </x:c>
      <x:c r="B116" s="174"/>
      <x:c r="C116" s="174" t="str">
        <x:f>IF(B116="","",IFERROR(INDEX('Master Evidence'!$L$4:$L$503,MATCH(B116,'Master Evidence'!$A$4:$A$503,0)),""))</x:f>
      </x:c>
      <x:c r="D116" s="174" t="str">
        <x:f>IF(B116="","",IFERROR(INDEX('Master Evidence'!$W$4:$W$503,MATCH(B116,'Master Evidence'!$A$4:$A$503,0)),""))</x:f>
      </x:c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  <x:c r="P116" s="174"/>
      <x:c r="Q116" s="177"/>
      <x:c r="R116" s="174"/>
    </x:row>
    <x:row r="117">
      <x:c r="A117" s="174" t="str">
        <x:f>IF(B117="","","CL-"&amp;TEXT(ROW()-3,"0000"))</x:f>
      </x:c>
      <x:c r="B117" s="174"/>
      <x:c r="C117" s="174" t="str">
        <x:f>IF(B117="","",IFERROR(INDEX('Master Evidence'!$L$4:$L$503,MATCH(B117,'Master Evidence'!$A$4:$A$503,0)),""))</x:f>
      </x:c>
      <x:c r="D117" s="174" t="str">
        <x:f>IF(B117="","",IFERROR(INDEX('Master Evidence'!$W$4:$W$503,MATCH(B117,'Master Evidence'!$A$4:$A$503,0)),""))</x:f>
      </x:c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  <x:c r="P117" s="174"/>
      <x:c r="Q117" s="177"/>
      <x:c r="R117" s="174"/>
    </x:row>
    <x:row r="118">
      <x:c r="A118" s="174" t="str">
        <x:f>IF(B118="","","CL-"&amp;TEXT(ROW()-3,"0000"))</x:f>
      </x:c>
      <x:c r="B118" s="174"/>
      <x:c r="C118" s="174" t="str">
        <x:f>IF(B118="","",IFERROR(INDEX('Master Evidence'!$L$4:$L$503,MATCH(B118,'Master Evidence'!$A$4:$A$503,0)),""))</x:f>
      </x:c>
      <x:c r="D118" s="174" t="str">
        <x:f>IF(B118="","",IFERROR(INDEX('Master Evidence'!$W$4:$W$503,MATCH(B118,'Master Evidence'!$A$4:$A$503,0)),""))</x:f>
      </x:c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  <x:c r="P118" s="174"/>
      <x:c r="Q118" s="177"/>
      <x:c r="R118" s="174"/>
    </x:row>
    <x:row r="119">
      <x:c r="A119" s="174" t="str">
        <x:f>IF(B119="","","CL-"&amp;TEXT(ROW()-3,"0000"))</x:f>
      </x:c>
      <x:c r="B119" s="174"/>
      <x:c r="C119" s="174" t="str">
        <x:f>IF(B119="","",IFERROR(INDEX('Master Evidence'!$L$4:$L$503,MATCH(B119,'Master Evidence'!$A$4:$A$503,0)),""))</x:f>
      </x:c>
      <x:c r="D119" s="174" t="str">
        <x:f>IF(B119="","",IFERROR(INDEX('Master Evidence'!$W$4:$W$503,MATCH(B119,'Master Evidence'!$A$4:$A$503,0)),""))</x:f>
      </x:c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  <x:c r="P119" s="174"/>
      <x:c r="Q119" s="177"/>
      <x:c r="R119" s="174"/>
    </x:row>
    <x:row r="120">
      <x:c r="A120" s="174" t="str">
        <x:f>IF(B120="","","CL-"&amp;TEXT(ROW()-3,"0000"))</x:f>
      </x:c>
      <x:c r="B120" s="174"/>
      <x:c r="C120" s="174" t="str">
        <x:f>IF(B120="","",IFERROR(INDEX('Master Evidence'!$L$4:$L$503,MATCH(B120,'Master Evidence'!$A$4:$A$503,0)),""))</x:f>
      </x:c>
      <x:c r="D120" s="174" t="str">
        <x:f>IF(B120="","",IFERROR(INDEX('Master Evidence'!$W$4:$W$503,MATCH(B120,'Master Evidence'!$A$4:$A$503,0)),""))</x:f>
      </x:c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  <x:c r="P120" s="174"/>
      <x:c r="Q120" s="177"/>
      <x:c r="R120" s="174"/>
    </x:row>
    <x:row r="121">
      <x:c r="A121" s="174" t="str">
        <x:f>IF(B121="","","CL-"&amp;TEXT(ROW()-3,"0000"))</x:f>
      </x:c>
      <x:c r="B121" s="174"/>
      <x:c r="C121" s="174" t="str">
        <x:f>IF(B121="","",IFERROR(INDEX('Master Evidence'!$L$4:$L$503,MATCH(B121,'Master Evidence'!$A$4:$A$503,0)),""))</x:f>
      </x:c>
      <x:c r="D121" s="174" t="str">
        <x:f>IF(B121="","",IFERROR(INDEX('Master Evidence'!$W$4:$W$503,MATCH(B121,'Master Evidence'!$A$4:$A$503,0)),""))</x:f>
      </x:c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  <x:c r="P121" s="174"/>
      <x:c r="Q121" s="177"/>
      <x:c r="R121" s="174"/>
    </x:row>
    <x:row r="122">
      <x:c r="A122" s="174" t="str">
        <x:f>IF(B122="","","CL-"&amp;TEXT(ROW()-3,"0000"))</x:f>
      </x:c>
      <x:c r="B122" s="174"/>
      <x:c r="C122" s="174" t="str">
        <x:f>IF(B122="","",IFERROR(INDEX('Master Evidence'!$L$4:$L$503,MATCH(B122,'Master Evidence'!$A$4:$A$503,0)),""))</x:f>
      </x:c>
      <x:c r="D122" s="174" t="str">
        <x:f>IF(B122="","",IFERROR(INDEX('Master Evidence'!$W$4:$W$503,MATCH(B122,'Master Evidence'!$A$4:$A$503,0)),""))</x:f>
      </x:c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  <x:c r="P122" s="174"/>
      <x:c r="Q122" s="177"/>
      <x:c r="R122" s="174"/>
    </x:row>
    <x:row r="123">
      <x:c r="A123" s="174" t="str">
        <x:f>IF(B123="","","CL-"&amp;TEXT(ROW()-3,"0000"))</x:f>
      </x:c>
      <x:c r="B123" s="174"/>
      <x:c r="C123" s="174" t="str">
        <x:f>IF(B123="","",IFERROR(INDEX('Master Evidence'!$L$4:$L$503,MATCH(B123,'Master Evidence'!$A$4:$A$503,0)),""))</x:f>
      </x:c>
      <x:c r="D123" s="174" t="str">
        <x:f>IF(B123="","",IFERROR(INDEX('Master Evidence'!$W$4:$W$503,MATCH(B123,'Master Evidence'!$A$4:$A$503,0)),""))</x:f>
      </x:c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  <x:c r="P123" s="174"/>
      <x:c r="Q123" s="177"/>
      <x:c r="R123" s="174"/>
    </x:row>
    <x:row r="124">
      <x:c r="A124" s="174" t="str">
        <x:f>IF(B124="","","CL-"&amp;TEXT(ROW()-3,"0000"))</x:f>
      </x:c>
      <x:c r="B124" s="174"/>
      <x:c r="C124" s="174" t="str">
        <x:f>IF(B124="","",IFERROR(INDEX('Master Evidence'!$L$4:$L$503,MATCH(B124,'Master Evidence'!$A$4:$A$503,0)),""))</x:f>
      </x:c>
      <x:c r="D124" s="174" t="str">
        <x:f>IF(B124="","",IFERROR(INDEX('Master Evidence'!$W$4:$W$503,MATCH(B124,'Master Evidence'!$A$4:$A$503,0)),""))</x:f>
      </x:c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  <x:c r="P124" s="174"/>
      <x:c r="Q124" s="177"/>
      <x:c r="R124" s="174"/>
    </x:row>
    <x:row r="125">
      <x:c r="A125" s="174" t="str">
        <x:f>IF(B125="","","CL-"&amp;TEXT(ROW()-3,"0000"))</x:f>
      </x:c>
      <x:c r="B125" s="174"/>
      <x:c r="C125" s="174" t="str">
        <x:f>IF(B125="","",IFERROR(INDEX('Master Evidence'!$L$4:$L$503,MATCH(B125,'Master Evidence'!$A$4:$A$503,0)),""))</x:f>
      </x:c>
      <x:c r="D125" s="174" t="str">
        <x:f>IF(B125="","",IFERROR(INDEX('Master Evidence'!$W$4:$W$503,MATCH(B125,'Master Evidence'!$A$4:$A$503,0)),""))</x:f>
      </x:c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  <x:c r="P125" s="174"/>
      <x:c r="Q125" s="177"/>
      <x:c r="R125" s="174"/>
    </x:row>
    <x:row r="126">
      <x:c r="A126" s="174" t="str">
        <x:f>IF(B126="","","CL-"&amp;TEXT(ROW()-3,"0000"))</x:f>
      </x:c>
      <x:c r="B126" s="174"/>
      <x:c r="C126" s="174" t="str">
        <x:f>IF(B126="","",IFERROR(INDEX('Master Evidence'!$L$4:$L$503,MATCH(B126,'Master Evidence'!$A$4:$A$503,0)),""))</x:f>
      </x:c>
      <x:c r="D126" s="174" t="str">
        <x:f>IF(B126="","",IFERROR(INDEX('Master Evidence'!$W$4:$W$503,MATCH(B126,'Master Evidence'!$A$4:$A$503,0)),""))</x:f>
      </x:c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  <x:c r="P126" s="174"/>
      <x:c r="Q126" s="177"/>
      <x:c r="R126" s="174"/>
    </x:row>
    <x:row r="127">
      <x:c r="A127" s="174" t="str">
        <x:f>IF(B127="","","CL-"&amp;TEXT(ROW()-3,"0000"))</x:f>
      </x:c>
      <x:c r="B127" s="174"/>
      <x:c r="C127" s="174" t="str">
        <x:f>IF(B127="","",IFERROR(INDEX('Master Evidence'!$L$4:$L$503,MATCH(B127,'Master Evidence'!$A$4:$A$503,0)),""))</x:f>
      </x:c>
      <x:c r="D127" s="174" t="str">
        <x:f>IF(B127="","",IFERROR(INDEX('Master Evidence'!$W$4:$W$503,MATCH(B127,'Master Evidence'!$A$4:$A$503,0)),""))</x:f>
      </x:c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  <x:c r="P127" s="174"/>
      <x:c r="Q127" s="177"/>
      <x:c r="R127" s="174"/>
    </x:row>
    <x:row r="128">
      <x:c r="A128" s="174" t="str">
        <x:f>IF(B128="","","CL-"&amp;TEXT(ROW()-3,"0000"))</x:f>
      </x:c>
      <x:c r="B128" s="174"/>
      <x:c r="C128" s="174" t="str">
        <x:f>IF(B128="","",IFERROR(INDEX('Master Evidence'!$L$4:$L$503,MATCH(B128,'Master Evidence'!$A$4:$A$503,0)),""))</x:f>
      </x:c>
      <x:c r="D128" s="174" t="str">
        <x:f>IF(B128="","",IFERROR(INDEX('Master Evidence'!$W$4:$W$503,MATCH(B128,'Master Evidence'!$A$4:$A$503,0)),""))</x:f>
      </x:c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  <x:c r="P128" s="174"/>
      <x:c r="Q128" s="177"/>
      <x:c r="R128" s="174"/>
    </x:row>
    <x:row r="129">
      <x:c r="A129" s="174" t="str">
        <x:f>IF(B129="","","CL-"&amp;TEXT(ROW()-3,"0000"))</x:f>
      </x:c>
      <x:c r="B129" s="174"/>
      <x:c r="C129" s="174" t="str">
        <x:f>IF(B129="","",IFERROR(INDEX('Master Evidence'!$L$4:$L$503,MATCH(B129,'Master Evidence'!$A$4:$A$503,0)),""))</x:f>
      </x:c>
      <x:c r="D129" s="174" t="str">
        <x:f>IF(B129="","",IFERROR(INDEX('Master Evidence'!$W$4:$W$503,MATCH(B129,'Master Evidence'!$A$4:$A$503,0)),""))</x:f>
      </x:c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  <x:c r="P129" s="174"/>
      <x:c r="Q129" s="177"/>
      <x:c r="R129" s="174"/>
    </x:row>
    <x:row r="130">
      <x:c r="A130" s="174" t="str">
        <x:f>IF(B130="","","CL-"&amp;TEXT(ROW()-3,"0000"))</x:f>
      </x:c>
      <x:c r="B130" s="174"/>
      <x:c r="C130" s="174" t="str">
        <x:f>IF(B130="","",IFERROR(INDEX('Master Evidence'!$L$4:$L$503,MATCH(B130,'Master Evidence'!$A$4:$A$503,0)),""))</x:f>
      </x:c>
      <x:c r="D130" s="174" t="str">
        <x:f>IF(B130="","",IFERROR(INDEX('Master Evidence'!$W$4:$W$503,MATCH(B130,'Master Evidence'!$A$4:$A$503,0)),""))</x:f>
      </x:c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  <x:c r="P130" s="174"/>
      <x:c r="Q130" s="177"/>
      <x:c r="R130" s="174"/>
    </x:row>
    <x:row r="131">
      <x:c r="A131" s="174" t="str">
        <x:f>IF(B131="","","CL-"&amp;TEXT(ROW()-3,"0000"))</x:f>
      </x:c>
      <x:c r="B131" s="174"/>
      <x:c r="C131" s="174" t="str">
        <x:f>IF(B131="","",IFERROR(INDEX('Master Evidence'!$L$4:$L$503,MATCH(B131,'Master Evidence'!$A$4:$A$503,0)),""))</x:f>
      </x:c>
      <x:c r="D131" s="174" t="str">
        <x:f>IF(B131="","",IFERROR(INDEX('Master Evidence'!$W$4:$W$503,MATCH(B131,'Master Evidence'!$A$4:$A$503,0)),""))</x:f>
      </x:c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  <x:c r="P131" s="174"/>
      <x:c r="Q131" s="177"/>
      <x:c r="R131" s="174"/>
    </x:row>
    <x:row r="132">
      <x:c r="A132" s="174" t="str">
        <x:f>IF(B132="","","CL-"&amp;TEXT(ROW()-3,"0000"))</x:f>
      </x:c>
      <x:c r="B132" s="174"/>
      <x:c r="C132" s="174" t="str">
        <x:f>IF(B132="","",IFERROR(INDEX('Master Evidence'!$L$4:$L$503,MATCH(B132,'Master Evidence'!$A$4:$A$503,0)),""))</x:f>
      </x:c>
      <x:c r="D132" s="174" t="str">
        <x:f>IF(B132="","",IFERROR(INDEX('Master Evidence'!$W$4:$W$503,MATCH(B132,'Master Evidence'!$A$4:$A$503,0)),""))</x:f>
      </x:c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  <x:c r="P132" s="174"/>
      <x:c r="Q132" s="177"/>
      <x:c r="R132" s="174"/>
    </x:row>
    <x:row r="133">
      <x:c r="A133" s="174" t="str">
        <x:f>IF(B133="","","CL-"&amp;TEXT(ROW()-3,"0000"))</x:f>
      </x:c>
      <x:c r="B133" s="174"/>
      <x:c r="C133" s="174" t="str">
        <x:f>IF(B133="","",IFERROR(INDEX('Master Evidence'!$L$4:$L$503,MATCH(B133,'Master Evidence'!$A$4:$A$503,0)),""))</x:f>
      </x:c>
      <x:c r="D133" s="174" t="str">
        <x:f>IF(B133="","",IFERROR(INDEX('Master Evidence'!$W$4:$W$503,MATCH(B133,'Master Evidence'!$A$4:$A$503,0)),""))</x:f>
      </x:c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  <x:c r="P133" s="174"/>
      <x:c r="Q133" s="177"/>
      <x:c r="R133" s="174"/>
    </x:row>
    <x:row r="134">
      <x:c r="A134" s="174" t="str">
        <x:f>IF(B134="","","CL-"&amp;TEXT(ROW()-3,"0000"))</x:f>
      </x:c>
      <x:c r="B134" s="174"/>
      <x:c r="C134" s="174" t="str">
        <x:f>IF(B134="","",IFERROR(INDEX('Master Evidence'!$L$4:$L$503,MATCH(B134,'Master Evidence'!$A$4:$A$503,0)),""))</x:f>
      </x:c>
      <x:c r="D134" s="174" t="str">
        <x:f>IF(B134="","",IFERROR(INDEX('Master Evidence'!$W$4:$W$503,MATCH(B134,'Master Evidence'!$A$4:$A$503,0)),""))</x:f>
      </x:c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  <x:c r="P134" s="174"/>
      <x:c r="Q134" s="177"/>
      <x:c r="R134" s="174"/>
    </x:row>
    <x:row r="135">
      <x:c r="A135" s="174" t="str">
        <x:f>IF(B135="","","CL-"&amp;TEXT(ROW()-3,"0000"))</x:f>
      </x:c>
      <x:c r="B135" s="174"/>
      <x:c r="C135" s="174" t="str">
        <x:f>IF(B135="","",IFERROR(INDEX('Master Evidence'!$L$4:$L$503,MATCH(B135,'Master Evidence'!$A$4:$A$503,0)),""))</x:f>
      </x:c>
      <x:c r="D135" s="174" t="str">
        <x:f>IF(B135="","",IFERROR(INDEX('Master Evidence'!$W$4:$W$503,MATCH(B135,'Master Evidence'!$A$4:$A$503,0)),""))</x:f>
      </x:c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  <x:c r="P135" s="174"/>
      <x:c r="Q135" s="177"/>
      <x:c r="R135" s="174"/>
    </x:row>
    <x:row r="136">
      <x:c r="A136" s="174" t="str">
        <x:f>IF(B136="","","CL-"&amp;TEXT(ROW()-3,"0000"))</x:f>
      </x:c>
      <x:c r="B136" s="174"/>
      <x:c r="C136" s="174" t="str">
        <x:f>IF(B136="","",IFERROR(INDEX('Master Evidence'!$L$4:$L$503,MATCH(B136,'Master Evidence'!$A$4:$A$503,0)),""))</x:f>
      </x:c>
      <x:c r="D136" s="174" t="str">
        <x:f>IF(B136="","",IFERROR(INDEX('Master Evidence'!$W$4:$W$503,MATCH(B136,'Master Evidence'!$A$4:$A$503,0)),""))</x:f>
      </x:c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  <x:c r="P136" s="174"/>
      <x:c r="Q136" s="177"/>
      <x:c r="R136" s="174"/>
    </x:row>
    <x:row r="137">
      <x:c r="A137" s="174" t="str">
        <x:f>IF(B137="","","CL-"&amp;TEXT(ROW()-3,"0000"))</x:f>
      </x:c>
      <x:c r="B137" s="174"/>
      <x:c r="C137" s="174" t="str">
        <x:f>IF(B137="","",IFERROR(INDEX('Master Evidence'!$L$4:$L$503,MATCH(B137,'Master Evidence'!$A$4:$A$503,0)),""))</x:f>
      </x:c>
      <x:c r="D137" s="174" t="str">
        <x:f>IF(B137="","",IFERROR(INDEX('Master Evidence'!$W$4:$W$503,MATCH(B137,'Master Evidence'!$A$4:$A$503,0)),""))</x:f>
      </x:c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  <x:c r="P137" s="174"/>
      <x:c r="Q137" s="177"/>
      <x:c r="R137" s="174"/>
    </x:row>
    <x:row r="138">
      <x:c r="A138" s="174" t="str">
        <x:f>IF(B138="","","CL-"&amp;TEXT(ROW()-3,"0000"))</x:f>
      </x:c>
      <x:c r="B138" s="174"/>
      <x:c r="C138" s="174" t="str">
        <x:f>IF(B138="","",IFERROR(INDEX('Master Evidence'!$L$4:$L$503,MATCH(B138,'Master Evidence'!$A$4:$A$503,0)),""))</x:f>
      </x:c>
      <x:c r="D138" s="174" t="str">
        <x:f>IF(B138="","",IFERROR(INDEX('Master Evidence'!$W$4:$W$503,MATCH(B138,'Master Evidence'!$A$4:$A$503,0)),""))</x:f>
      </x:c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  <x:c r="P138" s="174"/>
      <x:c r="Q138" s="177"/>
      <x:c r="R138" s="174"/>
    </x:row>
    <x:row r="139">
      <x:c r="A139" s="174" t="str">
        <x:f>IF(B139="","","CL-"&amp;TEXT(ROW()-3,"0000"))</x:f>
      </x:c>
      <x:c r="B139" s="174"/>
      <x:c r="C139" s="174" t="str">
        <x:f>IF(B139="","",IFERROR(INDEX('Master Evidence'!$L$4:$L$503,MATCH(B139,'Master Evidence'!$A$4:$A$503,0)),""))</x:f>
      </x:c>
      <x:c r="D139" s="174" t="str">
        <x:f>IF(B139="","",IFERROR(INDEX('Master Evidence'!$W$4:$W$503,MATCH(B139,'Master Evidence'!$A$4:$A$503,0)),""))</x:f>
      </x:c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  <x:c r="P139" s="174"/>
      <x:c r="Q139" s="177"/>
      <x:c r="R139" s="174"/>
    </x:row>
    <x:row r="140">
      <x:c r="A140" s="174" t="str">
        <x:f>IF(B140="","","CL-"&amp;TEXT(ROW()-3,"0000"))</x:f>
      </x:c>
      <x:c r="B140" s="174"/>
      <x:c r="C140" s="174" t="str">
        <x:f>IF(B140="","",IFERROR(INDEX('Master Evidence'!$L$4:$L$503,MATCH(B140,'Master Evidence'!$A$4:$A$503,0)),""))</x:f>
      </x:c>
      <x:c r="D140" s="174" t="str">
        <x:f>IF(B140="","",IFERROR(INDEX('Master Evidence'!$W$4:$W$503,MATCH(B140,'Master Evidence'!$A$4:$A$503,0)),""))</x:f>
      </x:c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  <x:c r="P140" s="174"/>
      <x:c r="Q140" s="177"/>
      <x:c r="R140" s="174"/>
    </x:row>
    <x:row r="141">
      <x:c r="A141" s="174" t="str">
        <x:f>IF(B141="","","CL-"&amp;TEXT(ROW()-3,"0000"))</x:f>
      </x:c>
      <x:c r="B141" s="174"/>
      <x:c r="C141" s="174" t="str">
        <x:f>IF(B141="","",IFERROR(INDEX('Master Evidence'!$L$4:$L$503,MATCH(B141,'Master Evidence'!$A$4:$A$503,0)),""))</x:f>
      </x:c>
      <x:c r="D141" s="174" t="str">
        <x:f>IF(B141="","",IFERROR(INDEX('Master Evidence'!$W$4:$W$503,MATCH(B141,'Master Evidence'!$A$4:$A$503,0)),""))</x:f>
      </x:c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  <x:c r="P141" s="174"/>
      <x:c r="Q141" s="177"/>
      <x:c r="R141" s="174"/>
    </x:row>
    <x:row r="142">
      <x:c r="A142" s="174" t="str">
        <x:f>IF(B142="","","CL-"&amp;TEXT(ROW()-3,"0000"))</x:f>
      </x:c>
      <x:c r="B142" s="174"/>
      <x:c r="C142" s="174" t="str">
        <x:f>IF(B142="","",IFERROR(INDEX('Master Evidence'!$L$4:$L$503,MATCH(B142,'Master Evidence'!$A$4:$A$503,0)),""))</x:f>
      </x:c>
      <x:c r="D142" s="174" t="str">
        <x:f>IF(B142="","",IFERROR(INDEX('Master Evidence'!$W$4:$W$503,MATCH(B142,'Master Evidence'!$A$4:$A$503,0)),""))</x:f>
      </x:c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  <x:c r="P142" s="174"/>
      <x:c r="Q142" s="177"/>
      <x:c r="R142" s="174"/>
    </x:row>
    <x:row r="143">
      <x:c r="A143" s="174" t="str">
        <x:f>IF(B143="","","CL-"&amp;TEXT(ROW()-3,"0000"))</x:f>
      </x:c>
      <x:c r="B143" s="174"/>
      <x:c r="C143" s="174" t="str">
        <x:f>IF(B143="","",IFERROR(INDEX('Master Evidence'!$L$4:$L$503,MATCH(B143,'Master Evidence'!$A$4:$A$503,0)),""))</x:f>
      </x:c>
      <x:c r="D143" s="174" t="str">
        <x:f>IF(B143="","",IFERROR(INDEX('Master Evidence'!$W$4:$W$503,MATCH(B143,'Master Evidence'!$A$4:$A$503,0)),""))</x:f>
      </x:c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  <x:c r="P143" s="174"/>
      <x:c r="Q143" s="177"/>
      <x:c r="R143" s="174"/>
    </x:row>
    <x:row r="144">
      <x:c r="A144" s="174" t="str">
        <x:f>IF(B144="","","CL-"&amp;TEXT(ROW()-3,"0000"))</x:f>
      </x:c>
      <x:c r="B144" s="174"/>
      <x:c r="C144" s="174" t="str">
        <x:f>IF(B144="","",IFERROR(INDEX('Master Evidence'!$L$4:$L$503,MATCH(B144,'Master Evidence'!$A$4:$A$503,0)),""))</x:f>
      </x:c>
      <x:c r="D144" s="174" t="str">
        <x:f>IF(B144="","",IFERROR(INDEX('Master Evidence'!$W$4:$W$503,MATCH(B144,'Master Evidence'!$A$4:$A$503,0)),""))</x:f>
      </x:c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  <x:c r="P144" s="174"/>
      <x:c r="Q144" s="177"/>
      <x:c r="R144" s="174"/>
    </x:row>
    <x:row r="145">
      <x:c r="A145" s="174" t="str">
        <x:f>IF(B145="","","CL-"&amp;TEXT(ROW()-3,"0000"))</x:f>
      </x:c>
      <x:c r="B145" s="174"/>
      <x:c r="C145" s="174" t="str">
        <x:f>IF(B145="","",IFERROR(INDEX('Master Evidence'!$L$4:$L$503,MATCH(B145,'Master Evidence'!$A$4:$A$503,0)),""))</x:f>
      </x:c>
      <x:c r="D145" s="174" t="str">
        <x:f>IF(B145="","",IFERROR(INDEX('Master Evidence'!$W$4:$W$503,MATCH(B145,'Master Evidence'!$A$4:$A$503,0)),""))</x:f>
      </x:c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  <x:c r="P145" s="174"/>
      <x:c r="Q145" s="177"/>
      <x:c r="R145" s="174"/>
    </x:row>
    <x:row r="146">
      <x:c r="A146" s="174" t="str">
        <x:f>IF(B146="","","CL-"&amp;TEXT(ROW()-3,"0000"))</x:f>
      </x:c>
      <x:c r="B146" s="174"/>
      <x:c r="C146" s="174" t="str">
        <x:f>IF(B146="","",IFERROR(INDEX('Master Evidence'!$L$4:$L$503,MATCH(B146,'Master Evidence'!$A$4:$A$503,0)),""))</x:f>
      </x:c>
      <x:c r="D146" s="174" t="str">
        <x:f>IF(B146="","",IFERROR(INDEX('Master Evidence'!$W$4:$W$503,MATCH(B146,'Master Evidence'!$A$4:$A$503,0)),""))</x:f>
      </x:c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  <x:c r="P146" s="174"/>
      <x:c r="Q146" s="177"/>
      <x:c r="R146" s="174"/>
    </x:row>
    <x:row r="147">
      <x:c r="A147" s="174" t="str">
        <x:f>IF(B147="","","CL-"&amp;TEXT(ROW()-3,"0000"))</x:f>
      </x:c>
      <x:c r="B147" s="174"/>
      <x:c r="C147" s="174" t="str">
        <x:f>IF(B147="","",IFERROR(INDEX('Master Evidence'!$L$4:$L$503,MATCH(B147,'Master Evidence'!$A$4:$A$503,0)),""))</x:f>
      </x:c>
      <x:c r="D147" s="174" t="str">
        <x:f>IF(B147="","",IFERROR(INDEX('Master Evidence'!$W$4:$W$503,MATCH(B147,'Master Evidence'!$A$4:$A$503,0)),""))</x:f>
      </x:c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  <x:c r="P147" s="174"/>
      <x:c r="Q147" s="177"/>
      <x:c r="R147" s="174"/>
    </x:row>
    <x:row r="148">
      <x:c r="A148" s="174" t="str">
        <x:f>IF(B148="","","CL-"&amp;TEXT(ROW()-3,"0000"))</x:f>
      </x:c>
      <x:c r="B148" s="174"/>
      <x:c r="C148" s="174" t="str">
        <x:f>IF(B148="","",IFERROR(INDEX('Master Evidence'!$L$4:$L$503,MATCH(B148,'Master Evidence'!$A$4:$A$503,0)),""))</x:f>
      </x:c>
      <x:c r="D148" s="174" t="str">
        <x:f>IF(B148="","",IFERROR(INDEX('Master Evidence'!$W$4:$W$503,MATCH(B148,'Master Evidence'!$A$4:$A$503,0)),""))</x:f>
      </x:c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  <x:c r="P148" s="174"/>
      <x:c r="Q148" s="177"/>
      <x:c r="R148" s="174"/>
    </x:row>
    <x:row r="149">
      <x:c r="A149" s="174" t="str">
        <x:f>IF(B149="","","CL-"&amp;TEXT(ROW()-3,"0000"))</x:f>
      </x:c>
      <x:c r="B149" s="174"/>
      <x:c r="C149" s="174" t="str">
        <x:f>IF(B149="","",IFERROR(INDEX('Master Evidence'!$L$4:$L$503,MATCH(B149,'Master Evidence'!$A$4:$A$503,0)),""))</x:f>
      </x:c>
      <x:c r="D149" s="174" t="str">
        <x:f>IF(B149="","",IFERROR(INDEX('Master Evidence'!$W$4:$W$503,MATCH(B149,'Master Evidence'!$A$4:$A$503,0)),""))</x:f>
      </x:c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  <x:c r="P149" s="174"/>
      <x:c r="Q149" s="177"/>
      <x:c r="R149" s="174"/>
    </x:row>
    <x:row r="150">
      <x:c r="A150" s="174" t="str">
        <x:f>IF(B150="","","CL-"&amp;TEXT(ROW()-3,"0000"))</x:f>
      </x:c>
      <x:c r="B150" s="174"/>
      <x:c r="C150" s="174" t="str">
        <x:f>IF(B150="","",IFERROR(INDEX('Master Evidence'!$L$4:$L$503,MATCH(B150,'Master Evidence'!$A$4:$A$503,0)),""))</x:f>
      </x:c>
      <x:c r="D150" s="174" t="str">
        <x:f>IF(B150="","",IFERROR(INDEX('Master Evidence'!$W$4:$W$503,MATCH(B150,'Master Evidence'!$A$4:$A$503,0)),""))</x:f>
      </x:c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  <x:c r="P150" s="174"/>
      <x:c r="Q150" s="177"/>
      <x:c r="R150" s="174"/>
    </x:row>
    <x:row r="151">
      <x:c r="A151" s="174" t="str">
        <x:f>IF(B151="","","CL-"&amp;TEXT(ROW()-3,"0000"))</x:f>
      </x:c>
      <x:c r="B151" s="174"/>
      <x:c r="C151" s="174" t="str">
        <x:f>IF(B151="","",IFERROR(INDEX('Master Evidence'!$L$4:$L$503,MATCH(B151,'Master Evidence'!$A$4:$A$503,0)),""))</x:f>
      </x:c>
      <x:c r="D151" s="174" t="str">
        <x:f>IF(B151="","",IFERROR(INDEX('Master Evidence'!$W$4:$W$503,MATCH(B151,'Master Evidence'!$A$4:$A$503,0)),""))</x:f>
      </x:c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  <x:c r="P151" s="174"/>
      <x:c r="Q151" s="177"/>
      <x:c r="R151" s="174"/>
    </x:row>
    <x:row r="152">
      <x:c r="A152" s="174" t="str">
        <x:f>IF(B152="","","CL-"&amp;TEXT(ROW()-3,"0000"))</x:f>
      </x:c>
      <x:c r="B152" s="174"/>
      <x:c r="C152" s="174" t="str">
        <x:f>IF(B152="","",IFERROR(INDEX('Master Evidence'!$L$4:$L$503,MATCH(B152,'Master Evidence'!$A$4:$A$503,0)),""))</x:f>
      </x:c>
      <x:c r="D152" s="174" t="str">
        <x:f>IF(B152="","",IFERROR(INDEX('Master Evidence'!$W$4:$W$503,MATCH(B152,'Master Evidence'!$A$4:$A$503,0)),""))</x:f>
      </x:c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  <x:c r="P152" s="174"/>
      <x:c r="Q152" s="177"/>
      <x:c r="R152" s="174"/>
    </x:row>
    <x:row r="153">
      <x:c r="A153" s="174" t="str">
        <x:f>IF(B153="","","CL-"&amp;TEXT(ROW()-3,"0000"))</x:f>
      </x:c>
      <x:c r="B153" s="174"/>
      <x:c r="C153" s="174" t="str">
        <x:f>IF(B153="","",IFERROR(INDEX('Master Evidence'!$L$4:$L$503,MATCH(B153,'Master Evidence'!$A$4:$A$503,0)),""))</x:f>
      </x:c>
      <x:c r="D153" s="174" t="str">
        <x:f>IF(B153="","",IFERROR(INDEX('Master Evidence'!$W$4:$W$503,MATCH(B153,'Master Evidence'!$A$4:$A$503,0)),""))</x:f>
      </x:c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  <x:c r="P153" s="174"/>
      <x:c r="Q153" s="177"/>
      <x:c r="R153" s="174"/>
    </x:row>
    <x:row r="154">
      <x:c r="A154" s="174" t="str">
        <x:f>IF(B154="","","CL-"&amp;TEXT(ROW()-3,"0000"))</x:f>
      </x:c>
      <x:c r="B154" s="174"/>
      <x:c r="C154" s="174" t="str">
        <x:f>IF(B154="","",IFERROR(INDEX('Master Evidence'!$L$4:$L$503,MATCH(B154,'Master Evidence'!$A$4:$A$503,0)),""))</x:f>
      </x:c>
      <x:c r="D154" s="174" t="str">
        <x:f>IF(B154="","",IFERROR(INDEX('Master Evidence'!$W$4:$W$503,MATCH(B154,'Master Evidence'!$A$4:$A$503,0)),""))</x:f>
      </x:c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  <x:c r="P154" s="174"/>
      <x:c r="Q154" s="177"/>
      <x:c r="R154" s="174"/>
    </x:row>
    <x:row r="155">
      <x:c r="A155" s="174" t="str">
        <x:f>IF(B155="","","CL-"&amp;TEXT(ROW()-3,"0000"))</x:f>
      </x:c>
      <x:c r="B155" s="174"/>
      <x:c r="C155" s="174" t="str">
        <x:f>IF(B155="","",IFERROR(INDEX('Master Evidence'!$L$4:$L$503,MATCH(B155,'Master Evidence'!$A$4:$A$503,0)),""))</x:f>
      </x:c>
      <x:c r="D155" s="174" t="str">
        <x:f>IF(B155="","",IFERROR(INDEX('Master Evidence'!$W$4:$W$503,MATCH(B155,'Master Evidence'!$A$4:$A$503,0)),""))</x:f>
      </x:c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  <x:c r="P155" s="174"/>
      <x:c r="Q155" s="177"/>
      <x:c r="R155" s="174"/>
    </x:row>
    <x:row r="156">
      <x:c r="A156" s="174" t="str">
        <x:f>IF(B156="","","CL-"&amp;TEXT(ROW()-3,"0000"))</x:f>
      </x:c>
      <x:c r="B156" s="174"/>
      <x:c r="C156" s="174" t="str">
        <x:f>IF(B156="","",IFERROR(INDEX('Master Evidence'!$L$4:$L$503,MATCH(B156,'Master Evidence'!$A$4:$A$503,0)),""))</x:f>
      </x:c>
      <x:c r="D156" s="174" t="str">
        <x:f>IF(B156="","",IFERROR(INDEX('Master Evidence'!$W$4:$W$503,MATCH(B156,'Master Evidence'!$A$4:$A$503,0)),""))</x:f>
      </x:c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  <x:c r="P156" s="174"/>
      <x:c r="Q156" s="177"/>
      <x:c r="R156" s="174"/>
    </x:row>
    <x:row r="157">
      <x:c r="A157" s="174" t="str">
        <x:f>IF(B157="","","CL-"&amp;TEXT(ROW()-3,"0000"))</x:f>
      </x:c>
      <x:c r="B157" s="174"/>
      <x:c r="C157" s="174" t="str">
        <x:f>IF(B157="","",IFERROR(INDEX('Master Evidence'!$L$4:$L$503,MATCH(B157,'Master Evidence'!$A$4:$A$503,0)),""))</x:f>
      </x:c>
      <x:c r="D157" s="174" t="str">
        <x:f>IF(B157="","",IFERROR(INDEX('Master Evidence'!$W$4:$W$503,MATCH(B157,'Master Evidence'!$A$4:$A$503,0)),""))</x:f>
      </x:c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  <x:c r="P157" s="174"/>
      <x:c r="Q157" s="177"/>
      <x:c r="R157" s="174"/>
    </x:row>
    <x:row r="158">
      <x:c r="A158" s="174" t="str">
        <x:f>IF(B158="","","CL-"&amp;TEXT(ROW()-3,"0000"))</x:f>
      </x:c>
      <x:c r="B158" s="174"/>
      <x:c r="C158" s="174" t="str">
        <x:f>IF(B158="","",IFERROR(INDEX('Master Evidence'!$L$4:$L$503,MATCH(B158,'Master Evidence'!$A$4:$A$503,0)),""))</x:f>
      </x:c>
      <x:c r="D158" s="174" t="str">
        <x:f>IF(B158="","",IFERROR(INDEX('Master Evidence'!$W$4:$W$503,MATCH(B158,'Master Evidence'!$A$4:$A$503,0)),""))</x:f>
      </x:c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  <x:c r="P158" s="174"/>
      <x:c r="Q158" s="177"/>
      <x:c r="R158" s="174"/>
    </x:row>
    <x:row r="159">
      <x:c r="A159" s="174" t="str">
        <x:f>IF(B159="","","CL-"&amp;TEXT(ROW()-3,"0000"))</x:f>
      </x:c>
      <x:c r="B159" s="174"/>
      <x:c r="C159" s="174" t="str">
        <x:f>IF(B159="","",IFERROR(INDEX('Master Evidence'!$L$4:$L$503,MATCH(B159,'Master Evidence'!$A$4:$A$503,0)),""))</x:f>
      </x:c>
      <x:c r="D159" s="174" t="str">
        <x:f>IF(B159="","",IFERROR(INDEX('Master Evidence'!$W$4:$W$503,MATCH(B159,'Master Evidence'!$A$4:$A$503,0)),""))</x:f>
      </x:c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  <x:c r="P159" s="174"/>
      <x:c r="Q159" s="177"/>
      <x:c r="R159" s="174"/>
    </x:row>
    <x:row r="160">
      <x:c r="A160" s="174" t="str">
        <x:f>IF(B160="","","CL-"&amp;TEXT(ROW()-3,"0000"))</x:f>
      </x:c>
      <x:c r="B160" s="174"/>
      <x:c r="C160" s="174" t="str">
        <x:f>IF(B160="","",IFERROR(INDEX('Master Evidence'!$L$4:$L$503,MATCH(B160,'Master Evidence'!$A$4:$A$503,0)),""))</x:f>
      </x:c>
      <x:c r="D160" s="174" t="str">
        <x:f>IF(B160="","",IFERROR(INDEX('Master Evidence'!$W$4:$W$503,MATCH(B160,'Master Evidence'!$A$4:$A$503,0)),""))</x:f>
      </x:c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  <x:c r="P160" s="174"/>
      <x:c r="Q160" s="177"/>
      <x:c r="R160" s="174"/>
    </x:row>
    <x:row r="161">
      <x:c r="A161" s="174" t="str">
        <x:f>IF(B161="","","CL-"&amp;TEXT(ROW()-3,"0000"))</x:f>
      </x:c>
      <x:c r="B161" s="174"/>
      <x:c r="C161" s="174" t="str">
        <x:f>IF(B161="","",IFERROR(INDEX('Master Evidence'!$L$4:$L$503,MATCH(B161,'Master Evidence'!$A$4:$A$503,0)),""))</x:f>
      </x:c>
      <x:c r="D161" s="174" t="str">
        <x:f>IF(B161="","",IFERROR(INDEX('Master Evidence'!$W$4:$W$503,MATCH(B161,'Master Evidence'!$A$4:$A$503,0)),""))</x:f>
      </x:c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  <x:c r="P161" s="174"/>
      <x:c r="Q161" s="177"/>
      <x:c r="R161" s="174"/>
    </x:row>
    <x:row r="162">
      <x:c r="A162" s="174" t="str">
        <x:f>IF(B162="","","CL-"&amp;TEXT(ROW()-3,"0000"))</x:f>
      </x:c>
      <x:c r="B162" s="174"/>
      <x:c r="C162" s="174" t="str">
        <x:f>IF(B162="","",IFERROR(INDEX('Master Evidence'!$L$4:$L$503,MATCH(B162,'Master Evidence'!$A$4:$A$503,0)),""))</x:f>
      </x:c>
      <x:c r="D162" s="174" t="str">
        <x:f>IF(B162="","",IFERROR(INDEX('Master Evidence'!$W$4:$W$503,MATCH(B162,'Master Evidence'!$A$4:$A$503,0)),""))</x:f>
      </x:c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  <x:c r="P162" s="174"/>
      <x:c r="Q162" s="177"/>
      <x:c r="R162" s="174"/>
    </x:row>
    <x:row r="163">
      <x:c r="A163" s="174" t="str">
        <x:f>IF(B163="","","CL-"&amp;TEXT(ROW()-3,"0000"))</x:f>
      </x:c>
      <x:c r="B163" s="174"/>
      <x:c r="C163" s="174" t="str">
        <x:f>IF(B163="","",IFERROR(INDEX('Master Evidence'!$L$4:$L$503,MATCH(B163,'Master Evidence'!$A$4:$A$503,0)),""))</x:f>
      </x:c>
      <x:c r="D163" s="174" t="str">
        <x:f>IF(B163="","",IFERROR(INDEX('Master Evidence'!$W$4:$W$503,MATCH(B163,'Master Evidence'!$A$4:$A$503,0)),""))</x:f>
      </x:c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  <x:c r="P163" s="174"/>
      <x:c r="Q163" s="177"/>
      <x:c r="R163" s="174"/>
    </x:row>
    <x:row r="164">
      <x:c r="A164" s="174" t="str">
        <x:f>IF(B164="","","CL-"&amp;TEXT(ROW()-3,"0000"))</x:f>
      </x:c>
      <x:c r="B164" s="174"/>
      <x:c r="C164" s="174" t="str">
        <x:f>IF(B164="","",IFERROR(INDEX('Master Evidence'!$L$4:$L$503,MATCH(B164,'Master Evidence'!$A$4:$A$503,0)),""))</x:f>
      </x:c>
      <x:c r="D164" s="174" t="str">
        <x:f>IF(B164="","",IFERROR(INDEX('Master Evidence'!$W$4:$W$503,MATCH(B164,'Master Evidence'!$A$4:$A$503,0)),""))</x:f>
      </x:c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  <x:c r="P164" s="174"/>
      <x:c r="Q164" s="177"/>
      <x:c r="R164" s="174"/>
    </x:row>
    <x:row r="165">
      <x:c r="A165" s="174" t="str">
        <x:f>IF(B165="","","CL-"&amp;TEXT(ROW()-3,"0000"))</x:f>
      </x:c>
      <x:c r="B165" s="174"/>
      <x:c r="C165" s="174" t="str">
        <x:f>IF(B165="","",IFERROR(INDEX('Master Evidence'!$L$4:$L$503,MATCH(B165,'Master Evidence'!$A$4:$A$503,0)),""))</x:f>
      </x:c>
      <x:c r="D165" s="174" t="str">
        <x:f>IF(B165="","",IFERROR(INDEX('Master Evidence'!$W$4:$W$503,MATCH(B165,'Master Evidence'!$A$4:$A$503,0)),""))</x:f>
      </x:c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  <x:c r="P165" s="174"/>
      <x:c r="Q165" s="177"/>
      <x:c r="R165" s="174"/>
    </x:row>
    <x:row r="166">
      <x:c r="A166" s="174" t="str">
        <x:f>IF(B166="","","CL-"&amp;TEXT(ROW()-3,"0000"))</x:f>
      </x:c>
      <x:c r="B166" s="174"/>
      <x:c r="C166" s="174" t="str">
        <x:f>IF(B166="","",IFERROR(INDEX('Master Evidence'!$L$4:$L$503,MATCH(B166,'Master Evidence'!$A$4:$A$503,0)),""))</x:f>
      </x:c>
      <x:c r="D166" s="174" t="str">
        <x:f>IF(B166="","",IFERROR(INDEX('Master Evidence'!$W$4:$W$503,MATCH(B166,'Master Evidence'!$A$4:$A$503,0)),""))</x:f>
      </x:c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  <x:c r="P166" s="174"/>
      <x:c r="Q166" s="177"/>
      <x:c r="R166" s="174"/>
    </x:row>
    <x:row r="167">
      <x:c r="A167" s="174" t="str">
        <x:f>IF(B167="","","CL-"&amp;TEXT(ROW()-3,"0000"))</x:f>
      </x:c>
      <x:c r="B167" s="174"/>
      <x:c r="C167" s="174" t="str">
        <x:f>IF(B167="","",IFERROR(INDEX('Master Evidence'!$L$4:$L$503,MATCH(B167,'Master Evidence'!$A$4:$A$503,0)),""))</x:f>
      </x:c>
      <x:c r="D167" s="174" t="str">
        <x:f>IF(B167="","",IFERROR(INDEX('Master Evidence'!$W$4:$W$503,MATCH(B167,'Master Evidence'!$A$4:$A$503,0)),""))</x:f>
      </x:c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  <x:c r="P167" s="174"/>
      <x:c r="Q167" s="177"/>
      <x:c r="R167" s="174"/>
    </x:row>
    <x:row r="168">
      <x:c r="A168" s="174" t="str">
        <x:f>IF(B168="","","CL-"&amp;TEXT(ROW()-3,"0000"))</x:f>
      </x:c>
      <x:c r="B168" s="174"/>
      <x:c r="C168" s="174" t="str">
        <x:f>IF(B168="","",IFERROR(INDEX('Master Evidence'!$L$4:$L$503,MATCH(B168,'Master Evidence'!$A$4:$A$503,0)),""))</x:f>
      </x:c>
      <x:c r="D168" s="174" t="str">
        <x:f>IF(B168="","",IFERROR(INDEX('Master Evidence'!$W$4:$W$503,MATCH(B168,'Master Evidence'!$A$4:$A$503,0)),""))</x:f>
      </x:c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  <x:c r="P168" s="174"/>
      <x:c r="Q168" s="177"/>
      <x:c r="R168" s="174"/>
    </x:row>
    <x:row r="169">
      <x:c r="A169" s="174" t="str">
        <x:f>IF(B169="","","CL-"&amp;TEXT(ROW()-3,"0000"))</x:f>
      </x:c>
      <x:c r="B169" s="174"/>
      <x:c r="C169" s="174" t="str">
        <x:f>IF(B169="","",IFERROR(INDEX('Master Evidence'!$L$4:$L$503,MATCH(B169,'Master Evidence'!$A$4:$A$503,0)),""))</x:f>
      </x:c>
      <x:c r="D169" s="174" t="str">
        <x:f>IF(B169="","",IFERROR(INDEX('Master Evidence'!$W$4:$W$503,MATCH(B169,'Master Evidence'!$A$4:$A$503,0)),""))</x:f>
      </x:c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  <x:c r="P169" s="174"/>
      <x:c r="Q169" s="177"/>
      <x:c r="R169" s="174"/>
    </x:row>
    <x:row r="170">
      <x:c r="A170" s="174" t="str">
        <x:f>IF(B170="","","CL-"&amp;TEXT(ROW()-3,"0000"))</x:f>
      </x:c>
      <x:c r="B170" s="174"/>
      <x:c r="C170" s="174" t="str">
        <x:f>IF(B170="","",IFERROR(INDEX('Master Evidence'!$L$4:$L$503,MATCH(B170,'Master Evidence'!$A$4:$A$503,0)),""))</x:f>
      </x:c>
      <x:c r="D170" s="174" t="str">
        <x:f>IF(B170="","",IFERROR(INDEX('Master Evidence'!$W$4:$W$503,MATCH(B170,'Master Evidence'!$A$4:$A$503,0)),""))</x:f>
      </x:c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  <x:c r="P170" s="174"/>
      <x:c r="Q170" s="177"/>
      <x:c r="R170" s="174"/>
    </x:row>
    <x:row r="171">
      <x:c r="A171" s="174" t="str">
        <x:f>IF(B171="","","CL-"&amp;TEXT(ROW()-3,"0000"))</x:f>
      </x:c>
      <x:c r="B171" s="174"/>
      <x:c r="C171" s="174" t="str">
        <x:f>IF(B171="","",IFERROR(INDEX('Master Evidence'!$L$4:$L$503,MATCH(B171,'Master Evidence'!$A$4:$A$503,0)),""))</x:f>
      </x:c>
      <x:c r="D171" s="174" t="str">
        <x:f>IF(B171="","",IFERROR(INDEX('Master Evidence'!$W$4:$W$503,MATCH(B171,'Master Evidence'!$A$4:$A$503,0)),""))</x:f>
      </x:c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  <x:c r="P171" s="174"/>
      <x:c r="Q171" s="177"/>
      <x:c r="R171" s="174"/>
    </x:row>
    <x:row r="172">
      <x:c r="A172" s="174" t="str">
        <x:f>IF(B172="","","CL-"&amp;TEXT(ROW()-3,"0000"))</x:f>
      </x:c>
      <x:c r="B172" s="174"/>
      <x:c r="C172" s="174" t="str">
        <x:f>IF(B172="","",IFERROR(INDEX('Master Evidence'!$L$4:$L$503,MATCH(B172,'Master Evidence'!$A$4:$A$503,0)),""))</x:f>
      </x:c>
      <x:c r="D172" s="174" t="str">
        <x:f>IF(B172="","",IFERROR(INDEX('Master Evidence'!$W$4:$W$503,MATCH(B172,'Master Evidence'!$A$4:$A$503,0)),""))</x:f>
      </x:c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  <x:c r="P172" s="174"/>
      <x:c r="Q172" s="177"/>
      <x:c r="R172" s="174"/>
    </x:row>
    <x:row r="173">
      <x:c r="A173" s="174" t="str">
        <x:f>IF(B173="","","CL-"&amp;TEXT(ROW()-3,"0000"))</x:f>
      </x:c>
      <x:c r="B173" s="174"/>
      <x:c r="C173" s="174" t="str">
        <x:f>IF(B173="","",IFERROR(INDEX('Master Evidence'!$L$4:$L$503,MATCH(B173,'Master Evidence'!$A$4:$A$503,0)),""))</x:f>
      </x:c>
      <x:c r="D173" s="174" t="str">
        <x:f>IF(B173="","",IFERROR(INDEX('Master Evidence'!$W$4:$W$503,MATCH(B173,'Master Evidence'!$A$4:$A$503,0)),""))</x:f>
      </x:c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  <x:c r="P173" s="174"/>
      <x:c r="Q173" s="177"/>
      <x:c r="R173" s="174"/>
    </x:row>
    <x:row r="174">
      <x:c r="A174" s="174" t="str">
        <x:f>IF(B174="","","CL-"&amp;TEXT(ROW()-3,"0000"))</x:f>
      </x:c>
      <x:c r="B174" s="174"/>
      <x:c r="C174" s="174" t="str">
        <x:f>IF(B174="","",IFERROR(INDEX('Master Evidence'!$L$4:$L$503,MATCH(B174,'Master Evidence'!$A$4:$A$503,0)),""))</x:f>
      </x:c>
      <x:c r="D174" s="174" t="str">
        <x:f>IF(B174="","",IFERROR(INDEX('Master Evidence'!$W$4:$W$503,MATCH(B174,'Master Evidence'!$A$4:$A$503,0)),""))</x:f>
      </x:c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  <x:c r="P174" s="174"/>
      <x:c r="Q174" s="177"/>
      <x:c r="R174" s="174"/>
    </x:row>
    <x:row r="175">
      <x:c r="A175" s="174" t="str">
        <x:f>IF(B175="","","CL-"&amp;TEXT(ROW()-3,"0000"))</x:f>
      </x:c>
      <x:c r="B175" s="174"/>
      <x:c r="C175" s="174" t="str">
        <x:f>IF(B175="","",IFERROR(INDEX('Master Evidence'!$L$4:$L$503,MATCH(B175,'Master Evidence'!$A$4:$A$503,0)),""))</x:f>
      </x:c>
      <x:c r="D175" s="174" t="str">
        <x:f>IF(B175="","",IFERROR(INDEX('Master Evidence'!$W$4:$W$503,MATCH(B175,'Master Evidence'!$A$4:$A$503,0)),""))</x:f>
      </x:c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  <x:c r="P175" s="174"/>
      <x:c r="Q175" s="177"/>
      <x:c r="R175" s="174"/>
    </x:row>
    <x:row r="176">
      <x:c r="A176" s="174" t="str">
        <x:f>IF(B176="","","CL-"&amp;TEXT(ROW()-3,"0000"))</x:f>
      </x:c>
      <x:c r="B176" s="174"/>
      <x:c r="C176" s="174" t="str">
        <x:f>IF(B176="","",IFERROR(INDEX('Master Evidence'!$L$4:$L$503,MATCH(B176,'Master Evidence'!$A$4:$A$503,0)),""))</x:f>
      </x:c>
      <x:c r="D176" s="174" t="str">
        <x:f>IF(B176="","",IFERROR(INDEX('Master Evidence'!$W$4:$W$503,MATCH(B176,'Master Evidence'!$A$4:$A$503,0)),""))</x:f>
      </x:c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  <x:c r="P176" s="174"/>
      <x:c r="Q176" s="177"/>
      <x:c r="R176" s="174"/>
    </x:row>
    <x:row r="177">
      <x:c r="A177" s="174" t="str">
        <x:f>IF(B177="","","CL-"&amp;TEXT(ROW()-3,"0000"))</x:f>
      </x:c>
      <x:c r="B177" s="174"/>
      <x:c r="C177" s="174" t="str">
        <x:f>IF(B177="","",IFERROR(INDEX('Master Evidence'!$L$4:$L$503,MATCH(B177,'Master Evidence'!$A$4:$A$503,0)),""))</x:f>
      </x:c>
      <x:c r="D177" s="174" t="str">
        <x:f>IF(B177="","",IFERROR(INDEX('Master Evidence'!$W$4:$W$503,MATCH(B177,'Master Evidence'!$A$4:$A$503,0)),""))</x:f>
      </x:c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  <x:c r="P177" s="174"/>
      <x:c r="Q177" s="177"/>
      <x:c r="R177" s="174"/>
    </x:row>
    <x:row r="178">
      <x:c r="A178" s="174" t="str">
        <x:f>IF(B178="","","CL-"&amp;TEXT(ROW()-3,"0000"))</x:f>
      </x:c>
      <x:c r="B178" s="174"/>
      <x:c r="C178" s="174" t="str">
        <x:f>IF(B178="","",IFERROR(INDEX('Master Evidence'!$L$4:$L$503,MATCH(B178,'Master Evidence'!$A$4:$A$503,0)),""))</x:f>
      </x:c>
      <x:c r="D178" s="174" t="str">
        <x:f>IF(B178="","",IFERROR(INDEX('Master Evidence'!$W$4:$W$503,MATCH(B178,'Master Evidence'!$A$4:$A$503,0)),""))</x:f>
      </x:c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  <x:c r="P178" s="174"/>
      <x:c r="Q178" s="177"/>
      <x:c r="R178" s="174"/>
    </x:row>
    <x:row r="179">
      <x:c r="A179" s="174" t="str">
        <x:f>IF(B179="","","CL-"&amp;TEXT(ROW()-3,"0000"))</x:f>
      </x:c>
      <x:c r="B179" s="174"/>
      <x:c r="C179" s="174" t="str">
        <x:f>IF(B179="","",IFERROR(INDEX('Master Evidence'!$L$4:$L$503,MATCH(B179,'Master Evidence'!$A$4:$A$503,0)),""))</x:f>
      </x:c>
      <x:c r="D179" s="174" t="str">
        <x:f>IF(B179="","",IFERROR(INDEX('Master Evidence'!$W$4:$W$503,MATCH(B179,'Master Evidence'!$A$4:$A$503,0)),""))</x:f>
      </x:c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  <x:c r="P179" s="174"/>
      <x:c r="Q179" s="177"/>
      <x:c r="R179" s="174"/>
    </x:row>
    <x:row r="180">
      <x:c r="A180" s="174" t="str">
        <x:f>IF(B180="","","CL-"&amp;TEXT(ROW()-3,"0000"))</x:f>
      </x:c>
      <x:c r="B180" s="174"/>
      <x:c r="C180" s="174" t="str">
        <x:f>IF(B180="","",IFERROR(INDEX('Master Evidence'!$L$4:$L$503,MATCH(B180,'Master Evidence'!$A$4:$A$503,0)),""))</x:f>
      </x:c>
      <x:c r="D180" s="174" t="str">
        <x:f>IF(B180="","",IFERROR(INDEX('Master Evidence'!$W$4:$W$503,MATCH(B180,'Master Evidence'!$A$4:$A$503,0)),""))</x:f>
      </x:c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  <x:c r="P180" s="174"/>
      <x:c r="Q180" s="177"/>
      <x:c r="R180" s="174"/>
    </x:row>
    <x:row r="181">
      <x:c r="A181" s="174" t="str">
        <x:f>IF(B181="","","CL-"&amp;TEXT(ROW()-3,"0000"))</x:f>
      </x:c>
      <x:c r="B181" s="174"/>
      <x:c r="C181" s="174" t="str">
        <x:f>IF(B181="","",IFERROR(INDEX('Master Evidence'!$L$4:$L$503,MATCH(B181,'Master Evidence'!$A$4:$A$503,0)),""))</x:f>
      </x:c>
      <x:c r="D181" s="174" t="str">
        <x:f>IF(B181="","",IFERROR(INDEX('Master Evidence'!$W$4:$W$503,MATCH(B181,'Master Evidence'!$A$4:$A$503,0)),""))</x:f>
      </x:c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  <x:c r="P181" s="174"/>
      <x:c r="Q181" s="177"/>
      <x:c r="R181" s="174"/>
    </x:row>
    <x:row r="182">
      <x:c r="A182" s="174" t="str">
        <x:f>IF(B182="","","CL-"&amp;TEXT(ROW()-3,"0000"))</x:f>
      </x:c>
      <x:c r="B182" s="174"/>
      <x:c r="C182" s="174" t="str">
        <x:f>IF(B182="","",IFERROR(INDEX('Master Evidence'!$L$4:$L$503,MATCH(B182,'Master Evidence'!$A$4:$A$503,0)),""))</x:f>
      </x:c>
      <x:c r="D182" s="174" t="str">
        <x:f>IF(B182="","",IFERROR(INDEX('Master Evidence'!$W$4:$W$503,MATCH(B182,'Master Evidence'!$A$4:$A$503,0)),""))</x:f>
      </x:c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  <x:c r="P182" s="174"/>
      <x:c r="Q182" s="177"/>
      <x:c r="R182" s="174"/>
    </x:row>
    <x:row r="183">
      <x:c r="A183" s="174" t="str">
        <x:f>IF(B183="","","CL-"&amp;TEXT(ROW()-3,"0000"))</x:f>
      </x:c>
      <x:c r="B183" s="174"/>
      <x:c r="C183" s="174" t="str">
        <x:f>IF(B183="","",IFERROR(INDEX('Master Evidence'!$L$4:$L$503,MATCH(B183,'Master Evidence'!$A$4:$A$503,0)),""))</x:f>
      </x:c>
      <x:c r="D183" s="174" t="str">
        <x:f>IF(B183="","",IFERROR(INDEX('Master Evidence'!$W$4:$W$503,MATCH(B183,'Master Evidence'!$A$4:$A$503,0)),""))</x:f>
      </x:c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  <x:c r="P183" s="174"/>
      <x:c r="Q183" s="177"/>
      <x:c r="R183" s="174"/>
    </x:row>
    <x:row r="184">
      <x:c r="A184" s="174" t="str">
        <x:f>IF(B184="","","CL-"&amp;TEXT(ROW()-3,"0000"))</x:f>
      </x:c>
      <x:c r="B184" s="174"/>
      <x:c r="C184" s="174" t="str">
        <x:f>IF(B184="","",IFERROR(INDEX('Master Evidence'!$L$4:$L$503,MATCH(B184,'Master Evidence'!$A$4:$A$503,0)),""))</x:f>
      </x:c>
      <x:c r="D184" s="174" t="str">
        <x:f>IF(B184="","",IFERROR(INDEX('Master Evidence'!$W$4:$W$503,MATCH(B184,'Master Evidence'!$A$4:$A$503,0)),""))</x:f>
      </x:c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  <x:c r="P184" s="174"/>
      <x:c r="Q184" s="177"/>
      <x:c r="R184" s="174"/>
    </x:row>
    <x:row r="185">
      <x:c r="A185" s="174" t="str">
        <x:f>IF(B185="","","CL-"&amp;TEXT(ROW()-3,"0000"))</x:f>
      </x:c>
      <x:c r="B185" s="174"/>
      <x:c r="C185" s="174" t="str">
        <x:f>IF(B185="","",IFERROR(INDEX('Master Evidence'!$L$4:$L$503,MATCH(B185,'Master Evidence'!$A$4:$A$503,0)),""))</x:f>
      </x:c>
      <x:c r="D185" s="174" t="str">
        <x:f>IF(B185="","",IFERROR(INDEX('Master Evidence'!$W$4:$W$503,MATCH(B185,'Master Evidence'!$A$4:$A$503,0)),""))</x:f>
      </x:c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  <x:c r="P185" s="174"/>
      <x:c r="Q185" s="177"/>
      <x:c r="R185" s="174"/>
    </x:row>
    <x:row r="186">
      <x:c r="A186" s="174" t="str">
        <x:f>IF(B186="","","CL-"&amp;TEXT(ROW()-3,"0000"))</x:f>
      </x:c>
      <x:c r="B186" s="174"/>
      <x:c r="C186" s="174" t="str">
        <x:f>IF(B186="","",IFERROR(INDEX('Master Evidence'!$L$4:$L$503,MATCH(B186,'Master Evidence'!$A$4:$A$503,0)),""))</x:f>
      </x:c>
      <x:c r="D186" s="174" t="str">
        <x:f>IF(B186="","",IFERROR(INDEX('Master Evidence'!$W$4:$W$503,MATCH(B186,'Master Evidence'!$A$4:$A$503,0)),""))</x:f>
      </x:c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  <x:c r="P186" s="174"/>
      <x:c r="Q186" s="177"/>
      <x:c r="R186" s="174"/>
    </x:row>
    <x:row r="187">
      <x:c r="A187" s="174" t="str">
        <x:f>IF(B187="","","CL-"&amp;TEXT(ROW()-3,"0000"))</x:f>
      </x:c>
      <x:c r="B187" s="174"/>
      <x:c r="C187" s="174" t="str">
        <x:f>IF(B187="","",IFERROR(INDEX('Master Evidence'!$L$4:$L$503,MATCH(B187,'Master Evidence'!$A$4:$A$503,0)),""))</x:f>
      </x:c>
      <x:c r="D187" s="174" t="str">
        <x:f>IF(B187="","",IFERROR(INDEX('Master Evidence'!$W$4:$W$503,MATCH(B187,'Master Evidence'!$A$4:$A$503,0)),""))</x:f>
      </x:c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  <x:c r="P187" s="174"/>
      <x:c r="Q187" s="177"/>
      <x:c r="R187" s="174"/>
    </x:row>
    <x:row r="188">
      <x:c r="A188" s="174" t="str">
        <x:f>IF(B188="","","CL-"&amp;TEXT(ROW()-3,"0000"))</x:f>
      </x:c>
      <x:c r="B188" s="174"/>
      <x:c r="C188" s="174" t="str">
        <x:f>IF(B188="","",IFERROR(INDEX('Master Evidence'!$L$4:$L$503,MATCH(B188,'Master Evidence'!$A$4:$A$503,0)),""))</x:f>
      </x:c>
      <x:c r="D188" s="174" t="str">
        <x:f>IF(B188="","",IFERROR(INDEX('Master Evidence'!$W$4:$W$503,MATCH(B188,'Master Evidence'!$A$4:$A$503,0)),""))</x:f>
      </x:c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  <x:c r="P188" s="174"/>
      <x:c r="Q188" s="177"/>
      <x:c r="R188" s="174"/>
    </x:row>
    <x:row r="189">
      <x:c r="A189" s="174" t="str">
        <x:f>IF(B189="","","CL-"&amp;TEXT(ROW()-3,"0000"))</x:f>
      </x:c>
      <x:c r="B189" s="174"/>
      <x:c r="C189" s="174" t="str">
        <x:f>IF(B189="","",IFERROR(INDEX('Master Evidence'!$L$4:$L$503,MATCH(B189,'Master Evidence'!$A$4:$A$503,0)),""))</x:f>
      </x:c>
      <x:c r="D189" s="174" t="str">
        <x:f>IF(B189="","",IFERROR(INDEX('Master Evidence'!$W$4:$W$503,MATCH(B189,'Master Evidence'!$A$4:$A$503,0)),""))</x:f>
      </x:c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  <x:c r="P189" s="174"/>
      <x:c r="Q189" s="177"/>
      <x:c r="R189" s="174"/>
    </x:row>
    <x:row r="190">
      <x:c r="A190" s="174" t="str">
        <x:f>IF(B190="","","CL-"&amp;TEXT(ROW()-3,"0000"))</x:f>
      </x:c>
      <x:c r="B190" s="174"/>
      <x:c r="C190" s="174" t="str">
        <x:f>IF(B190="","",IFERROR(INDEX('Master Evidence'!$L$4:$L$503,MATCH(B190,'Master Evidence'!$A$4:$A$503,0)),""))</x:f>
      </x:c>
      <x:c r="D190" s="174" t="str">
        <x:f>IF(B190="","",IFERROR(INDEX('Master Evidence'!$W$4:$W$503,MATCH(B190,'Master Evidence'!$A$4:$A$503,0)),""))</x:f>
      </x:c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  <x:c r="P190" s="174"/>
      <x:c r="Q190" s="177"/>
      <x:c r="R190" s="174"/>
    </x:row>
    <x:row r="191">
      <x:c r="A191" s="174" t="str">
        <x:f>IF(B191="","","CL-"&amp;TEXT(ROW()-3,"0000"))</x:f>
      </x:c>
      <x:c r="B191" s="174"/>
      <x:c r="C191" s="174" t="str">
        <x:f>IF(B191="","",IFERROR(INDEX('Master Evidence'!$L$4:$L$503,MATCH(B191,'Master Evidence'!$A$4:$A$503,0)),""))</x:f>
      </x:c>
      <x:c r="D191" s="174" t="str">
        <x:f>IF(B191="","",IFERROR(INDEX('Master Evidence'!$W$4:$W$503,MATCH(B191,'Master Evidence'!$A$4:$A$503,0)),""))</x:f>
      </x:c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  <x:c r="P191" s="174"/>
      <x:c r="Q191" s="177"/>
      <x:c r="R191" s="174"/>
    </x:row>
    <x:row r="192">
      <x:c r="A192" s="174" t="str">
        <x:f>IF(B192="","","CL-"&amp;TEXT(ROW()-3,"0000"))</x:f>
      </x:c>
      <x:c r="B192" s="174"/>
      <x:c r="C192" s="174" t="str">
        <x:f>IF(B192="","",IFERROR(INDEX('Master Evidence'!$L$4:$L$503,MATCH(B192,'Master Evidence'!$A$4:$A$503,0)),""))</x:f>
      </x:c>
      <x:c r="D192" s="174" t="str">
        <x:f>IF(B192="","",IFERROR(INDEX('Master Evidence'!$W$4:$W$503,MATCH(B192,'Master Evidence'!$A$4:$A$503,0)),""))</x:f>
      </x:c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  <x:c r="P192" s="174"/>
      <x:c r="Q192" s="177"/>
      <x:c r="R192" s="174"/>
    </x:row>
    <x:row r="193">
      <x:c r="A193" s="174" t="str">
        <x:f>IF(B193="","","CL-"&amp;TEXT(ROW()-3,"0000"))</x:f>
      </x:c>
      <x:c r="B193" s="174"/>
      <x:c r="C193" s="174" t="str">
        <x:f>IF(B193="","",IFERROR(INDEX('Master Evidence'!$L$4:$L$503,MATCH(B193,'Master Evidence'!$A$4:$A$503,0)),""))</x:f>
      </x:c>
      <x:c r="D193" s="174" t="str">
        <x:f>IF(B193="","",IFERROR(INDEX('Master Evidence'!$W$4:$W$503,MATCH(B193,'Master Evidence'!$A$4:$A$503,0)),""))</x:f>
      </x:c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  <x:c r="P193" s="174"/>
      <x:c r="Q193" s="177"/>
      <x:c r="R193" s="174"/>
    </x:row>
    <x:row r="194">
      <x:c r="A194" s="174" t="str">
        <x:f>IF(B194="","","CL-"&amp;TEXT(ROW()-3,"0000"))</x:f>
      </x:c>
      <x:c r="B194" s="174"/>
      <x:c r="C194" s="174" t="str">
        <x:f>IF(B194="","",IFERROR(INDEX('Master Evidence'!$L$4:$L$503,MATCH(B194,'Master Evidence'!$A$4:$A$503,0)),""))</x:f>
      </x:c>
      <x:c r="D194" s="174" t="str">
        <x:f>IF(B194="","",IFERROR(INDEX('Master Evidence'!$W$4:$W$503,MATCH(B194,'Master Evidence'!$A$4:$A$503,0)),""))</x:f>
      </x:c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  <x:c r="P194" s="174"/>
      <x:c r="Q194" s="177"/>
      <x:c r="R194" s="174"/>
    </x:row>
    <x:row r="195">
      <x:c r="A195" s="174" t="str">
        <x:f>IF(B195="","","CL-"&amp;TEXT(ROW()-3,"0000"))</x:f>
      </x:c>
      <x:c r="B195" s="174"/>
      <x:c r="C195" s="174" t="str">
        <x:f>IF(B195="","",IFERROR(INDEX('Master Evidence'!$L$4:$L$503,MATCH(B195,'Master Evidence'!$A$4:$A$503,0)),""))</x:f>
      </x:c>
      <x:c r="D195" s="174" t="str">
        <x:f>IF(B195="","",IFERROR(INDEX('Master Evidence'!$W$4:$W$503,MATCH(B195,'Master Evidence'!$A$4:$A$503,0)),""))</x:f>
      </x:c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  <x:c r="P195" s="174"/>
      <x:c r="Q195" s="177"/>
      <x:c r="R195" s="174"/>
    </x:row>
    <x:row r="196">
      <x:c r="A196" s="174" t="str">
        <x:f>IF(B196="","","CL-"&amp;TEXT(ROW()-3,"0000"))</x:f>
      </x:c>
      <x:c r="B196" s="174"/>
      <x:c r="C196" s="174" t="str">
        <x:f>IF(B196="","",IFERROR(INDEX('Master Evidence'!$L$4:$L$503,MATCH(B196,'Master Evidence'!$A$4:$A$503,0)),""))</x:f>
      </x:c>
      <x:c r="D196" s="174" t="str">
        <x:f>IF(B196="","",IFERROR(INDEX('Master Evidence'!$W$4:$W$503,MATCH(B196,'Master Evidence'!$A$4:$A$503,0)),""))</x:f>
      </x:c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  <x:c r="P196" s="174"/>
      <x:c r="Q196" s="177"/>
      <x:c r="R196" s="174"/>
    </x:row>
    <x:row r="197">
      <x:c r="A197" s="174" t="str">
        <x:f>IF(B197="","","CL-"&amp;TEXT(ROW()-3,"0000"))</x:f>
      </x:c>
      <x:c r="B197" s="174"/>
      <x:c r="C197" s="174" t="str">
        <x:f>IF(B197="","",IFERROR(INDEX('Master Evidence'!$L$4:$L$503,MATCH(B197,'Master Evidence'!$A$4:$A$503,0)),""))</x:f>
      </x:c>
      <x:c r="D197" s="174" t="str">
        <x:f>IF(B197="","",IFERROR(INDEX('Master Evidence'!$W$4:$W$503,MATCH(B197,'Master Evidence'!$A$4:$A$503,0)),""))</x:f>
      </x:c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  <x:c r="P197" s="174"/>
      <x:c r="Q197" s="177"/>
      <x:c r="R197" s="174"/>
    </x:row>
    <x:row r="198">
      <x:c r="A198" s="174" t="str">
        <x:f>IF(B198="","","CL-"&amp;TEXT(ROW()-3,"0000"))</x:f>
      </x:c>
      <x:c r="B198" s="174"/>
      <x:c r="C198" s="174" t="str">
        <x:f>IF(B198="","",IFERROR(INDEX('Master Evidence'!$L$4:$L$503,MATCH(B198,'Master Evidence'!$A$4:$A$503,0)),""))</x:f>
      </x:c>
      <x:c r="D198" s="174" t="str">
        <x:f>IF(B198="","",IFERROR(INDEX('Master Evidence'!$W$4:$W$503,MATCH(B198,'Master Evidence'!$A$4:$A$503,0)),""))</x:f>
      </x:c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  <x:c r="P198" s="174"/>
      <x:c r="Q198" s="177"/>
      <x:c r="R198" s="174"/>
    </x:row>
    <x:row r="199">
      <x:c r="A199" s="174" t="str">
        <x:f>IF(B199="","","CL-"&amp;TEXT(ROW()-3,"0000"))</x:f>
      </x:c>
      <x:c r="B199" s="174"/>
      <x:c r="C199" s="174" t="str">
        <x:f>IF(B199="","",IFERROR(INDEX('Master Evidence'!$L$4:$L$503,MATCH(B199,'Master Evidence'!$A$4:$A$503,0)),""))</x:f>
      </x:c>
      <x:c r="D199" s="174" t="str">
        <x:f>IF(B199="","",IFERROR(INDEX('Master Evidence'!$W$4:$W$503,MATCH(B199,'Master Evidence'!$A$4:$A$503,0)),""))</x:f>
      </x:c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  <x:c r="P199" s="174"/>
      <x:c r="Q199" s="177"/>
      <x:c r="R199" s="174"/>
    </x:row>
    <x:row r="200">
      <x:c r="A200" s="174" t="str">
        <x:f>IF(B200="","","CL-"&amp;TEXT(ROW()-3,"0000"))</x:f>
      </x:c>
      <x:c r="B200" s="174"/>
      <x:c r="C200" s="174" t="str">
        <x:f>IF(B200="","",IFERROR(INDEX('Master Evidence'!$L$4:$L$503,MATCH(B200,'Master Evidence'!$A$4:$A$503,0)),""))</x:f>
      </x:c>
      <x:c r="D200" s="174" t="str">
        <x:f>IF(B200="","",IFERROR(INDEX('Master Evidence'!$W$4:$W$503,MATCH(B200,'Master Evidence'!$A$4:$A$503,0)),""))</x:f>
      </x:c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  <x:c r="P200" s="174"/>
      <x:c r="Q200" s="177"/>
      <x:c r="R200" s="174"/>
    </x:row>
    <x:row r="201">
      <x:c r="A201" s="174" t="str">
        <x:f>IF(B201="","","CL-"&amp;TEXT(ROW()-3,"0000"))</x:f>
      </x:c>
      <x:c r="B201" s="174"/>
      <x:c r="C201" s="174" t="str">
        <x:f>IF(B201="","",IFERROR(INDEX('Master Evidence'!$L$4:$L$503,MATCH(B201,'Master Evidence'!$A$4:$A$503,0)),""))</x:f>
      </x:c>
      <x:c r="D201" s="174" t="str">
        <x:f>IF(B201="","",IFERROR(INDEX('Master Evidence'!$W$4:$W$503,MATCH(B201,'Master Evidence'!$A$4:$A$503,0)),""))</x:f>
      </x:c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  <x:c r="P201" s="174"/>
      <x:c r="Q201" s="177"/>
      <x:c r="R201" s="174"/>
    </x:row>
    <x:row r="202">
      <x:c r="A202" s="174" t="str">
        <x:f>IF(B202="","","CL-"&amp;TEXT(ROW()-3,"0000"))</x:f>
      </x:c>
      <x:c r="B202" s="174"/>
      <x:c r="C202" s="174" t="str">
        <x:f>IF(B202="","",IFERROR(INDEX('Master Evidence'!$L$4:$L$503,MATCH(B202,'Master Evidence'!$A$4:$A$503,0)),""))</x:f>
      </x:c>
      <x:c r="D202" s="174" t="str">
        <x:f>IF(B202="","",IFERROR(INDEX('Master Evidence'!$W$4:$W$503,MATCH(B202,'Master Evidence'!$A$4:$A$503,0)),""))</x:f>
      </x:c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  <x:c r="P202" s="174"/>
      <x:c r="Q202" s="177"/>
      <x:c r="R202" s="174"/>
    </x:row>
    <x:row r="203">
      <x:c r="A203" s="174" t="str">
        <x:f>IF(B203="","","CL-"&amp;TEXT(ROW()-3,"0000"))</x:f>
      </x:c>
      <x:c r="B203" s="174"/>
      <x:c r="C203" s="174" t="str">
        <x:f>IF(B203="","",IFERROR(INDEX('Master Evidence'!$L$4:$L$503,MATCH(B203,'Master Evidence'!$A$4:$A$503,0)),""))</x:f>
      </x:c>
      <x:c r="D203" s="174" t="str">
        <x:f>IF(B203="","",IFERROR(INDEX('Master Evidence'!$W$4:$W$503,MATCH(B203,'Master Evidence'!$A$4:$A$503,0)),""))</x:f>
      </x:c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  <x:c r="P203" s="174"/>
      <x:c r="Q203" s="177"/>
      <x:c r="R203" s="174"/>
    </x:row>
  </x:sheetData>
  <x:mergeCells>
    <x:mergeCell ref="A1:R1"/>
    <x:mergeCell ref="A2:R2"/>
  </x:mergeCells>
  <x:conditionalFormatting sqref="O4:O203">
    <x:cfRule type="containsText" dxfId="37" priority="1" operator="containsText" text="Verified"/>
    <x:cfRule type="containsText" dxfId="38" priority="2" operator="containsText" text="Pending"/>
    <x:cfRule type="containsText" dxfId="39" priority="3" operator="containsText" text="Rejected"/>
    <x:cfRule type="containsText" dxfId="40" priority="4" operator="containsText" text="Needs adjudication"/>
  </x:conditionalFormatting>
  <x:dataValidations count="3">
    <x:dataValidation type="list" sqref="M4:M203">
      <x:formula1>"Strong,Moderate,Weak,Contextual,Not usable,Pending"</x:formula1>
    </x:dataValidation>
    <x:dataValidation type="list" sqref="N4:N203">
      <x:formula1>"Pending,Claim-ready,Contextual,Not used"</x:formula1>
    </x:dataValidation>
    <x:dataValidation type="list" sqref="O4:O203">
      <x:formula1>"Pending,Verified,Rejected,Needs adjudication"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9889fd775245f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0" hidden="0" customWidth="1"/>
    <x:col min="3" max="3" width="24" hidden="0" customWidth="1"/>
    <x:col min="4" max="4" width="24" hidden="0" customWidth="1"/>
  </x:cols>
  <x:sheetData>
    <x:row r="1" ht="34" customHeight="1">
      <x:c r="A1" s="366" t="str">
        <x:v>OPERATIONAL-READINESS DOMAIN COVERAGE</x:v>
      </x:c>
      <x:c r="B1" s="367"/>
      <x:c r="C1" s="367"/>
      <x:c r="D1" s="367"/>
      <x:c r="E1" s="367"/>
      <x:c r="F1" s="367"/>
      <x:c r="G1" s="367"/>
      <x:c r="H1" s="368"/>
    </x:row>
    <x:row r="2" ht="30" customHeight="1">
      <x:c r="A2" s="369" t="str">
        <x:v>Counts are formula-backed; no domain coverage is inferred before evidence rows exist.</x:v>
      </x:c>
      <x:c r="B2" s="369"/>
      <x:c r="C2" s="369"/>
      <x:c r="D2" s="369"/>
      <x:c r="E2" s="369"/>
      <x:c r="F2" s="369"/>
      <x:c r="G2" s="369"/>
      <x:c r="H2" s="369"/>
    </x:row>
    <x:row r="3">
      <x:c r="A3" s="370"/>
      <x:c r="B3" s="370"/>
      <x:c r="C3" s="370"/>
      <x:c r="D3" s="370"/>
      <x:c r="E3" s="370"/>
      <x:c r="F3" s="370"/>
      <x:c r="G3" s="370"/>
      <x:c r="H3" s="370"/>
    </x:row>
    <x:row r="4">
      <x:c r="A4" s="371" t="str">
        <x:v>Domain</x:v>
      </x:c>
      <x:c r="B4" s="371" t="str">
        <x:v>Primary-domain count</x:v>
      </x:c>
      <x:c r="C4" s="371" t="str">
        <x:v>Explicit relationship count</x:v>
      </x:c>
      <x:c r="D4" s="371" t="str">
        <x:v>Coverage status</x:v>
      </x:c>
      <x:c r="E4" s="370"/>
      <x:c r="F4" s="370"/>
      <x:c r="G4" s="370"/>
      <x:c r="H4" s="370"/>
    </x:row>
    <x:row r="5">
      <x:c r="A5" s="370" t="str">
        <x:v>Health</x:v>
      </x:c>
      <x:c r="B5" s="370" t="n">
        <x:f>COUNTIF('Master Evidence'!$BQ$4:$BQ$503,A5)</x:f>
        <x:v>0</x:v>
      </x:c>
      <x:c r="C5" s="370" t="n">
        <x:f>COUNTIF('Master Evidence'!$BV$4:$BV$503,"&lt;&gt;")</x:f>
        <x:v>0</x:v>
      </x:c>
      <x:c r="D5" s="370" t="str">
        <x:f>IF(B5+C5=0,"GAP / NOT YET MAPPED",IF(B5+C5&lt;3,"LIMITED","MAPPED"))</x:f>
        <x:v>GAP / NOT YET MAPPED</x:v>
      </x:c>
      <x:c r="E5" s="370"/>
      <x:c r="F5" s="370"/>
      <x:c r="G5" s="370"/>
      <x:c r="H5" s="370"/>
    </x:row>
    <x:row r="6">
      <x:c r="A6" s="370" t="str">
        <x:v>Physical capability</x:v>
      </x:c>
      <x:c r="B6" s="370" t="n">
        <x:f>COUNTIF('Master Evidence'!$BQ$4:$BQ$503,A6)</x:f>
        <x:v>0</x:v>
      </x:c>
      <x:c r="C6" s="370" t="n">
        <x:f>COUNTIF('Master Evidence'!$BW$4:$BW$503,"&lt;&gt;")</x:f>
        <x:v>0</x:v>
      </x:c>
      <x:c r="D6" s="370" t="str">
        <x:f>IF(B6+C6=0,"GAP / NOT YET MAPPED",IF(B6+C6&lt;3,"LIMITED","MAPPED"))</x:f>
        <x:v>GAP / NOT YET MAPPED</x:v>
      </x:c>
      <x:c r="E6" s="370"/>
      <x:c r="F6" s="370"/>
      <x:c r="G6" s="370"/>
      <x:c r="H6" s="370"/>
    </x:row>
    <x:row r="7">
      <x:c r="A7" s="370" t="str">
        <x:v>Cognition</x:v>
      </x:c>
      <x:c r="B7" s="370" t="n">
        <x:f>COUNTIF('Master Evidence'!$BQ$4:$BQ$503,A7)</x:f>
        <x:v>0</x:v>
      </x:c>
      <x:c r="C7" s="370" t="n">
        <x:f>COUNTIF('Master Evidence'!$BX$4:$BX$503,"&lt;&gt;")</x:f>
        <x:v>0</x:v>
      </x:c>
      <x:c r="D7" s="370" t="str">
        <x:f>IF(B7+C7=0,"GAP / NOT YET MAPPED",IF(B7+C7&lt;3,"LIMITED","MAPPED"))</x:f>
        <x:v>GAP / NOT YET MAPPED</x:v>
      </x:c>
      <x:c r="E7" s="370"/>
      <x:c r="F7" s="370"/>
      <x:c r="G7" s="370"/>
      <x:c r="H7" s="370"/>
    </x:row>
    <x:row r="8">
      <x:c r="A8" s="370" t="str">
        <x:v>Sleep / recovery</x:v>
      </x:c>
      <x:c r="B8" s="370" t="n">
        <x:f>COUNTIF('Master Evidence'!$BQ$4:$BQ$503,A8)</x:f>
        <x:v>0</x:v>
      </x:c>
      <x:c r="C8" s="370" t="n">
        <x:f>COUNTIF('Master Evidence'!$BY$4:$BY$503,"&lt;&gt;")</x:f>
        <x:v>0</x:v>
      </x:c>
      <x:c r="D8" s="370" t="str">
        <x:f>IF(B8+C8=0,"GAP / NOT YET MAPPED",IF(B8+C8&lt;3,"LIMITED","MAPPED"))</x:f>
        <x:v>GAP / NOT YET MAPPED</x:v>
      </x:c>
      <x:c r="E8" s="370"/>
      <x:c r="F8" s="370"/>
      <x:c r="G8" s="370"/>
      <x:c r="H8" s="370"/>
    </x:row>
    <x:row r="9">
      <x:c r="A9" s="370" t="str">
        <x:v>Occupational load</x:v>
      </x:c>
      <x:c r="B9" s="370" t="n">
        <x:f>COUNTIF('Master Evidence'!$BQ$4:$BQ$503,A9)</x:f>
        <x:v>0</x:v>
      </x:c>
      <x:c r="C9" s="370" t="n">
        <x:f>COUNTIF('Master Evidence'!$BZ$4:$BZ$503,"&lt;&gt;")</x:f>
        <x:v>0</x:v>
      </x:c>
      <x:c r="D9" s="370" t="str">
        <x:f>IF(B9+C9=0,"GAP / NOT YET MAPPED",IF(B9+C9&lt;3,"LIMITED","MAPPED"))</x:f>
        <x:v>GAP / NOT YET MAPPED</x:v>
      </x:c>
      <x:c r="E9" s="370"/>
      <x:c r="F9" s="370"/>
      <x:c r="G9" s="370"/>
      <x:c r="H9" s="370"/>
    </x:row>
    <x:row r="10">
      <x:c r="A10" s="370" t="str">
        <x:v>Musculoskeletal injury</x:v>
      </x:c>
      <x:c r="B10" s="370" t="n">
        <x:f>COUNTIF('Master Evidence'!$BQ$4:$BQ$503,A10)</x:f>
        <x:v>0</x:v>
      </x:c>
      <x:c r="C10" s="370" t="n">
        <x:f>COUNTIF('Master Evidence'!$CA$4:$CA$503,"&lt;&gt;")</x:f>
        <x:v>0</x:v>
      </x:c>
      <x:c r="D10" s="370" t="str">
        <x:f>IF(B10+C10=0,"GAP / NOT YET MAPPED",IF(B10+C10&lt;3,"LIMITED","MAPPED"))</x:f>
        <x:v>GAP / NOT YET MAPPED</x:v>
      </x:c>
      <x:c r="E10" s="370"/>
      <x:c r="F10" s="370"/>
      <x:c r="G10" s="370"/>
      <x:c r="H10" s="370"/>
    </x:row>
    <x:row r="11">
      <x:c r="A11" s="370" t="str">
        <x:v>Nutrition / hydration</x:v>
      </x:c>
      <x:c r="B11" s="370" t="n">
        <x:f>COUNTIF('Master Evidence'!$BQ$4:$BQ$503,A11)</x:f>
        <x:v>0</x:v>
      </x:c>
      <x:c r="C11" s="370" t="n">
        <x:f>COUNTIF('Master Evidence'!$CB$4:$CB$503,"&lt;&gt;")</x:f>
        <x:v>0</x:v>
      </x:c>
      <x:c r="D11" s="370" t="str">
        <x:f>IF(B11+C11=0,"GAP / NOT YET MAPPED",IF(B11+C11&lt;3,"LIMITED","MAPPED"))</x:f>
        <x:v>GAP / NOT YET MAPPED</x:v>
      </x:c>
      <x:c r="E11" s="370"/>
      <x:c r="F11" s="370"/>
      <x:c r="G11" s="370"/>
      <x:c r="H11" s="370"/>
    </x:row>
    <x:row r="12">
      <x:c r="A12" s="370" t="str">
        <x:v>Medical readiness</x:v>
      </x:c>
      <x:c r="B12" s="370" t="n">
        <x:f>COUNTIF('Master Evidence'!$BQ$4:$BQ$503,A12)</x:f>
        <x:v>0</x:v>
      </x:c>
      <x:c r="C12" s="370" t="n">
        <x:f>COUNTIF('Master Evidence'!$CC$4:$CC$503,"&lt;&gt;")</x:f>
        <x:v>0</x:v>
      </x:c>
      <x:c r="D12" s="370" t="str">
        <x:f>IF(B12+C12=0,"GAP / NOT YET MAPPED",IF(B12+C12&lt;3,"LIMITED","MAPPED"))</x:f>
        <x:v>GAP / NOT YET MAPPED</x:v>
      </x:c>
      <x:c r="E12" s="370"/>
      <x:c r="F12" s="370"/>
      <x:c r="G12" s="370"/>
      <x:c r="H12" s="370"/>
    </x:row>
    <x:row r="13">
      <x:c r="A13" s="370" t="str">
        <x:v>Monitoring / wearables</x:v>
      </x:c>
      <x:c r="B13" s="370" t="n">
        <x:f>COUNTIF('Master Evidence'!$BQ$4:$BQ$503,A13)</x:f>
        <x:v>0</x:v>
      </x:c>
      <x:c r="C13" s="370" t="n">
        <x:f>COUNTIF('Master Evidence'!$CD$4:$CD$503,"&lt;&gt;")</x:f>
        <x:v>0</x:v>
      </x:c>
      <x:c r="D13" s="370" t="str">
        <x:f>IF(B13+C13=0,"GAP / NOT YET MAPPED",IF(B13+C13&lt;3,"LIMITED","MAPPED"))</x:f>
        <x:v>GAP / NOT YET MAPPED</x:v>
      </x:c>
      <x:c r="E13" s="370"/>
      <x:c r="F13" s="370"/>
      <x:c r="G13" s="370"/>
      <x:c r="H13" s="370"/>
    </x:row>
    <x:row r="14">
      <x:c r="A14" s="370" t="str">
        <x:v>Occupational longevity</x:v>
      </x:c>
      <x:c r="B14" s="370" t="n">
        <x:f>COUNTIF('Master Evidence'!$BQ$4:$BQ$503,A14)</x:f>
        <x:v>0</x:v>
      </x:c>
      <x:c r="C14" s="370" t="n">
        <x:f>COUNTIF('Master Evidence'!$CE$4:$CE$503,"&lt;&gt;")</x:f>
        <x:v>0</x:v>
      </x:c>
      <x:c r="D14" s="370" t="str">
        <x:f>IF(B14+C14=0,"GAP / NOT YET MAPPED",IF(B14+C14&lt;3,"LIMITED","MAPPED"))</x:f>
        <x:v>GAP / NOT YET MAPPED</x:v>
      </x:c>
      <x:c r="E14" s="370"/>
      <x:c r="F14" s="370"/>
      <x:c r="G14" s="370"/>
      <x:c r="H14" s="370"/>
    </x:row>
    <x:row r="15">
      <x:c r="A15" s="370" t="str">
        <x:v>Tactical athlete</x:v>
      </x:c>
      <x:c r="B15" s="370" t="n">
        <x:f>COUNTIF('Master Evidence'!$BQ$4:$BQ$503,A15)</x:f>
        <x:v>0</x:v>
      </x:c>
      <x:c r="C15" s="370" t="n">
        <x:f>COUNTIF('Master Evidence'!$BS$4:$BS$503,"&lt;&gt;")</x:f>
        <x:v>0</x:v>
      </x:c>
      <x:c r="D15" s="370" t="str">
        <x:f>IF(B15+C15=0,"GAP / NOT YET MAPPED",IF(B15+C15&lt;3,"LIMITED","MAPPED"))</x:f>
        <x:v>GAP / NOT YET MAPPED</x:v>
      </x:c>
      <x:c r="E15" s="370"/>
      <x:c r="F15" s="370"/>
      <x:c r="G15" s="370"/>
      <x:c r="H15" s="370"/>
    </x:row>
    <x:row r="16">
      <x:c r="A16" s="370" t="str">
        <x:v>Operational readiness</x:v>
      </x:c>
      <x:c r="B16" s="370" t="n">
        <x:f>COUNTIF('Master Evidence'!$BQ$4:$BQ$503,A16)</x:f>
        <x:v>0</x:v>
      </x:c>
      <x:c r="C16" s="370" t="n">
        <x:f>COUNTIF('Master Evidence'!$BT$4:$BT$503,"&lt;&gt;")</x:f>
        <x:v>0</x:v>
      </x:c>
      <x:c r="D16" s="370" t="str">
        <x:f>IF(B16+C16=0,"GAP / NOT YET MAPPED",IF(B16+C16&lt;3,"LIMITED","MAPPED"))</x:f>
        <x:v>GAP / NOT YET MAPPED</x:v>
      </x:c>
      <x:c r="E16" s="370"/>
      <x:c r="F16" s="370"/>
      <x:c r="G16" s="370"/>
      <x:c r="H16" s="370"/>
    </x:row>
    <x:row r="17">
      <x:c r="A17" s="370" t="str">
        <x:v>APHT / TEMS / TCCC / TECC</x:v>
      </x:c>
      <x:c r="B17" s="370" t="n">
        <x:f>COUNTIF('Master Evidence'!$BQ$4:$BQ$503,A17)</x:f>
        <x:v>0</x:v>
      </x:c>
      <x:c r="C17" s="370" t="n">
        <x:f>COUNTIF('Master Evidence'!$BU$4:$BU$503,"&lt;&gt;")</x:f>
        <x:v>0</x:v>
      </x:c>
      <x:c r="D17" s="370" t="str">
        <x:f>IF(B17+C17=0,"GAP / NOT YET MAPPED",IF(B17+C17&lt;3,"LIMITED","MAPPED"))</x:f>
        <x:v>GAP / NOT YET MAPPED</x:v>
      </x:c>
      <x:c r="E17" s="370"/>
      <x:c r="F17" s="370"/>
      <x:c r="G17" s="370"/>
      <x:c r="H17" s="370"/>
    </x:row>
  </x:sheetData>
  <x:mergeCells>
    <x:mergeCell ref="A1:H1"/>
    <x:mergeCell ref="A2:H2"/>
  </x:mergeCells>
  <x:conditionalFormatting sqref="D5:D17">
    <x:cfRule type="containsText" dxfId="41" priority="1" operator="containsText" text="MAPPED"/>
    <x:cfRule type="containsText" dxfId="42" priority="2" operator="containsText" text="LIMITED"/>
    <x:cfRule type="containsText" dxfId="43" priority="3" operator="containsText" text="GAP"/>
  </x:conditionalFormatting>
  <x:pageMargins left="0.7" right="0.7" top="0.75" bottom="0.75" header="0.3" footer="0.3"/>
  <x:tableParts count="1">
    <x:tablePart xmlns:r="http://schemas.openxmlformats.org/officeDocument/2006/relationships" r:id="R001d507d193c458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4" hidden="0" customWidth="1"/>
    <x:col min="4" max="4" width="26" hidden="0" customWidth="1"/>
    <x:col min="5" max="5" width="12" hidden="0" customWidth="1"/>
    <x:col min="6" max="6" width="4" hidden="0" customWidth="1"/>
    <x:col min="7" max="7" width="28" hidden="0" customWidth="1"/>
    <x:col min="8" max="8" width="12" hidden="0" customWidth="1"/>
    <x:col min="9" max="9" width="4" hidden="0" customWidth="1"/>
    <x:col min="10" max="10" width="34" hidden="0" customWidth="1"/>
    <x:col min="11" max="11" width="34" hidden="0" customWidth="1"/>
    <x:col min="12" max="12" width="20" hidden="0" customWidth="1"/>
  </x:cols>
  <x:sheetData>
    <x:row r="1" ht="34" customHeight="1">
      <x:c r="A1" s="366" t="str">
        <x:v>QUALITY, RISK OF BIAS &amp; RESEARCH INTEGRITY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Design-appropriate appraisal only; no universal risk-of-bias instrument is forced across heterogeneous evidence types.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Methodological quality</x:v>
      </x:c>
      <x:c r="B4" s="373" t="str">
        <x:v>Count</x:v>
      </x:c>
      <x:c r="C4" s="370"/>
      <x:c r="D4" s="373" t="str">
        <x:v>Risk of bias</x:v>
      </x:c>
      <x:c r="E4" s="373" t="str">
        <x:v>Count</x:v>
      </x:c>
      <x:c r="F4" s="370"/>
      <x:c r="G4" s="373" t="str">
        <x:v>Integrity status</x:v>
      </x:c>
      <x:c r="H4" s="373" t="str">
        <x:v>Count</x:v>
      </x:c>
      <x:c r="I4" s="370"/>
      <x:c r="J4" s="370"/>
      <x:c r="K4" s="370"/>
      <x:c r="L4" s="370"/>
    </x:row>
    <x:row r="5">
      <x:c r="A5" s="370" t="str">
        <x:v>High</x:v>
      </x:c>
      <x:c r="B5" s="370" t="n">
        <x:f>COUNTIF('Master Evidence'!$CG$4:$CG$503,A5)</x:f>
        <x:v>0</x:v>
      </x:c>
      <x:c r="C5" s="370"/>
      <x:c r="D5" s="370" t="str">
        <x:v>Low</x:v>
      </x:c>
      <x:c r="E5" s="370" t="n">
        <x:f>COUNTIF('Master Evidence'!$CH$4:$CH$503,D5)</x:f>
        <x:v>0</x:v>
      </x:c>
      <x:c r="F5" s="370"/>
      <x:c r="G5" s="370" t="str">
        <x:v>Verified — clear</x:v>
      </x:c>
      <x:c r="H5" s="370" t="n">
        <x:f>COUNTIF('Master Evidence'!$CN$4:$CN$503,G5)</x:f>
        <x:v>0</x:v>
      </x:c>
      <x:c r="I5" s="370"/>
      <x:c r="J5" s="370"/>
      <x:c r="K5" s="370"/>
      <x:c r="L5" s="370"/>
    </x:row>
    <x:row r="6">
      <x:c r="A6" s="370" t="str">
        <x:v>Moderate</x:v>
      </x:c>
      <x:c r="B6" s="370" t="n">
        <x:f>COUNTIF('Master Evidence'!$CG$4:$CG$503,A6)</x:f>
        <x:v>0</x:v>
      </x:c>
      <x:c r="C6" s="370"/>
      <x:c r="D6" s="370" t="str">
        <x:v>Some concerns</x:v>
      </x:c>
      <x:c r="E6" s="370" t="n">
        <x:f>COUNTIF('Master Evidence'!$CH$4:$CH$503,D6)</x:f>
        <x:v>0</x:v>
      </x:c>
      <x:c r="F6" s="370"/>
      <x:c r="G6" s="370" t="str">
        <x:v>Verified — correction</x:v>
      </x:c>
      <x:c r="H6" s="370" t="n">
        <x:f>COUNTIF('Master Evidence'!$CN$4:$CN$503,G6)</x:f>
        <x:v>0</x:v>
      </x:c>
      <x:c r="I6" s="370"/>
      <x:c r="J6" s="370"/>
      <x:c r="K6" s="370"/>
      <x:c r="L6" s="370"/>
    </x:row>
    <x:row r="7">
      <x:c r="A7" s="370" t="str">
        <x:v>Low</x:v>
      </x:c>
      <x:c r="B7" s="370" t="n">
        <x:f>COUNTIF('Master Evidence'!$CG$4:$CG$503,A7)</x:f>
        <x:v>0</x:v>
      </x:c>
      <x:c r="C7" s="370"/>
      <x:c r="D7" s="370" t="str">
        <x:v>High</x:v>
      </x:c>
      <x:c r="E7" s="370" t="n">
        <x:f>COUNTIF('Master Evidence'!$CH$4:$CH$503,D7)</x:f>
        <x:v>0</x:v>
      </x:c>
      <x:c r="F7" s="370"/>
      <x:c r="G7" s="370" t="str">
        <x:v>Expression of Concern</x:v>
      </x:c>
      <x:c r="H7" s="370" t="n">
        <x:f>COUNTIF('Master Evidence'!$CN$4:$CN$503,G7)</x:f>
        <x:v>0</x:v>
      </x:c>
      <x:c r="I7" s="370"/>
      <x:c r="J7" s="370"/>
      <x:c r="K7" s="370"/>
      <x:c r="L7" s="370"/>
    </x:row>
    <x:row r="8">
      <x:c r="A8" s="370" t="str">
        <x:v>Critical</x:v>
      </x:c>
      <x:c r="B8" s="370" t="n">
        <x:f>COUNTIF('Master Evidence'!$CG$4:$CG$503,A8)</x:f>
        <x:v>0</x:v>
      </x:c>
      <x:c r="C8" s="370"/>
      <x:c r="D8" s="370" t="str">
        <x:v>Critical</x:v>
      </x:c>
      <x:c r="E8" s="370" t="n">
        <x:f>COUNTIF('Master Evidence'!$CH$4:$CH$503,D8)</x:f>
        <x:v>0</x:v>
      </x:c>
      <x:c r="F8" s="370"/>
      <x:c r="G8" s="370" t="str">
        <x:v>Retracted</x:v>
      </x:c>
      <x:c r="H8" s="370" t="n">
        <x:f>COUNTIF('Master Evidence'!$CN$4:$CN$503,G8)</x:f>
        <x:v>0</x:v>
      </x:c>
      <x:c r="I8" s="370"/>
      <x:c r="J8" s="370"/>
      <x:c r="K8" s="370"/>
      <x:c r="L8" s="370"/>
    </x:row>
    <x:row r="9">
      <x:c r="A9" s="370" t="str">
        <x:v>Pending</x:v>
      </x:c>
      <x:c r="B9" s="370" t="n">
        <x:f>COUNTIF('Master Evidence'!$CG$4:$CG$503,A9)</x:f>
        <x:v>0</x:v>
      </x:c>
      <x:c r="C9" s="370"/>
      <x:c r="D9" s="370" t="str">
        <x:v>Not applicable</x:v>
      </x:c>
      <x:c r="E9" s="370" t="n">
        <x:f>COUNTIF('Master Evidence'!$CH$4:$CH$503,D9)</x:f>
        <x:v>0</x:v>
      </x:c>
      <x:c r="F9" s="370"/>
      <x:c r="G9" s="370" t="str">
        <x:v>Pending</x:v>
      </x:c>
      <x:c r="H9" s="370" t="n">
        <x:f>COUNTIF('Master Evidence'!$CN$4:$CN$503,G9)</x:f>
        <x:v>0</x:v>
      </x:c>
      <x:c r="I9" s="370"/>
      <x:c r="J9" s="370"/>
      <x:c r="K9" s="370"/>
      <x:c r="L9" s="370"/>
    </x:row>
    <x:row r="10">
      <x:c r="A10" s="370" t="str">
        <x:v>TOTAL</x:v>
      </x:c>
      <x:c r="B10" s="370" t="n">
        <x:f>SUM(B5:B9)</x:f>
        <x:v>0</x:v>
      </x:c>
      <x:c r="C10" s="370"/>
      <x:c r="D10" s="370" t="str">
        <x:v>Pending</x:v>
      </x:c>
      <x:c r="E10" s="370" t="n">
        <x:f>COUNTIF('Master Evidence'!$CH$4:$CH$503,D10)</x:f>
        <x:v>0</x:v>
      </x:c>
      <x:c r="F10" s="370"/>
      <x:c r="G10" s="370" t="str">
        <x:v>TOTAL</x:v>
      </x:c>
      <x:c r="H10" s="370" t="n">
        <x:f>SUM(H5:H9)</x:f>
        <x:v>0</x:v>
      </x:c>
      <x:c r="I10" s="370"/>
      <x:c r="J10" s="370"/>
      <x:c r="K10" s="370"/>
      <x:c r="L10" s="370"/>
    </x:row>
    <x:row r="11">
      <x:c r="A11" s="370"/>
      <x:c r="B11" s="370"/>
      <x:c r="C11" s="370"/>
      <x:c r="D11" s="370" t="str">
        <x:v>TOTAL</x:v>
      </x:c>
      <x:c r="E11" s="370" t="n">
        <x:f>SUM(E5:E10)</x:f>
        <x:v>0</x:v>
      </x:c>
      <x:c r="F11" s="370"/>
      <x:c r="G11" s="370"/>
      <x:c r="H11" s="370"/>
      <x:c r="I11" s="370"/>
      <x:c r="J11" s="370"/>
      <x:c r="K11" s="370"/>
      <x:c r="L11" s="370"/>
    </x:row>
    <x:row r="12">
      <x:c r="A12" s="370"/>
      <x:c r="B12" s="370"/>
      <x:c r="C12" s="370"/>
      <x:c r="D12" s="370"/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/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81" t="str">
        <x:v>Integrity control</x:v>
      </x:c>
      <x:c r="B14" s="381" t="str">
        <x:v>Count</x:v>
      </x:c>
      <x:c r="C14" s="381" t="str">
        <x:v>Rule</x:v>
      </x:c>
      <x:c r="D14" s="381" t="str">
        <x:v>Release implication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 t="str">
        <x:v>Metadata verified</x:v>
      </x:c>
      <x:c r="B15" s="370" t="n">
        <x:f>COUNTIF('Master Evidence'!$CJ$4:$CJ$503,"Yes")</x:f>
        <x:v>0</x:v>
      </x:c>
      <x:c r="C15" s="370" t="str">
        <x:v>Required before core-evidence status</x:v>
      </x:c>
      <x:c r="D15" s="370" t="str">
        <x:v>Unverified metadata cannot support a claim</x:v>
      </x:c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 t="str">
        <x:v>DOI / PMID verified</x:v>
      </x:c>
      <x:c r="B16" s="370" t="n">
        <x:f>COUNTIF('Master Evidence'!$CK$4:$CK$503,"Yes")</x:f>
        <x:v>0</x:v>
      </x:c>
      <x:c r="C16" s="370" t="str">
        <x:v>Required when identifiers apply</x:v>
      </x:c>
      <x:c r="D16" s="370" t="str">
        <x:v>Identity ambiguity remains</x:v>
      </x:c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0" t="str">
        <x:v>Integrity checked</x:v>
      </x:c>
      <x:c r="B17" s="370" t="n">
        <x:f>COUNTIF('Master Evidence'!$CL$4:$CL$503,"Yes")</x:f>
        <x:v>0</x:v>
      </x:c>
      <x:c r="C17" s="370" t="str">
        <x:v>Required before claim dependency</x:v>
      </x:c>
      <x:c r="D17" s="370" t="str">
        <x:v>Retraction/correction status unknown</x:v>
      </x:c>
      <x:c r="E17" s="370"/>
      <x:c r="F17" s="370"/>
      <x:c r="G17" s="370"/>
      <x:c r="H17" s="370"/>
      <x:c r="I17" s="370"/>
      <x:c r="J17" s="370"/>
      <x:c r="K17" s="370"/>
      <x:c r="L17" s="370"/>
    </x:row>
    <x:row r="18">
      <x:c r="A18" s="370" t="str">
        <x:v>Retractions</x:v>
      </x:c>
      <x:c r="B18" s="370" t="n">
        <x:f>COUNTIF('Master Evidence'!$CM$4:$CM$503,"Retracted")</x:f>
        <x:v>0</x:v>
      </x:c>
      <x:c r="C18" s="370" t="str">
        <x:v>Automatically red</x:v>
      </x:c>
      <x:c r="D18" s="370" t="str">
        <x:v>Do not use for conclusion</x:v>
      </x:c>
      <x:c r="E18" s="370"/>
      <x:c r="F18" s="370"/>
      <x:c r="G18" s="370"/>
      <x:c r="H18" s="370"/>
      <x:c r="I18" s="370"/>
      <x:c r="J18" s="370"/>
      <x:c r="K18" s="370"/>
      <x:c r="L18" s="370"/>
    </x:row>
    <x:row r="19">
      <x:c r="A19" s="370" t="str">
        <x:v>Expressions of Concern</x:v>
      </x:c>
      <x:c r="B19" s="370" t="n">
        <x:f>COUNTIF('Master Evidence'!$CM$4:$CM$503,"Expression of Concern")</x:f>
        <x:v>0</x:v>
      </x:c>
      <x:c r="C19" s="370" t="str">
        <x:v>Automatically red/caution</x:v>
      </x:c>
      <x:c r="D19" s="370" t="str">
        <x:v>Senior adjudication required</x:v>
      </x:c>
      <x:c r="E19" s="370"/>
      <x:c r="F19" s="370"/>
      <x:c r="G19" s="370"/>
      <x:c r="H19" s="370"/>
      <x:c r="I19" s="370"/>
      <x:c r="J19" s="370"/>
      <x:c r="K19" s="370"/>
      <x:c r="L19" s="370"/>
    </x:row>
    <x:row r="20">
      <x:c r="A20" s="370" t="str">
        <x:v>Conflicts recorded</x:v>
      </x:c>
      <x:c r="B20" s="370" t="n">
        <x:f>COUNTIF('Master Evidence'!$CR$4:$CR$503,"&lt;&gt;")</x:f>
        <x:v>0</x:v>
      </x:c>
      <x:c r="C20" s="370" t="str">
        <x:v>Required when reported</x:v>
      </x:c>
      <x:c r="D20" s="370" t="str">
        <x:v>Interpretation must consider conflicts</x:v>
      </x:c>
      <x:c r="E20" s="370"/>
      <x:c r="F20" s="370"/>
      <x:c r="G20" s="370"/>
      <x:c r="H20" s="370"/>
      <x:c r="I20" s="370"/>
      <x:c r="J20" s="370"/>
      <x:c r="K20" s="370"/>
      <x:c r="L20" s="370"/>
    </x:row>
  </x:sheetData>
  <x:mergeCells>
    <x:mergeCell ref="A1:L1"/>
    <x:mergeCell ref="A2:L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32" hidden="0" customWidth="1"/>
    <x:col min="4" max="4" width="40" hidden="0" customWidth="1"/>
    <x:col min="5" max="5" width="24" hidden="0" customWidth="1"/>
    <x:col min="6" max="6" width="34" hidden="0" customWidth="1"/>
  </x:cols>
  <x:sheetData>
    <x:row r="1" ht="34" customHeight="1">
      <x:c r="A1" s="366" t="str">
        <x:v>TRANSFERABILITY TO BRAZILIAN PUBLIC SAFETY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Seven domains scored 0–2; raw 0–14; normalized 0–10. Safety override supersedes the numeric class when required.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Criterion</x:v>
      </x:c>
      <x:c r="B4" s="371" t="str">
        <x:v>0 — Low</x:v>
      </x:c>
      <x:c r="C4" s="371" t="str">
        <x:v>1 — Partial / uncertain</x:v>
      </x:c>
      <x:c r="D4" s="371" t="str">
        <x:v>2 — High</x:v>
      </x:c>
      <x:c r="E4" s="372"/>
      <x:c r="F4" s="372"/>
      <x:c r="G4" s="370"/>
      <x:c r="H4" s="370"/>
      <x:c r="I4" s="370"/>
      <x:c r="J4" s="370"/>
    </x:row>
    <x:row r="5">
      <x:c r="A5" s="372" t="str">
        <x:v>Task / demand similarity</x:v>
      </x:c>
      <x:c r="B5" s="372" t="str">
        <x:v>Different task demands</x:v>
      </x:c>
      <x:c r="C5" s="372" t="str">
        <x:v>Some overlap</x:v>
      </x:c>
      <x:c r="D5" s="372" t="str">
        <x:v>Closely comparable demands</x:v>
      </x:c>
      <x:c r="E5" s="372"/>
      <x:c r="F5" s="372"/>
      <x:c r="G5" s="370"/>
      <x:c r="H5" s="370"/>
      <x:c r="I5" s="370"/>
      <x:c r="J5" s="370"/>
    </x:row>
    <x:row r="6">
      <x:c r="A6" s="372" t="str">
        <x:v>Equipment / load similarity</x:v>
      </x:c>
      <x:c r="B6" s="372" t="str">
        <x:v>Not comparable</x:v>
      </x:c>
      <x:c r="C6" s="372" t="str">
        <x:v>Partial similarity</x:v>
      </x:c>
      <x:c r="D6" s="372" t="str">
        <x:v>Closely comparable load/equipment</x:v>
      </x:c>
      <x:c r="E6" s="372"/>
      <x:c r="F6" s="372"/>
      <x:c r="G6" s="370"/>
      <x:c r="H6" s="370"/>
      <x:c r="I6" s="370"/>
      <x:c r="J6" s="370"/>
    </x:row>
    <x:row r="7">
      <x:c r="A7" s="372" t="str">
        <x:v>Environment / exposure</x:v>
      </x:c>
      <x:c r="B7" s="372" t="str">
        <x:v>Different environment</x:v>
      </x:c>
      <x:c r="C7" s="372" t="str">
        <x:v>Mixed exposure</x:v>
      </x:c>
      <x:c r="D7" s="372" t="str">
        <x:v>Highly similar context</x:v>
      </x:c>
      <x:c r="E7" s="372"/>
      <x:c r="F7" s="372"/>
      <x:c r="G7" s="370"/>
      <x:c r="H7" s="370"/>
      <x:c r="I7" s="370"/>
      <x:c r="J7" s="370"/>
    </x:row>
    <x:row r="8">
      <x:c r="A8" s="372" t="str">
        <x:v>Construct / outcome relevance</x:v>
      </x:c>
      <x:c r="B8" s="372" t="str">
        <x:v>Indirect / mismatched</x:v>
      </x:c>
      <x:c r="C8" s="372" t="str">
        <x:v>Partially relevant</x:v>
      </x:c>
      <x:c r="D8" s="372" t="str">
        <x:v>Directly relevant</x:v>
      </x:c>
      <x:c r="E8" s="372"/>
      <x:c r="F8" s="372"/>
      <x:c r="G8" s="370"/>
      <x:c r="H8" s="370"/>
      <x:c r="I8" s="370"/>
      <x:c r="J8" s="370"/>
    </x:row>
    <x:row r="9">
      <x:c r="A9" s="372" t="str">
        <x:v>Population comparability</x:v>
      </x:c>
      <x:c r="B9" s="372" t="str">
        <x:v>Poorly comparable</x:v>
      </x:c>
      <x:c r="C9" s="372" t="str">
        <x:v>Some comparability</x:v>
      </x:c>
      <x:c r="D9" s="372" t="str">
        <x:v>Highly comparable</x:v>
      </x:c>
      <x:c r="E9" s="372"/>
      <x:c r="F9" s="372"/>
      <x:c r="G9" s="370"/>
      <x:c r="H9" s="370"/>
      <x:c r="I9" s="370"/>
      <x:c r="J9" s="370"/>
    </x:row>
    <x:row r="10">
      <x:c r="A10" s="372" t="str">
        <x:v>Assessment / intervention feasibility</x:v>
      </x:c>
      <x:c r="B10" s="372" t="str">
        <x:v>Not feasible</x:v>
      </x:c>
      <x:c r="C10" s="372" t="str">
        <x:v>Conditional</x:v>
      </x:c>
      <x:c r="D10" s="372" t="str">
        <x:v>Feasible</x:v>
      </x:c>
      <x:c r="E10" s="372"/>
      <x:c r="F10" s="372"/>
      <x:c r="G10" s="370"/>
      <x:c r="H10" s="370"/>
      <x:c r="I10" s="370"/>
      <x:c r="J10" s="370"/>
    </x:row>
    <x:row r="11">
      <x:c r="A11" s="372" t="str">
        <x:v>Legal / ethical / institutional compatibility</x:v>
      </x:c>
      <x:c r="B11" s="372" t="str">
        <x:v>Incompatible</x:v>
      </x:c>
      <x:c r="C11" s="372" t="str">
        <x:v>Requires adaptation</x:v>
      </x:c>
      <x:c r="D11" s="372" t="str">
        <x:v>Compatible</x:v>
      </x:c>
      <x:c r="E11" s="372"/>
      <x:c r="F11" s="372"/>
      <x:c r="G11" s="370"/>
      <x:c r="H11" s="370"/>
      <x:c r="I11" s="370"/>
      <x:c r="J11" s="370"/>
    </x:row>
    <x:row r="12">
      <x:c r="A12" s="372" t="str">
        <x:v>Safety override</x:v>
      </x:c>
      <x:c r="B12" s="372" t="str">
        <x:v>Combat-specific evidence cannot independently justify a Brazilian institutional recommendation</x:v>
      </x:c>
      <x:c r="C12" s="372" t="str">
        <x:v>Override → CONDITIONAL</x:v>
      </x:c>
      <x:c r="D12" s="372" t="str">
        <x:v>Human rationale mandatory</x:v>
      </x:c>
      <x:c r="E12" s="372"/>
      <x:c r="F12" s="372"/>
      <x:c r="G12" s="370"/>
      <x:c r="H12" s="370"/>
      <x:c r="I12" s="370"/>
      <x:c r="J12" s="370"/>
    </x:row>
    <x:row r="13">
      <x:c r="A13" s="372"/>
      <x:c r="B13" s="372"/>
      <x:c r="C13" s="372"/>
      <x:c r="D13" s="372"/>
      <x:c r="E13" s="372"/>
      <x:c r="F13" s="372"/>
      <x:c r="G13" s="370"/>
      <x:c r="H13" s="370"/>
      <x:c r="I13" s="370"/>
      <x:c r="J13" s="370"/>
    </x:row>
    <x:row r="14">
      <x:c r="A14" s="372"/>
      <x:c r="B14" s="372"/>
      <x:c r="C14" s="372"/>
      <x:c r="D14" s="372"/>
      <x:c r="E14" s="372"/>
      <x:c r="F14" s="372"/>
      <x:c r="G14" s="370"/>
      <x:c r="H14" s="370"/>
      <x:c r="I14" s="370"/>
      <x:c r="J14" s="370"/>
    </x:row>
    <x:row r="15">
      <x:c r="A15" s="373" t="str">
        <x:v>Classification</x:v>
      </x:c>
      <x:c r="B15" s="373" t="str">
        <x:v>Count</x:v>
      </x:c>
      <x:c r="C15" s="372"/>
      <x:c r="D15" s="381" t="str">
        <x:v>Normalized score</x:v>
      </x:c>
      <x:c r="E15" s="381" t="str">
        <x:v>Base class</x:v>
      </x:c>
      <x:c r="F15" s="381" t="str">
        <x:v>Safety rule</x:v>
      </x:c>
      <x:c r="G15" s="370"/>
      <x:c r="H15" s="370"/>
      <x:c r="I15" s="370"/>
      <x:c r="J15" s="370"/>
    </x:row>
    <x:row r="16">
      <x:c r="A16" s="372" t="str">
        <x:v>HIGH</x:v>
      </x:c>
      <x:c r="B16" s="372" t="n">
        <x:f>COUNTIF('Master Evidence'!$DE$4:$DE$503,A16)</x:f>
        <x:v>0</x:v>
      </x:c>
      <x:c r="C16" s="372"/>
      <x:c r="D16" s="372" t="str">
        <x:v>8.0–10.0</x:v>
      </x:c>
      <x:c r="E16" s="372" t="str">
        <x:v>HIGH</x:v>
      </x:c>
      <x:c r="F16" s="372" t="str">
        <x:v>May still be overridden</x:v>
      </x:c>
      <x:c r="G16" s="370"/>
      <x:c r="H16" s="370"/>
      <x:c r="I16" s="370"/>
      <x:c r="J16" s="370"/>
    </x:row>
    <x:row r="17">
      <x:c r="A17" s="372" t="str">
        <x:v>CONDITIONAL</x:v>
      </x:c>
      <x:c r="B17" s="372" t="n">
        <x:f>COUNTIF('Master Evidence'!$DE$4:$DE$503,A17)</x:f>
        <x:v>0</x:v>
      </x:c>
      <x:c r="C17" s="372"/>
      <x:c r="D17" s="372" t="str">
        <x:v>5.0–7.9</x:v>
      </x:c>
      <x:c r="E17" s="372" t="str">
        <x:v>CONDITIONAL</x:v>
      </x:c>
      <x:c r="F17" s="372" t="str">
        <x:v>Adaptation required</x:v>
      </x:c>
      <x:c r="G17" s="370"/>
      <x:c r="H17" s="370"/>
      <x:c r="I17" s="370"/>
      <x:c r="J17" s="370"/>
    </x:row>
    <x:row r="18">
      <x:c r="A18" s="372" t="str">
        <x:v>CONDITIONAL — safety override</x:v>
      </x:c>
      <x:c r="B18" s="372" t="n">
        <x:f>COUNTIF('Master Evidence'!$DE$4:$DE$503,A18)</x:f>
        <x:v>0</x:v>
      </x:c>
      <x:c r="C18" s="372"/>
      <x:c r="D18" s="372" t="str">
        <x:v>0.0–4.9</x:v>
      </x:c>
      <x:c r="E18" s="372" t="str">
        <x:v>LOW</x:v>
      </x:c>
      <x:c r="F18" s="372" t="str">
        <x:v>Do not generalize</x:v>
      </x:c>
      <x:c r="G18" s="370"/>
      <x:c r="H18" s="370"/>
      <x:c r="I18" s="370"/>
      <x:c r="J18" s="370"/>
    </x:row>
    <x:row r="19">
      <x:c r="A19" s="372" t="str">
        <x:v>LOW</x:v>
      </x:c>
      <x:c r="B19" s="372" t="n">
        <x:f>COUNTIF('Master Evidence'!$DE$4:$DE$503,A19)</x:f>
        <x:v>0</x:v>
      </x:c>
      <x:c r="C19" s="372"/>
      <x:c r="D19" s="372" t="str">
        <x:v>Incomplete criteria</x:v>
      </x:c>
      <x:c r="E19" s="372" t="str">
        <x:v>Pending</x:v>
      </x:c>
      <x:c r="F19" s="372" t="str">
        <x:v>Complete all seven domains</x:v>
      </x:c>
      <x:c r="G19" s="370"/>
      <x:c r="H19" s="370"/>
      <x:c r="I19" s="370"/>
      <x:c r="J19" s="370"/>
    </x:row>
    <x:row r="20">
      <x:c r="A20" s="372" t="str">
        <x:v>Pending</x:v>
      </x:c>
      <x:c r="B20" s="372" t="n">
        <x:f>COUNTIF('Master Evidence'!$DE$4:$DE$503,A20)</x:f>
        <x:v>0</x:v>
      </x:c>
      <x:c r="C20" s="372"/>
      <x:c r="D20" s="372"/>
      <x:c r="E20" s="372"/>
      <x:c r="F20" s="372"/>
      <x:c r="G20" s="370"/>
      <x:c r="H20" s="370"/>
      <x:c r="I20" s="370"/>
      <x:c r="J20" s="370"/>
    </x:row>
  </x:sheetData>
  <x:mergeCells>
    <x:mergeCell ref="A1:J1"/>
    <x:mergeCell ref="A2:J2"/>
  </x:mergeCells>
  <x:conditionalFormatting sqref="A16:A20">
    <x:cfRule type="containsText" dxfId="44" priority="1" operator="containsText" text="HIGH"/>
    <x:cfRule type="containsText" dxfId="45" priority="2" operator="containsText" text="CONDITIONAL"/>
    <x:cfRule type="containsText" dxfId="46" priority="3" operator="containsText" text="LOW"/>
    <x:cfRule type="containsText" dxfId="47" priority="4" operator="containsText" text="Pending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4" hidden="0" customWidth="1"/>
    <x:col min="4" max="4" width="28" hidden="0" customWidth="1"/>
    <x:col min="5" max="5" width="20" hidden="0" customWidth="1"/>
    <x:col min="6" max="6" width="4" hidden="0" customWidth="1"/>
    <x:col min="7" max="7" width="30" hidden="0" customWidth="1"/>
    <x:col min="8" max="8" width="12" hidden="0" customWidth="1"/>
    <x:col min="9" max="9" width="40" hidden="0" customWidth="1"/>
    <x:col min="10" max="10" width="40" hidden="0" customWidth="1"/>
  </x:cols>
  <x:sheetData>
    <x:row r="1" ht="34" customHeight="1">
      <x:c r="A1" s="366" t="str">
        <x:v>CFIR × PROCTOR × ERIC IMPLEMENTATION MAP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CFIR maps determinants; Proctor maps outcomes; ERIC names strategies only when context and evidence support them.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3" t="str">
        <x:v>CFIR domain</x:v>
      </x:c>
      <x:c r="B4" s="373" t="str">
        <x:v>Evidence rows with content</x:v>
      </x:c>
      <x:c r="C4" s="370"/>
      <x:c r="D4" s="373" t="str">
        <x:v>Proctor outcome</x:v>
      </x:c>
      <x:c r="E4" s="373" t="str">
        <x:v>Evidence rows mentioning outcome</x:v>
      </x:c>
      <x:c r="F4" s="370"/>
      <x:c r="G4" s="381" t="str">
        <x:v>Implementation control</x:v>
      </x:c>
      <x:c r="H4" s="381" t="str">
        <x:v>Count</x:v>
      </x:c>
      <x:c r="I4" s="381" t="str">
        <x:v>Interpretation</x:v>
      </x:c>
      <x:c r="J4" s="381" t="str">
        <x:v>Rule</x:v>
      </x:c>
    </x:row>
    <x:row r="5">
      <x:c r="A5" s="370" t="str">
        <x:v>Innovation</x:v>
      </x:c>
      <x:c r="B5" s="370" t="n">
        <x:f>COUNTIF('Master Evidence'!$DG$4:$DG$503,"&lt;&gt;")</x:f>
        <x:v>0</x:v>
      </x:c>
      <x:c r="C5" s="370"/>
      <x:c r="D5" s="370" t="str">
        <x:v>Acceptability</x:v>
      </x:c>
      <x:c r="E5" s="370" t="n">
        <x:f>COUNTIF('Master Evidence'!$DL$4:$DL$503,"*Acceptability*")</x:f>
        <x:v>0</x:v>
      </x:c>
      <x:c r="F5" s="370"/>
      <x:c r="G5" s="370" t="str">
        <x:v>ERIC terminology populated</x:v>
      </x:c>
      <x:c r="H5" s="370" t="n">
        <x:f>COUNTIF('Master Evidence'!$DM$4:$DM$503,"&lt;&gt;")</x:f>
        <x:v>0</x:v>
      </x:c>
      <x:c r="I5" s="370" t="str">
        <x:v>Named strategies supported by evidence/context</x:v>
      </x:c>
      <x:c r="J5" s="370" t="str">
        <x:v>Do not prescribe from taxonomy alone</x:v>
      </x:c>
    </x:row>
    <x:row r="6">
      <x:c r="A6" s="370" t="str">
        <x:v>Outer Setting</x:v>
      </x:c>
      <x:c r="B6" s="370" t="n">
        <x:f>COUNTIF('Master Evidence'!$DH$4:$DH$503,"&lt;&gt;")</x:f>
        <x:v>0</x:v>
      </x:c>
      <x:c r="C6" s="370"/>
      <x:c r="D6" s="370" t="str">
        <x:v>Adoption</x:v>
      </x:c>
      <x:c r="E6" s="370" t="n">
        <x:f>COUNTIF('Master Evidence'!$DL$4:$DL$503,"*Adoption*")</x:f>
        <x:v>0</x:v>
      </x:c>
      <x:c r="F6" s="370"/>
      <x:c r="G6" s="370" t="str">
        <x:v>Barriers populated</x:v>
      </x:c>
      <x:c r="H6" s="370" t="n">
        <x:f>COUNTIF('Master Evidence'!$DN$4:$DN$503,"&lt;&gt;")</x:f>
        <x:v>0</x:v>
      </x:c>
      <x:c r="I6" s="370" t="str">
        <x:v>Implementation obstacles recorded</x:v>
      </x:c>
      <x:c r="J6" s="370" t="str">
        <x:v>Source/context trace required</x:v>
      </x:c>
    </x:row>
    <x:row r="7">
      <x:c r="A7" s="370" t="str">
        <x:v>Inner Setting</x:v>
      </x:c>
      <x:c r="B7" s="370" t="n">
        <x:f>COUNTIF('Master Evidence'!$DI$4:$DI$503,"&lt;&gt;")</x:f>
        <x:v>0</x:v>
      </x:c>
      <x:c r="C7" s="370"/>
      <x:c r="D7" s="370" t="str">
        <x:v>Appropriateness</x:v>
      </x:c>
      <x:c r="E7" s="370" t="n">
        <x:f>COUNTIF('Master Evidence'!$DL$4:$DL$503,"*Appropriateness*")</x:f>
        <x:v>0</x:v>
      </x:c>
      <x:c r="F7" s="370"/>
      <x:c r="G7" s="370" t="str">
        <x:v>Facilitators populated</x:v>
      </x:c>
      <x:c r="H7" s="370" t="n">
        <x:f>COUNTIF('Master Evidence'!$DO$4:$DO$503,"&lt;&gt;")</x:f>
        <x:v>0</x:v>
      </x:c>
      <x:c r="I7" s="370" t="str">
        <x:v>Enablers recorded</x:v>
      </x:c>
      <x:c r="J7" s="370" t="str">
        <x:v>Source/context trace required</x:v>
      </x:c>
    </x:row>
    <x:row r="8">
      <x:c r="A8" s="370" t="str">
        <x:v>Individuals</x:v>
      </x:c>
      <x:c r="B8" s="370" t="n">
        <x:f>COUNTIF('Master Evidence'!$DJ$4:$DJ$503,"&lt;&gt;")</x:f>
        <x:v>0</x:v>
      </x:c>
      <x:c r="C8" s="370"/>
      <x:c r="D8" s="370" t="str">
        <x:v>Cost</x:v>
      </x:c>
      <x:c r="E8" s="370" t="n">
        <x:f>COUNTIF('Master Evidence'!$DL$4:$DL$503,"*Cost*")</x:f>
        <x:v>0</x:v>
      </x:c>
      <x:c r="F8" s="370"/>
      <x:c r="G8" s="370" t="str">
        <x:v>Responsible actor populated</x:v>
      </x:c>
      <x:c r="H8" s="370" t="n">
        <x:f>COUNTIF('Master Evidence'!$DQ$4:$DQ$503,"&lt;&gt;")</x:f>
        <x:v>0</x:v>
      </x:c>
      <x:c r="I8" s="370" t="str">
        <x:v>Ownership specified</x:v>
      </x:c>
      <x:c r="J8" s="370" t="str">
        <x:v>Institutional feasibility required</x:v>
      </x:c>
    </x:row>
    <x:row r="9">
      <x:c r="A9" s="370" t="str">
        <x:v>Process</x:v>
      </x:c>
      <x:c r="B9" s="370" t="n">
        <x:f>COUNTIF('Master Evidence'!$DK$4:$DK$503,"&lt;&gt;")</x:f>
        <x:v>0</x:v>
      </x:c>
      <x:c r="C9" s="370"/>
      <x:c r="D9" s="370" t="str">
        <x:v>Feasibility</x:v>
      </x:c>
      <x:c r="E9" s="370" t="n">
        <x:f>COUNTIF('Master Evidence'!$DL$4:$DL$503,"*Feasibility*")</x:f>
        <x:v>0</x:v>
      </x:c>
      <x:c r="F9" s="370"/>
      <x:c r="G9" s="370" t="str">
        <x:v>Indicator populated</x:v>
      </x:c>
      <x:c r="H9" s="370" t="n">
        <x:f>COUNTIF('Master Evidence'!$DS$4:$DS$503,"&lt;&gt;")</x:f>
        <x:v>0</x:v>
      </x:c>
      <x:c r="I9" s="370" t="str">
        <x:v>Measurement plan specified</x:v>
      </x:c>
      <x:c r="J9" s="370" t="str">
        <x:v>Operational definition required</x:v>
      </x:c>
    </x:row>
    <x:row r="10">
      <x:c r="A10" s="370" t="str">
        <x:v>Any CFIR mapping</x:v>
      </x:c>
      <x:c r="B10" s="370" t="n">
        <x:f>COUNTIF('Master Evidence'!$DG$4:$DK$503,"&lt;&gt;")</x:f>
        <x:v>0</x:v>
      </x:c>
      <x:c r="C10" s="370"/>
      <x:c r="D10" s="370" t="str">
        <x:v>Fidelity</x:v>
      </x:c>
      <x:c r="E10" s="370" t="n">
        <x:f>COUNTIF('Master Evidence'!$DL$4:$DL$503,"*Fidelity*")</x:f>
        <x:v>0</x:v>
      </x:c>
      <x:c r="F10" s="370"/>
      <x:c r="G10" s="370"/>
      <x:c r="H10" s="370"/>
      <x:c r="I10" s="370"/>
      <x:c r="J10" s="370"/>
    </x:row>
    <x:row r="11">
      <x:c r="A11" s="370"/>
      <x:c r="B11" s="370"/>
      <x:c r="C11" s="370"/>
      <x:c r="D11" s="370" t="str">
        <x:v>Penetration / Reach</x:v>
      </x:c>
      <x:c r="E11" s="370" t="n">
        <x:f>COUNTIF('Master Evidence'!$DL$4:$DL$503,"*Penetration*")</x:f>
        <x:v>0</x:v>
      </x:c>
      <x:c r="F11" s="370"/>
      <x:c r="G11" s="370"/>
      <x:c r="H11" s="370"/>
      <x:c r="I11" s="370"/>
      <x:c r="J11" s="370"/>
    </x:row>
    <x:row r="12">
      <x:c r="A12" s="370"/>
      <x:c r="B12" s="370"/>
      <x:c r="C12" s="370"/>
      <x:c r="D12" s="370" t="str">
        <x:v>Sustainability</x:v>
      </x:c>
      <x:c r="E12" s="370" t="n">
        <x:f>COUNTIF('Master Evidence'!$DL$4:$DL$503,"*Sustainability*")</x:f>
        <x:v>0</x:v>
      </x:c>
      <x:c r="F12" s="370"/>
      <x:c r="G12" s="370"/>
      <x:c r="H12" s="370"/>
      <x:c r="I12" s="370"/>
      <x:c r="J12" s="370"/>
    </x:row>
  </x:sheetData>
  <x:mergeCells>
    <x:mergeCell ref="A1:J1"/>
    <x:mergeCell ref="A2:J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6" hidden="0" customWidth="1"/>
    <x:col min="3" max="3" width="24" hidden="0" customWidth="1"/>
    <x:col min="4" max="4" width="24" hidden="0" customWidth="1"/>
    <x:col min="5" max="5" width="52" hidden="0" customWidth="1"/>
    <x:col min="6" max="6" width="16" hidden="0" customWidth="1"/>
    <x:col min="7" max="7" width="14" hidden="0" customWidth="1"/>
    <x:col min="8" max="8" width="14" hidden="0" customWidth="1"/>
    <x:col min="9" max="9" width="30" hidden="0" customWidth="1"/>
    <x:col min="10" max="10" width="14" hidden="0" customWidth="1"/>
    <x:col min="11" max="11" width="16" hidden="0" customWidth="1"/>
    <x:col min="12" max="12" width="30" hidden="0" customWidth="1"/>
    <x:col min="13" max="13" width="34" hidden="0" customWidth="1"/>
    <x:col min="14" max="14" width="20" hidden="0" customWidth="1"/>
    <x:col min="15" max="15" width="26" hidden="0" customWidth="1"/>
    <x:col min="16" max="16" width="22" hidden="0" customWidth="1"/>
    <x:col min="17" max="17" width="22" hidden="0" customWidth="1"/>
    <x:col min="18" max="18" width="36" hidden="0" customWidth="1"/>
  </x:cols>
  <x:sheetData>
    <x:row r="1" ht="34" customHeight="1">
      <x:c r="A1" s="366" t="str">
        <x:v>STRUCTURED EVIDENCE-IDENTIFICATION PROVENANCE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7"/>
      <x:c r="Q1" s="367"/>
      <x:c r="R1" s="368"/>
    </x:row>
    <x:row r="2" ht="30" customHeight="1">
      <x:c r="A2" s="369" t="str">
        <x:v>Do not enter definitive production search results until ZOTERO PASS. Seed/pilot records must be explicitly labeled as development artifacts.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69"/>
      <x:c r="R2" s="369"/>
    </x:row>
    <x:row r="3">
      <x:c r="A3" s="371" t="str">
        <x:v>Search Record ID</x:v>
      </x:c>
      <x:c r="B3" s="371" t="str">
        <x:v>Evidence Family</x:v>
      </x:c>
      <x:c r="C3" s="371" t="str">
        <x:v>Database / Platform</x:v>
      </x:c>
      <x:c r="D3" s="371" t="str">
        <x:v>Interface / Provider</x:v>
      </x:c>
      <x:c r="E3" s="371" t="str">
        <x:v>Exact Search Strategy</x:v>
      </x:c>
      <x:c r="F3" s="371" t="str">
        <x:v>Strategy Version</x:v>
      </x:c>
      <x:c r="G3" s="371" t="str">
        <x:v>Search Date</x:v>
      </x:c>
      <x:c r="H3" s="371" t="str">
        <x:v>Access Date</x:v>
      </x:c>
      <x:c r="I3" s="371" t="str">
        <x:v>Filters / Limits</x:v>
      </x:c>
      <x:c r="J3" s="371" t="str">
        <x:v>Result Count</x:v>
      </x:c>
      <x:c r="K3" s="371" t="str">
        <x:v>Export Format</x:v>
      </x:c>
      <x:c r="L3" s="371" t="str">
        <x:v>Export File</x:v>
      </x:c>
      <x:c r="M3" s="371" t="str">
        <x:v>SHA-256 / Checksum</x:v>
      </x:c>
      <x:c r="N3" s="371" t="str">
        <x:v>Executor</x:v>
      </x:c>
      <x:c r="O3" s="371" t="str">
        <x:v>Peer Review / PRESS Status</x:v>
      </x:c>
      <x:c r="P3" s="371" t="str">
        <x:v>Zotero Import Status</x:v>
      </x:c>
      <x:c r="Q3" s="371" t="str">
        <x:v>Production vs Pilot</x:v>
      </x:c>
      <x:c r="R3" s="371" t="str">
        <x:v>Notes</x:v>
      </x:c>
    </x:row>
    <x:row r="4">
      <x:c r="A4" s="174"/>
      <x:c r="B4" s="174"/>
      <x:c r="C4" s="174"/>
      <x:c r="D4" s="174"/>
      <x:c r="E4" s="174"/>
      <x:c r="F4" s="174"/>
      <x:c r="G4" s="177"/>
      <x:c r="H4" s="177"/>
      <x:c r="I4" s="174"/>
      <x:c r="J4" s="178"/>
      <x:c r="K4" s="174"/>
      <x:c r="L4" s="174"/>
      <x:c r="M4" s="174"/>
      <x:c r="N4" s="174"/>
      <x:c r="O4" s="174"/>
      <x:c r="P4" s="174"/>
      <x:c r="Q4" s="174"/>
      <x:c r="R4" s="174"/>
    </x:row>
    <x:row r="5">
      <x:c r="A5" s="174"/>
      <x:c r="B5" s="174"/>
      <x:c r="C5" s="174"/>
      <x:c r="D5" s="174"/>
      <x:c r="E5" s="174"/>
      <x:c r="F5" s="174"/>
      <x:c r="G5" s="177"/>
      <x:c r="H5" s="177"/>
      <x:c r="I5" s="174"/>
      <x:c r="J5" s="178"/>
      <x:c r="K5" s="174"/>
      <x:c r="L5" s="174"/>
      <x:c r="M5" s="174"/>
      <x:c r="N5" s="174"/>
      <x:c r="O5" s="174"/>
      <x:c r="P5" s="174"/>
      <x:c r="Q5" s="174"/>
      <x:c r="R5" s="174"/>
    </x:row>
    <x:row r="6">
      <x:c r="A6" s="174"/>
      <x:c r="B6" s="174"/>
      <x:c r="C6" s="174"/>
      <x:c r="D6" s="174"/>
      <x:c r="E6" s="174"/>
      <x:c r="F6" s="174"/>
      <x:c r="G6" s="177"/>
      <x:c r="H6" s="177"/>
      <x:c r="I6" s="174"/>
      <x:c r="J6" s="178"/>
      <x:c r="K6" s="174"/>
      <x:c r="L6" s="174"/>
      <x:c r="M6" s="174"/>
      <x:c r="N6" s="174"/>
      <x:c r="O6" s="174"/>
      <x:c r="P6" s="174"/>
      <x:c r="Q6" s="174"/>
      <x:c r="R6" s="174"/>
    </x:row>
    <x:row r="7">
      <x:c r="A7" s="174"/>
      <x:c r="B7" s="174"/>
      <x:c r="C7" s="174"/>
      <x:c r="D7" s="174"/>
      <x:c r="E7" s="174"/>
      <x:c r="F7" s="174"/>
      <x:c r="G7" s="177"/>
      <x:c r="H7" s="177"/>
      <x:c r="I7" s="174"/>
      <x:c r="J7" s="178"/>
      <x:c r="K7" s="174"/>
      <x:c r="L7" s="174"/>
      <x:c r="M7" s="174"/>
      <x:c r="N7" s="174"/>
      <x:c r="O7" s="174"/>
      <x:c r="P7" s="174"/>
      <x:c r="Q7" s="174"/>
      <x:c r="R7" s="174"/>
    </x:row>
    <x:row r="8">
      <x:c r="A8" s="174"/>
      <x:c r="B8" s="174"/>
      <x:c r="C8" s="174"/>
      <x:c r="D8" s="174"/>
      <x:c r="E8" s="174"/>
      <x:c r="F8" s="174"/>
      <x:c r="G8" s="177"/>
      <x:c r="H8" s="177"/>
      <x:c r="I8" s="174"/>
      <x:c r="J8" s="178"/>
      <x:c r="K8" s="174"/>
      <x:c r="L8" s="174"/>
      <x:c r="M8" s="174"/>
      <x:c r="N8" s="174"/>
      <x:c r="O8" s="174"/>
      <x:c r="P8" s="174"/>
      <x:c r="Q8" s="174"/>
      <x:c r="R8" s="174"/>
    </x:row>
    <x:row r="9">
      <x:c r="A9" s="174"/>
      <x:c r="B9" s="174"/>
      <x:c r="C9" s="174"/>
      <x:c r="D9" s="174"/>
      <x:c r="E9" s="174"/>
      <x:c r="F9" s="174"/>
      <x:c r="G9" s="177"/>
      <x:c r="H9" s="177"/>
      <x:c r="I9" s="174"/>
      <x:c r="J9" s="178"/>
      <x:c r="K9" s="174"/>
      <x:c r="L9" s="174"/>
      <x:c r="M9" s="174"/>
      <x:c r="N9" s="174"/>
      <x:c r="O9" s="174"/>
      <x:c r="P9" s="174"/>
      <x:c r="Q9" s="174"/>
      <x:c r="R9" s="174"/>
    </x:row>
    <x:row r="10">
      <x:c r="A10" s="174"/>
      <x:c r="B10" s="174"/>
      <x:c r="C10" s="174"/>
      <x:c r="D10" s="174"/>
      <x:c r="E10" s="174"/>
      <x:c r="F10" s="174"/>
      <x:c r="G10" s="177"/>
      <x:c r="H10" s="177"/>
      <x:c r="I10" s="174"/>
      <x:c r="J10" s="178"/>
      <x:c r="K10" s="174"/>
      <x:c r="L10" s="174"/>
      <x:c r="M10" s="174"/>
      <x:c r="N10" s="174"/>
      <x:c r="O10" s="174"/>
      <x:c r="P10" s="174"/>
      <x:c r="Q10" s="174"/>
      <x:c r="R10" s="174"/>
    </x:row>
    <x:row r="11">
      <x:c r="A11" s="174"/>
      <x:c r="B11" s="174"/>
      <x:c r="C11" s="174"/>
      <x:c r="D11" s="174"/>
      <x:c r="E11" s="174"/>
      <x:c r="F11" s="174"/>
      <x:c r="G11" s="177"/>
      <x:c r="H11" s="177"/>
      <x:c r="I11" s="174"/>
      <x:c r="J11" s="178"/>
      <x:c r="K11" s="174"/>
      <x:c r="L11" s="174"/>
      <x:c r="M11" s="174"/>
      <x:c r="N11" s="174"/>
      <x:c r="O11" s="174"/>
      <x:c r="P11" s="174"/>
      <x:c r="Q11" s="174"/>
      <x:c r="R11" s="174"/>
    </x:row>
    <x:row r="12">
      <x:c r="A12" s="174"/>
      <x:c r="B12" s="174"/>
      <x:c r="C12" s="174"/>
      <x:c r="D12" s="174"/>
      <x:c r="E12" s="174"/>
      <x:c r="F12" s="174"/>
      <x:c r="G12" s="177"/>
      <x:c r="H12" s="177"/>
      <x:c r="I12" s="174"/>
      <x:c r="J12" s="178"/>
      <x:c r="K12" s="174"/>
      <x:c r="L12" s="174"/>
      <x:c r="M12" s="174"/>
      <x:c r="N12" s="174"/>
      <x:c r="O12" s="174"/>
      <x:c r="P12" s="174"/>
      <x:c r="Q12" s="174"/>
      <x:c r="R12" s="174"/>
    </x:row>
    <x:row r="13">
      <x:c r="A13" s="174"/>
      <x:c r="B13" s="174"/>
      <x:c r="C13" s="174"/>
      <x:c r="D13" s="174"/>
      <x:c r="E13" s="174"/>
      <x:c r="F13" s="174"/>
      <x:c r="G13" s="177"/>
      <x:c r="H13" s="177"/>
      <x:c r="I13" s="174"/>
      <x:c r="J13" s="178"/>
      <x:c r="K13" s="174"/>
      <x:c r="L13" s="174"/>
      <x:c r="M13" s="174"/>
      <x:c r="N13" s="174"/>
      <x:c r="O13" s="174"/>
      <x:c r="P13" s="174"/>
      <x:c r="Q13" s="174"/>
      <x:c r="R13" s="174"/>
    </x:row>
    <x:row r="14">
      <x:c r="A14" s="174"/>
      <x:c r="B14" s="174"/>
      <x:c r="C14" s="174"/>
      <x:c r="D14" s="174"/>
      <x:c r="E14" s="174"/>
      <x:c r="F14" s="174"/>
      <x:c r="G14" s="177"/>
      <x:c r="H14" s="177"/>
      <x:c r="I14" s="174"/>
      <x:c r="J14" s="178"/>
      <x:c r="K14" s="174"/>
      <x:c r="L14" s="174"/>
      <x:c r="M14" s="174"/>
      <x:c r="N14" s="174"/>
      <x:c r="O14" s="174"/>
      <x:c r="P14" s="174"/>
      <x:c r="Q14" s="174"/>
      <x:c r="R14" s="174"/>
    </x:row>
    <x:row r="15">
      <x:c r="A15" s="174"/>
      <x:c r="B15" s="174"/>
      <x:c r="C15" s="174"/>
      <x:c r="D15" s="174"/>
      <x:c r="E15" s="174"/>
      <x:c r="F15" s="174"/>
      <x:c r="G15" s="177"/>
      <x:c r="H15" s="177"/>
      <x:c r="I15" s="174"/>
      <x:c r="J15" s="178"/>
      <x:c r="K15" s="174"/>
      <x:c r="L15" s="174"/>
      <x:c r="M15" s="174"/>
      <x:c r="N15" s="174"/>
      <x:c r="O15" s="174"/>
      <x:c r="P15" s="174"/>
      <x:c r="Q15" s="174"/>
      <x:c r="R15" s="174"/>
    </x:row>
    <x:row r="16">
      <x:c r="A16" s="174"/>
      <x:c r="B16" s="174"/>
      <x:c r="C16" s="174"/>
      <x:c r="D16" s="174"/>
      <x:c r="E16" s="174"/>
      <x:c r="F16" s="174"/>
      <x:c r="G16" s="177"/>
      <x:c r="H16" s="177"/>
      <x:c r="I16" s="174"/>
      <x:c r="J16" s="178"/>
      <x:c r="K16" s="174"/>
      <x:c r="L16" s="174"/>
      <x:c r="M16" s="174"/>
      <x:c r="N16" s="174"/>
      <x:c r="O16" s="174"/>
      <x:c r="P16" s="174"/>
      <x:c r="Q16" s="174"/>
      <x:c r="R16" s="174"/>
    </x:row>
    <x:row r="17">
      <x:c r="A17" s="174"/>
      <x:c r="B17" s="174"/>
      <x:c r="C17" s="174"/>
      <x:c r="D17" s="174"/>
      <x:c r="E17" s="174"/>
      <x:c r="F17" s="174"/>
      <x:c r="G17" s="177"/>
      <x:c r="H17" s="177"/>
      <x:c r="I17" s="174"/>
      <x:c r="J17" s="178"/>
      <x:c r="K17" s="174"/>
      <x:c r="L17" s="174"/>
      <x:c r="M17" s="174"/>
      <x:c r="N17" s="174"/>
      <x:c r="O17" s="174"/>
      <x:c r="P17" s="174"/>
      <x:c r="Q17" s="174"/>
      <x:c r="R17" s="174"/>
    </x:row>
    <x:row r="18">
      <x:c r="A18" s="174"/>
      <x:c r="B18" s="174"/>
      <x:c r="C18" s="174"/>
      <x:c r="D18" s="174"/>
      <x:c r="E18" s="174"/>
      <x:c r="F18" s="174"/>
      <x:c r="G18" s="177"/>
      <x:c r="H18" s="177"/>
      <x:c r="I18" s="174"/>
      <x:c r="J18" s="178"/>
      <x:c r="K18" s="174"/>
      <x:c r="L18" s="174"/>
      <x:c r="M18" s="174"/>
      <x:c r="N18" s="174"/>
      <x:c r="O18" s="174"/>
      <x:c r="P18" s="174"/>
      <x:c r="Q18" s="174"/>
      <x:c r="R18" s="174"/>
    </x:row>
    <x:row r="19">
      <x:c r="A19" s="174"/>
      <x:c r="B19" s="174"/>
      <x:c r="C19" s="174"/>
      <x:c r="D19" s="174"/>
      <x:c r="E19" s="174"/>
      <x:c r="F19" s="174"/>
      <x:c r="G19" s="177"/>
      <x:c r="H19" s="177"/>
      <x:c r="I19" s="174"/>
      <x:c r="J19" s="178"/>
      <x:c r="K19" s="174"/>
      <x:c r="L19" s="174"/>
      <x:c r="M19" s="174"/>
      <x:c r="N19" s="174"/>
      <x:c r="O19" s="174"/>
      <x:c r="P19" s="174"/>
      <x:c r="Q19" s="174"/>
      <x:c r="R19" s="174"/>
    </x:row>
    <x:row r="20">
      <x:c r="A20" s="174"/>
      <x:c r="B20" s="174"/>
      <x:c r="C20" s="174"/>
      <x:c r="D20" s="174"/>
      <x:c r="E20" s="174"/>
      <x:c r="F20" s="174"/>
      <x:c r="G20" s="177"/>
      <x:c r="H20" s="177"/>
      <x:c r="I20" s="174"/>
      <x:c r="J20" s="178"/>
      <x:c r="K20" s="174"/>
      <x:c r="L20" s="174"/>
      <x:c r="M20" s="174"/>
      <x:c r="N20" s="174"/>
      <x:c r="O20" s="174"/>
      <x:c r="P20" s="174"/>
      <x:c r="Q20" s="174"/>
      <x:c r="R20" s="174"/>
    </x:row>
    <x:row r="21">
      <x:c r="A21" s="174"/>
      <x:c r="B21" s="174"/>
      <x:c r="C21" s="174"/>
      <x:c r="D21" s="174"/>
      <x:c r="E21" s="174"/>
      <x:c r="F21" s="174"/>
      <x:c r="G21" s="177"/>
      <x:c r="H21" s="177"/>
      <x:c r="I21" s="174"/>
      <x:c r="J21" s="178"/>
      <x:c r="K21" s="174"/>
      <x:c r="L21" s="174"/>
      <x:c r="M21" s="174"/>
      <x:c r="N21" s="174"/>
      <x:c r="O21" s="174"/>
      <x:c r="P21" s="174"/>
      <x:c r="Q21" s="174"/>
      <x:c r="R21" s="174"/>
    </x:row>
    <x:row r="22">
      <x:c r="A22" s="174"/>
      <x:c r="B22" s="174"/>
      <x:c r="C22" s="174"/>
      <x:c r="D22" s="174"/>
      <x:c r="E22" s="174"/>
      <x:c r="F22" s="174"/>
      <x:c r="G22" s="177"/>
      <x:c r="H22" s="177"/>
      <x:c r="I22" s="174"/>
      <x:c r="J22" s="178"/>
      <x:c r="K22" s="174"/>
      <x:c r="L22" s="174"/>
      <x:c r="M22" s="174"/>
      <x:c r="N22" s="174"/>
      <x:c r="O22" s="174"/>
      <x:c r="P22" s="174"/>
      <x:c r="Q22" s="174"/>
      <x:c r="R22" s="174"/>
    </x:row>
    <x:row r="23">
      <x:c r="A23" s="174"/>
      <x:c r="B23" s="174"/>
      <x:c r="C23" s="174"/>
      <x:c r="D23" s="174"/>
      <x:c r="E23" s="174"/>
      <x:c r="F23" s="174"/>
      <x:c r="G23" s="177"/>
      <x:c r="H23" s="177"/>
      <x:c r="I23" s="174"/>
      <x:c r="J23" s="178"/>
      <x:c r="K23" s="174"/>
      <x:c r="L23" s="174"/>
      <x:c r="M23" s="174"/>
      <x:c r="N23" s="174"/>
      <x:c r="O23" s="174"/>
      <x:c r="P23" s="174"/>
      <x:c r="Q23" s="174"/>
      <x:c r="R23" s="174"/>
    </x:row>
    <x:row r="24">
      <x:c r="A24" s="174"/>
      <x:c r="B24" s="174"/>
      <x:c r="C24" s="174"/>
      <x:c r="D24" s="174"/>
      <x:c r="E24" s="174"/>
      <x:c r="F24" s="174"/>
      <x:c r="G24" s="177"/>
      <x:c r="H24" s="177"/>
      <x:c r="I24" s="174"/>
      <x:c r="J24" s="178"/>
      <x:c r="K24" s="174"/>
      <x:c r="L24" s="174"/>
      <x:c r="M24" s="174"/>
      <x:c r="N24" s="174"/>
      <x:c r="O24" s="174"/>
      <x:c r="P24" s="174"/>
      <x:c r="Q24" s="174"/>
      <x:c r="R24" s="174"/>
    </x:row>
    <x:row r="25">
      <x:c r="A25" s="174"/>
      <x:c r="B25" s="174"/>
      <x:c r="C25" s="174"/>
      <x:c r="D25" s="174"/>
      <x:c r="E25" s="174"/>
      <x:c r="F25" s="174"/>
      <x:c r="G25" s="177"/>
      <x:c r="H25" s="177"/>
      <x:c r="I25" s="174"/>
      <x:c r="J25" s="178"/>
      <x:c r="K25" s="174"/>
      <x:c r="L25" s="174"/>
      <x:c r="M25" s="174"/>
      <x:c r="N25" s="174"/>
      <x:c r="O25" s="174"/>
      <x:c r="P25" s="174"/>
      <x:c r="Q25" s="174"/>
      <x:c r="R25" s="174"/>
    </x:row>
    <x:row r="26">
      <x:c r="A26" s="174"/>
      <x:c r="B26" s="174"/>
      <x:c r="C26" s="174"/>
      <x:c r="D26" s="174"/>
      <x:c r="E26" s="174"/>
      <x:c r="F26" s="174"/>
      <x:c r="G26" s="177"/>
      <x:c r="H26" s="177"/>
      <x:c r="I26" s="174"/>
      <x:c r="J26" s="178"/>
      <x:c r="K26" s="174"/>
      <x:c r="L26" s="174"/>
      <x:c r="M26" s="174"/>
      <x:c r="N26" s="174"/>
      <x:c r="O26" s="174"/>
      <x:c r="P26" s="174"/>
      <x:c r="Q26" s="174"/>
      <x:c r="R26" s="174"/>
    </x:row>
    <x:row r="27">
      <x:c r="A27" s="174"/>
      <x:c r="B27" s="174"/>
      <x:c r="C27" s="174"/>
      <x:c r="D27" s="174"/>
      <x:c r="E27" s="174"/>
      <x:c r="F27" s="174"/>
      <x:c r="G27" s="177"/>
      <x:c r="H27" s="177"/>
      <x:c r="I27" s="174"/>
      <x:c r="J27" s="178"/>
      <x:c r="K27" s="174"/>
      <x:c r="L27" s="174"/>
      <x:c r="M27" s="174"/>
      <x:c r="N27" s="174"/>
      <x:c r="O27" s="174"/>
      <x:c r="P27" s="174"/>
      <x:c r="Q27" s="174"/>
      <x:c r="R27" s="174"/>
    </x:row>
    <x:row r="28">
      <x:c r="A28" s="174"/>
      <x:c r="B28" s="174"/>
      <x:c r="C28" s="174"/>
      <x:c r="D28" s="174"/>
      <x:c r="E28" s="174"/>
      <x:c r="F28" s="174"/>
      <x:c r="G28" s="177"/>
      <x:c r="H28" s="177"/>
      <x:c r="I28" s="174"/>
      <x:c r="J28" s="178"/>
      <x:c r="K28" s="174"/>
      <x:c r="L28" s="174"/>
      <x:c r="M28" s="174"/>
      <x:c r="N28" s="174"/>
      <x:c r="O28" s="174"/>
      <x:c r="P28" s="174"/>
      <x:c r="Q28" s="174"/>
      <x:c r="R28" s="174"/>
    </x:row>
    <x:row r="29">
      <x:c r="A29" s="174"/>
      <x:c r="B29" s="174"/>
      <x:c r="C29" s="174"/>
      <x:c r="D29" s="174"/>
      <x:c r="E29" s="174"/>
      <x:c r="F29" s="174"/>
      <x:c r="G29" s="177"/>
      <x:c r="H29" s="177"/>
      <x:c r="I29" s="174"/>
      <x:c r="J29" s="178"/>
      <x:c r="K29" s="174"/>
      <x:c r="L29" s="174"/>
      <x:c r="M29" s="174"/>
      <x:c r="N29" s="174"/>
      <x:c r="O29" s="174"/>
      <x:c r="P29" s="174"/>
      <x:c r="Q29" s="174"/>
      <x:c r="R29" s="174"/>
    </x:row>
    <x:row r="30">
      <x:c r="A30" s="174"/>
      <x:c r="B30" s="174"/>
      <x:c r="C30" s="174"/>
      <x:c r="D30" s="174"/>
      <x:c r="E30" s="174"/>
      <x:c r="F30" s="174"/>
      <x:c r="G30" s="177"/>
      <x:c r="H30" s="177"/>
      <x:c r="I30" s="174"/>
      <x:c r="J30" s="178"/>
      <x:c r="K30" s="174"/>
      <x:c r="L30" s="174"/>
      <x:c r="M30" s="174"/>
      <x:c r="N30" s="174"/>
      <x:c r="O30" s="174"/>
      <x:c r="P30" s="174"/>
      <x:c r="Q30" s="174"/>
      <x:c r="R30" s="174"/>
    </x:row>
    <x:row r="31">
      <x:c r="A31" s="174"/>
      <x:c r="B31" s="174"/>
      <x:c r="C31" s="174"/>
      <x:c r="D31" s="174"/>
      <x:c r="E31" s="174"/>
      <x:c r="F31" s="174"/>
      <x:c r="G31" s="177"/>
      <x:c r="H31" s="177"/>
      <x:c r="I31" s="174"/>
      <x:c r="J31" s="178"/>
      <x:c r="K31" s="174"/>
      <x:c r="L31" s="174"/>
      <x:c r="M31" s="174"/>
      <x:c r="N31" s="174"/>
      <x:c r="O31" s="174"/>
      <x:c r="P31" s="174"/>
      <x:c r="Q31" s="174"/>
      <x:c r="R31" s="174"/>
    </x:row>
    <x:row r="32">
      <x:c r="A32" s="174"/>
      <x:c r="B32" s="174"/>
      <x:c r="C32" s="174"/>
      <x:c r="D32" s="174"/>
      <x:c r="E32" s="174"/>
      <x:c r="F32" s="174"/>
      <x:c r="G32" s="177"/>
      <x:c r="H32" s="177"/>
      <x:c r="I32" s="174"/>
      <x:c r="J32" s="178"/>
      <x:c r="K32" s="174"/>
      <x:c r="L32" s="174"/>
      <x:c r="M32" s="174"/>
      <x:c r="N32" s="174"/>
      <x:c r="O32" s="174"/>
      <x:c r="P32" s="174"/>
      <x:c r="Q32" s="174"/>
      <x:c r="R32" s="174"/>
    </x:row>
    <x:row r="33">
      <x:c r="A33" s="174"/>
      <x:c r="B33" s="174"/>
      <x:c r="C33" s="174"/>
      <x:c r="D33" s="174"/>
      <x:c r="E33" s="174"/>
      <x:c r="F33" s="174"/>
      <x:c r="G33" s="177"/>
      <x:c r="H33" s="177"/>
      <x:c r="I33" s="174"/>
      <x:c r="J33" s="178"/>
      <x:c r="K33" s="174"/>
      <x:c r="L33" s="174"/>
      <x:c r="M33" s="174"/>
      <x:c r="N33" s="174"/>
      <x:c r="O33" s="174"/>
      <x:c r="P33" s="174"/>
      <x:c r="Q33" s="174"/>
      <x:c r="R33" s="174"/>
    </x:row>
    <x:row r="34">
      <x:c r="A34" s="174"/>
      <x:c r="B34" s="174"/>
      <x:c r="C34" s="174"/>
      <x:c r="D34" s="174"/>
      <x:c r="E34" s="174"/>
      <x:c r="F34" s="174"/>
      <x:c r="G34" s="177"/>
      <x:c r="H34" s="177"/>
      <x:c r="I34" s="174"/>
      <x:c r="J34" s="178"/>
      <x:c r="K34" s="174"/>
      <x:c r="L34" s="174"/>
      <x:c r="M34" s="174"/>
      <x:c r="N34" s="174"/>
      <x:c r="O34" s="174"/>
      <x:c r="P34" s="174"/>
      <x:c r="Q34" s="174"/>
      <x:c r="R34" s="174"/>
    </x:row>
    <x:row r="35">
      <x:c r="A35" s="174"/>
      <x:c r="B35" s="174"/>
      <x:c r="C35" s="174"/>
      <x:c r="D35" s="174"/>
      <x:c r="E35" s="174"/>
      <x:c r="F35" s="174"/>
      <x:c r="G35" s="177"/>
      <x:c r="H35" s="177"/>
      <x:c r="I35" s="174"/>
      <x:c r="J35" s="178"/>
      <x:c r="K35" s="174"/>
      <x:c r="L35" s="174"/>
      <x:c r="M35" s="174"/>
      <x:c r="N35" s="174"/>
      <x:c r="O35" s="174"/>
      <x:c r="P35" s="174"/>
      <x:c r="Q35" s="174"/>
      <x:c r="R35" s="174"/>
    </x:row>
    <x:row r="36">
      <x:c r="A36" s="174"/>
      <x:c r="B36" s="174"/>
      <x:c r="C36" s="174"/>
      <x:c r="D36" s="174"/>
      <x:c r="E36" s="174"/>
      <x:c r="F36" s="174"/>
      <x:c r="G36" s="177"/>
      <x:c r="H36" s="177"/>
      <x:c r="I36" s="174"/>
      <x:c r="J36" s="178"/>
      <x:c r="K36" s="174"/>
      <x:c r="L36" s="174"/>
      <x:c r="M36" s="174"/>
      <x:c r="N36" s="174"/>
      <x:c r="O36" s="174"/>
      <x:c r="P36" s="174"/>
      <x:c r="Q36" s="174"/>
      <x:c r="R36" s="174"/>
    </x:row>
    <x:row r="37">
      <x:c r="A37" s="174"/>
      <x:c r="B37" s="174"/>
      <x:c r="C37" s="174"/>
      <x:c r="D37" s="174"/>
      <x:c r="E37" s="174"/>
      <x:c r="F37" s="174"/>
      <x:c r="G37" s="177"/>
      <x:c r="H37" s="177"/>
      <x:c r="I37" s="174"/>
      <x:c r="J37" s="178"/>
      <x:c r="K37" s="174"/>
      <x:c r="L37" s="174"/>
      <x:c r="M37" s="174"/>
      <x:c r="N37" s="174"/>
      <x:c r="O37" s="174"/>
      <x:c r="P37" s="174"/>
      <x:c r="Q37" s="174"/>
      <x:c r="R37" s="174"/>
    </x:row>
    <x:row r="38">
      <x:c r="A38" s="174"/>
      <x:c r="B38" s="174"/>
      <x:c r="C38" s="174"/>
      <x:c r="D38" s="174"/>
      <x:c r="E38" s="174"/>
      <x:c r="F38" s="174"/>
      <x:c r="G38" s="177"/>
      <x:c r="H38" s="177"/>
      <x:c r="I38" s="174"/>
      <x:c r="J38" s="178"/>
      <x:c r="K38" s="174"/>
      <x:c r="L38" s="174"/>
      <x:c r="M38" s="174"/>
      <x:c r="N38" s="174"/>
      <x:c r="O38" s="174"/>
      <x:c r="P38" s="174"/>
      <x:c r="Q38" s="174"/>
      <x:c r="R38" s="174"/>
    </x:row>
    <x:row r="39">
      <x:c r="A39" s="174"/>
      <x:c r="B39" s="174"/>
      <x:c r="C39" s="174"/>
      <x:c r="D39" s="174"/>
      <x:c r="E39" s="174"/>
      <x:c r="F39" s="174"/>
      <x:c r="G39" s="177"/>
      <x:c r="H39" s="177"/>
      <x:c r="I39" s="174"/>
      <x:c r="J39" s="178"/>
      <x:c r="K39" s="174"/>
      <x:c r="L39" s="174"/>
      <x:c r="M39" s="174"/>
      <x:c r="N39" s="174"/>
      <x:c r="O39" s="174"/>
      <x:c r="P39" s="174"/>
      <x:c r="Q39" s="174"/>
      <x:c r="R39" s="174"/>
    </x:row>
    <x:row r="40">
      <x:c r="A40" s="174"/>
      <x:c r="B40" s="174"/>
      <x:c r="C40" s="174"/>
      <x:c r="D40" s="174"/>
      <x:c r="E40" s="174"/>
      <x:c r="F40" s="174"/>
      <x:c r="G40" s="177"/>
      <x:c r="H40" s="177"/>
      <x:c r="I40" s="174"/>
      <x:c r="J40" s="178"/>
      <x:c r="K40" s="174"/>
      <x:c r="L40" s="174"/>
      <x:c r="M40" s="174"/>
      <x:c r="N40" s="174"/>
      <x:c r="O40" s="174"/>
      <x:c r="P40" s="174"/>
      <x:c r="Q40" s="174"/>
      <x:c r="R40" s="174"/>
    </x:row>
    <x:row r="41">
      <x:c r="A41" s="174"/>
      <x:c r="B41" s="174"/>
      <x:c r="C41" s="174"/>
      <x:c r="D41" s="174"/>
      <x:c r="E41" s="174"/>
      <x:c r="F41" s="174"/>
      <x:c r="G41" s="177"/>
      <x:c r="H41" s="177"/>
      <x:c r="I41" s="174"/>
      <x:c r="J41" s="178"/>
      <x:c r="K41" s="174"/>
      <x:c r="L41" s="174"/>
      <x:c r="M41" s="174"/>
      <x:c r="N41" s="174"/>
      <x:c r="O41" s="174"/>
      <x:c r="P41" s="174"/>
      <x:c r="Q41" s="174"/>
      <x:c r="R41" s="174"/>
    </x:row>
    <x:row r="42">
      <x:c r="A42" s="174"/>
      <x:c r="B42" s="174"/>
      <x:c r="C42" s="174"/>
      <x:c r="D42" s="174"/>
      <x:c r="E42" s="174"/>
      <x:c r="F42" s="174"/>
      <x:c r="G42" s="177"/>
      <x:c r="H42" s="177"/>
      <x:c r="I42" s="174"/>
      <x:c r="J42" s="178"/>
      <x:c r="K42" s="174"/>
      <x:c r="L42" s="174"/>
      <x:c r="M42" s="174"/>
      <x:c r="N42" s="174"/>
      <x:c r="O42" s="174"/>
      <x:c r="P42" s="174"/>
      <x:c r="Q42" s="174"/>
      <x:c r="R42" s="174"/>
    </x:row>
    <x:row r="43">
      <x:c r="A43" s="174"/>
      <x:c r="B43" s="174"/>
      <x:c r="C43" s="174"/>
      <x:c r="D43" s="174"/>
      <x:c r="E43" s="174"/>
      <x:c r="F43" s="174"/>
      <x:c r="G43" s="177"/>
      <x:c r="H43" s="177"/>
      <x:c r="I43" s="174"/>
      <x:c r="J43" s="178"/>
      <x:c r="K43" s="174"/>
      <x:c r="L43" s="174"/>
      <x:c r="M43" s="174"/>
      <x:c r="N43" s="174"/>
      <x:c r="O43" s="174"/>
      <x:c r="P43" s="174"/>
      <x:c r="Q43" s="174"/>
      <x:c r="R43" s="174"/>
    </x:row>
    <x:row r="44">
      <x:c r="A44" s="174"/>
      <x:c r="B44" s="174"/>
      <x:c r="C44" s="174"/>
      <x:c r="D44" s="174"/>
      <x:c r="E44" s="174"/>
      <x:c r="F44" s="174"/>
      <x:c r="G44" s="177"/>
      <x:c r="H44" s="177"/>
      <x:c r="I44" s="174"/>
      <x:c r="J44" s="178"/>
      <x:c r="K44" s="174"/>
      <x:c r="L44" s="174"/>
      <x:c r="M44" s="174"/>
      <x:c r="N44" s="174"/>
      <x:c r="O44" s="174"/>
      <x:c r="P44" s="174"/>
      <x:c r="Q44" s="174"/>
      <x:c r="R44" s="174"/>
    </x:row>
    <x:row r="45">
      <x:c r="A45" s="174"/>
      <x:c r="B45" s="174"/>
      <x:c r="C45" s="174"/>
      <x:c r="D45" s="174"/>
      <x:c r="E45" s="174"/>
      <x:c r="F45" s="174"/>
      <x:c r="G45" s="177"/>
      <x:c r="H45" s="177"/>
      <x:c r="I45" s="174"/>
      <x:c r="J45" s="178"/>
      <x:c r="K45" s="174"/>
      <x:c r="L45" s="174"/>
      <x:c r="M45" s="174"/>
      <x:c r="N45" s="174"/>
      <x:c r="O45" s="174"/>
      <x:c r="P45" s="174"/>
      <x:c r="Q45" s="174"/>
      <x:c r="R45" s="174"/>
    </x:row>
    <x:row r="46">
      <x:c r="A46" s="174"/>
      <x:c r="B46" s="174"/>
      <x:c r="C46" s="174"/>
      <x:c r="D46" s="174"/>
      <x:c r="E46" s="174"/>
      <x:c r="F46" s="174"/>
      <x:c r="G46" s="177"/>
      <x:c r="H46" s="177"/>
      <x:c r="I46" s="174"/>
      <x:c r="J46" s="178"/>
      <x:c r="K46" s="174"/>
      <x:c r="L46" s="174"/>
      <x:c r="M46" s="174"/>
      <x:c r="N46" s="174"/>
      <x:c r="O46" s="174"/>
      <x:c r="P46" s="174"/>
      <x:c r="Q46" s="174"/>
      <x:c r="R46" s="174"/>
    </x:row>
    <x:row r="47">
      <x:c r="A47" s="174"/>
      <x:c r="B47" s="174"/>
      <x:c r="C47" s="174"/>
      <x:c r="D47" s="174"/>
      <x:c r="E47" s="174"/>
      <x:c r="F47" s="174"/>
      <x:c r="G47" s="177"/>
      <x:c r="H47" s="177"/>
      <x:c r="I47" s="174"/>
      <x:c r="J47" s="178"/>
      <x:c r="K47" s="174"/>
      <x:c r="L47" s="174"/>
      <x:c r="M47" s="174"/>
      <x:c r="N47" s="174"/>
      <x:c r="O47" s="174"/>
      <x:c r="P47" s="174"/>
      <x:c r="Q47" s="174"/>
      <x:c r="R47" s="174"/>
    </x:row>
    <x:row r="48">
      <x:c r="A48" s="174"/>
      <x:c r="B48" s="174"/>
      <x:c r="C48" s="174"/>
      <x:c r="D48" s="174"/>
      <x:c r="E48" s="174"/>
      <x:c r="F48" s="174"/>
      <x:c r="G48" s="177"/>
      <x:c r="H48" s="177"/>
      <x:c r="I48" s="174"/>
      <x:c r="J48" s="178"/>
      <x:c r="K48" s="174"/>
      <x:c r="L48" s="174"/>
      <x:c r="M48" s="174"/>
      <x:c r="N48" s="174"/>
      <x:c r="O48" s="174"/>
      <x:c r="P48" s="174"/>
      <x:c r="Q48" s="174"/>
      <x:c r="R48" s="174"/>
    </x:row>
    <x:row r="49">
      <x:c r="A49" s="174"/>
      <x:c r="B49" s="174"/>
      <x:c r="C49" s="174"/>
      <x:c r="D49" s="174"/>
      <x:c r="E49" s="174"/>
      <x:c r="F49" s="174"/>
      <x:c r="G49" s="177"/>
      <x:c r="H49" s="177"/>
      <x:c r="I49" s="174"/>
      <x:c r="J49" s="178"/>
      <x:c r="K49" s="174"/>
      <x:c r="L49" s="174"/>
      <x:c r="M49" s="174"/>
      <x:c r="N49" s="174"/>
      <x:c r="O49" s="174"/>
      <x:c r="P49" s="174"/>
      <x:c r="Q49" s="174"/>
      <x:c r="R49" s="174"/>
    </x:row>
    <x:row r="50">
      <x:c r="A50" s="174"/>
      <x:c r="B50" s="174"/>
      <x:c r="C50" s="174"/>
      <x:c r="D50" s="174"/>
      <x:c r="E50" s="174"/>
      <x:c r="F50" s="174"/>
      <x:c r="G50" s="177"/>
      <x:c r="H50" s="177"/>
      <x:c r="I50" s="174"/>
      <x:c r="J50" s="178"/>
      <x:c r="K50" s="174"/>
      <x:c r="L50" s="174"/>
      <x:c r="M50" s="174"/>
      <x:c r="N50" s="174"/>
      <x:c r="O50" s="174"/>
      <x:c r="P50" s="174"/>
      <x:c r="Q50" s="174"/>
      <x:c r="R50" s="174"/>
    </x:row>
    <x:row r="51">
      <x:c r="A51" s="174"/>
      <x:c r="B51" s="174"/>
      <x:c r="C51" s="174"/>
      <x:c r="D51" s="174"/>
      <x:c r="E51" s="174"/>
      <x:c r="F51" s="174"/>
      <x:c r="G51" s="177"/>
      <x:c r="H51" s="177"/>
      <x:c r="I51" s="174"/>
      <x:c r="J51" s="178"/>
      <x:c r="K51" s="174"/>
      <x:c r="L51" s="174"/>
      <x:c r="M51" s="174"/>
      <x:c r="N51" s="174"/>
      <x:c r="O51" s="174"/>
      <x:c r="P51" s="174"/>
      <x:c r="Q51" s="174"/>
      <x:c r="R51" s="174"/>
    </x:row>
    <x:row r="52">
      <x:c r="A52" s="174"/>
      <x:c r="B52" s="174"/>
      <x:c r="C52" s="174"/>
      <x:c r="D52" s="174"/>
      <x:c r="E52" s="174"/>
      <x:c r="F52" s="174"/>
      <x:c r="G52" s="177"/>
      <x:c r="H52" s="177"/>
      <x:c r="I52" s="174"/>
      <x:c r="J52" s="178"/>
      <x:c r="K52" s="174"/>
      <x:c r="L52" s="174"/>
      <x:c r="M52" s="174"/>
      <x:c r="N52" s="174"/>
      <x:c r="O52" s="174"/>
      <x:c r="P52" s="174"/>
      <x:c r="Q52" s="174"/>
      <x:c r="R52" s="174"/>
    </x:row>
    <x:row r="53">
      <x:c r="A53" s="174"/>
      <x:c r="B53" s="174"/>
      <x:c r="C53" s="174"/>
      <x:c r="D53" s="174"/>
      <x:c r="E53" s="174"/>
      <x:c r="F53" s="174"/>
      <x:c r="G53" s="177"/>
      <x:c r="H53" s="177"/>
      <x:c r="I53" s="174"/>
      <x:c r="J53" s="178"/>
      <x:c r="K53" s="174"/>
      <x:c r="L53" s="174"/>
      <x:c r="M53" s="174"/>
      <x:c r="N53" s="174"/>
      <x:c r="O53" s="174"/>
      <x:c r="P53" s="174"/>
      <x:c r="Q53" s="174"/>
      <x:c r="R53" s="174"/>
    </x:row>
    <x:row r="54">
      <x:c r="A54" s="174"/>
      <x:c r="B54" s="174"/>
      <x:c r="C54" s="174"/>
      <x:c r="D54" s="174"/>
      <x:c r="E54" s="174"/>
      <x:c r="F54" s="174"/>
      <x:c r="G54" s="177"/>
      <x:c r="H54" s="177"/>
      <x:c r="I54" s="174"/>
      <x:c r="J54" s="178"/>
      <x:c r="K54" s="174"/>
      <x:c r="L54" s="174"/>
      <x:c r="M54" s="174"/>
      <x:c r="N54" s="174"/>
      <x:c r="O54" s="174"/>
      <x:c r="P54" s="174"/>
      <x:c r="Q54" s="174"/>
      <x:c r="R54" s="174"/>
    </x:row>
    <x:row r="55">
      <x:c r="A55" s="174"/>
      <x:c r="B55" s="174"/>
      <x:c r="C55" s="174"/>
      <x:c r="D55" s="174"/>
      <x:c r="E55" s="174"/>
      <x:c r="F55" s="174"/>
      <x:c r="G55" s="177"/>
      <x:c r="H55" s="177"/>
      <x:c r="I55" s="174"/>
      <x:c r="J55" s="178"/>
      <x:c r="K55" s="174"/>
      <x:c r="L55" s="174"/>
      <x:c r="M55" s="174"/>
      <x:c r="N55" s="174"/>
      <x:c r="O55" s="174"/>
      <x:c r="P55" s="174"/>
      <x:c r="Q55" s="174"/>
      <x:c r="R55" s="174"/>
    </x:row>
    <x:row r="56">
      <x:c r="A56" s="174"/>
      <x:c r="B56" s="174"/>
      <x:c r="C56" s="174"/>
      <x:c r="D56" s="174"/>
      <x:c r="E56" s="174"/>
      <x:c r="F56" s="174"/>
      <x:c r="G56" s="177"/>
      <x:c r="H56" s="177"/>
      <x:c r="I56" s="174"/>
      <x:c r="J56" s="178"/>
      <x:c r="K56" s="174"/>
      <x:c r="L56" s="174"/>
      <x:c r="M56" s="174"/>
      <x:c r="N56" s="174"/>
      <x:c r="O56" s="174"/>
      <x:c r="P56" s="174"/>
      <x:c r="Q56" s="174"/>
      <x:c r="R56" s="174"/>
    </x:row>
    <x:row r="57">
      <x:c r="A57" s="174"/>
      <x:c r="B57" s="174"/>
      <x:c r="C57" s="174"/>
      <x:c r="D57" s="174"/>
      <x:c r="E57" s="174"/>
      <x:c r="F57" s="174"/>
      <x:c r="G57" s="177"/>
      <x:c r="H57" s="177"/>
      <x:c r="I57" s="174"/>
      <x:c r="J57" s="178"/>
      <x:c r="K57" s="174"/>
      <x:c r="L57" s="174"/>
      <x:c r="M57" s="174"/>
      <x:c r="N57" s="174"/>
      <x:c r="O57" s="174"/>
      <x:c r="P57" s="174"/>
      <x:c r="Q57" s="174"/>
      <x:c r="R57" s="174"/>
    </x:row>
    <x:row r="58">
      <x:c r="A58" s="174"/>
      <x:c r="B58" s="174"/>
      <x:c r="C58" s="174"/>
      <x:c r="D58" s="174"/>
      <x:c r="E58" s="174"/>
      <x:c r="F58" s="174"/>
      <x:c r="G58" s="177"/>
      <x:c r="H58" s="177"/>
      <x:c r="I58" s="174"/>
      <x:c r="J58" s="178"/>
      <x:c r="K58" s="174"/>
      <x:c r="L58" s="174"/>
      <x:c r="M58" s="174"/>
      <x:c r="N58" s="174"/>
      <x:c r="O58" s="174"/>
      <x:c r="P58" s="174"/>
      <x:c r="Q58" s="174"/>
      <x:c r="R58" s="174"/>
    </x:row>
    <x:row r="59">
      <x:c r="A59" s="174"/>
      <x:c r="B59" s="174"/>
      <x:c r="C59" s="174"/>
      <x:c r="D59" s="174"/>
      <x:c r="E59" s="174"/>
      <x:c r="F59" s="174"/>
      <x:c r="G59" s="177"/>
      <x:c r="H59" s="177"/>
      <x:c r="I59" s="174"/>
      <x:c r="J59" s="178"/>
      <x:c r="K59" s="174"/>
      <x:c r="L59" s="174"/>
      <x:c r="M59" s="174"/>
      <x:c r="N59" s="174"/>
      <x:c r="O59" s="174"/>
      <x:c r="P59" s="174"/>
      <x:c r="Q59" s="174"/>
      <x:c r="R59" s="174"/>
    </x:row>
    <x:row r="60">
      <x:c r="A60" s="174"/>
      <x:c r="B60" s="174"/>
      <x:c r="C60" s="174"/>
      <x:c r="D60" s="174"/>
      <x:c r="E60" s="174"/>
      <x:c r="F60" s="174"/>
      <x:c r="G60" s="177"/>
      <x:c r="H60" s="177"/>
      <x:c r="I60" s="174"/>
      <x:c r="J60" s="178"/>
      <x:c r="K60" s="174"/>
      <x:c r="L60" s="174"/>
      <x:c r="M60" s="174"/>
      <x:c r="N60" s="174"/>
      <x:c r="O60" s="174"/>
      <x:c r="P60" s="174"/>
      <x:c r="Q60" s="174"/>
      <x:c r="R60" s="174"/>
    </x:row>
    <x:row r="61">
      <x:c r="A61" s="174"/>
      <x:c r="B61" s="174"/>
      <x:c r="C61" s="174"/>
      <x:c r="D61" s="174"/>
      <x:c r="E61" s="174"/>
      <x:c r="F61" s="174"/>
      <x:c r="G61" s="177"/>
      <x:c r="H61" s="177"/>
      <x:c r="I61" s="174"/>
      <x:c r="J61" s="178"/>
      <x:c r="K61" s="174"/>
      <x:c r="L61" s="174"/>
      <x:c r="M61" s="174"/>
      <x:c r="N61" s="174"/>
      <x:c r="O61" s="174"/>
      <x:c r="P61" s="174"/>
      <x:c r="Q61" s="174"/>
      <x:c r="R61" s="174"/>
    </x:row>
    <x:row r="62">
      <x:c r="A62" s="174"/>
      <x:c r="B62" s="174"/>
      <x:c r="C62" s="174"/>
      <x:c r="D62" s="174"/>
      <x:c r="E62" s="174"/>
      <x:c r="F62" s="174"/>
      <x:c r="G62" s="177"/>
      <x:c r="H62" s="177"/>
      <x:c r="I62" s="174"/>
      <x:c r="J62" s="178"/>
      <x:c r="K62" s="174"/>
      <x:c r="L62" s="174"/>
      <x:c r="M62" s="174"/>
      <x:c r="N62" s="174"/>
      <x:c r="O62" s="174"/>
      <x:c r="P62" s="174"/>
      <x:c r="Q62" s="174"/>
      <x:c r="R62" s="174"/>
    </x:row>
    <x:row r="63">
      <x:c r="A63" s="174"/>
      <x:c r="B63" s="174"/>
      <x:c r="C63" s="174"/>
      <x:c r="D63" s="174"/>
      <x:c r="E63" s="174"/>
      <x:c r="F63" s="174"/>
      <x:c r="G63" s="177"/>
      <x:c r="H63" s="177"/>
      <x:c r="I63" s="174"/>
      <x:c r="J63" s="178"/>
      <x:c r="K63" s="174"/>
      <x:c r="L63" s="174"/>
      <x:c r="M63" s="174"/>
      <x:c r="N63" s="174"/>
      <x:c r="O63" s="174"/>
      <x:c r="P63" s="174"/>
      <x:c r="Q63" s="174"/>
      <x:c r="R63" s="174"/>
    </x:row>
    <x:row r="64">
      <x:c r="A64" s="174"/>
      <x:c r="B64" s="174"/>
      <x:c r="C64" s="174"/>
      <x:c r="D64" s="174"/>
      <x:c r="E64" s="174"/>
      <x:c r="F64" s="174"/>
      <x:c r="G64" s="177"/>
      <x:c r="H64" s="177"/>
      <x:c r="I64" s="174"/>
      <x:c r="J64" s="178"/>
      <x:c r="K64" s="174"/>
      <x:c r="L64" s="174"/>
      <x:c r="M64" s="174"/>
      <x:c r="N64" s="174"/>
      <x:c r="O64" s="174"/>
      <x:c r="P64" s="174"/>
      <x:c r="Q64" s="174"/>
      <x:c r="R64" s="174"/>
    </x:row>
    <x:row r="65">
      <x:c r="A65" s="174"/>
      <x:c r="B65" s="174"/>
      <x:c r="C65" s="174"/>
      <x:c r="D65" s="174"/>
      <x:c r="E65" s="174"/>
      <x:c r="F65" s="174"/>
      <x:c r="G65" s="177"/>
      <x:c r="H65" s="177"/>
      <x:c r="I65" s="174"/>
      <x:c r="J65" s="178"/>
      <x:c r="K65" s="174"/>
      <x:c r="L65" s="174"/>
      <x:c r="M65" s="174"/>
      <x:c r="N65" s="174"/>
      <x:c r="O65" s="174"/>
      <x:c r="P65" s="174"/>
      <x:c r="Q65" s="174"/>
      <x:c r="R65" s="174"/>
    </x:row>
    <x:row r="66">
      <x:c r="A66" s="174"/>
      <x:c r="B66" s="174"/>
      <x:c r="C66" s="174"/>
      <x:c r="D66" s="174"/>
      <x:c r="E66" s="174"/>
      <x:c r="F66" s="174"/>
      <x:c r="G66" s="177"/>
      <x:c r="H66" s="177"/>
      <x:c r="I66" s="174"/>
      <x:c r="J66" s="178"/>
      <x:c r="K66" s="174"/>
      <x:c r="L66" s="174"/>
      <x:c r="M66" s="174"/>
      <x:c r="N66" s="174"/>
      <x:c r="O66" s="174"/>
      <x:c r="P66" s="174"/>
      <x:c r="Q66" s="174"/>
      <x:c r="R66" s="174"/>
    </x:row>
    <x:row r="67">
      <x:c r="A67" s="174"/>
      <x:c r="B67" s="174"/>
      <x:c r="C67" s="174"/>
      <x:c r="D67" s="174"/>
      <x:c r="E67" s="174"/>
      <x:c r="F67" s="174"/>
      <x:c r="G67" s="177"/>
      <x:c r="H67" s="177"/>
      <x:c r="I67" s="174"/>
      <x:c r="J67" s="178"/>
      <x:c r="K67" s="174"/>
      <x:c r="L67" s="174"/>
      <x:c r="M67" s="174"/>
      <x:c r="N67" s="174"/>
      <x:c r="O67" s="174"/>
      <x:c r="P67" s="174"/>
      <x:c r="Q67" s="174"/>
      <x:c r="R67" s="174"/>
    </x:row>
    <x:row r="68">
      <x:c r="A68" s="174"/>
      <x:c r="B68" s="174"/>
      <x:c r="C68" s="174"/>
      <x:c r="D68" s="174"/>
      <x:c r="E68" s="174"/>
      <x:c r="F68" s="174"/>
      <x:c r="G68" s="177"/>
      <x:c r="H68" s="177"/>
      <x:c r="I68" s="174"/>
      <x:c r="J68" s="178"/>
      <x:c r="K68" s="174"/>
      <x:c r="L68" s="174"/>
      <x:c r="M68" s="174"/>
      <x:c r="N68" s="174"/>
      <x:c r="O68" s="174"/>
      <x:c r="P68" s="174"/>
      <x:c r="Q68" s="174"/>
      <x:c r="R68" s="174"/>
    </x:row>
    <x:row r="69">
      <x:c r="A69" s="174"/>
      <x:c r="B69" s="174"/>
      <x:c r="C69" s="174"/>
      <x:c r="D69" s="174"/>
      <x:c r="E69" s="174"/>
      <x:c r="F69" s="174"/>
      <x:c r="G69" s="177"/>
      <x:c r="H69" s="177"/>
      <x:c r="I69" s="174"/>
      <x:c r="J69" s="178"/>
      <x:c r="K69" s="174"/>
      <x:c r="L69" s="174"/>
      <x:c r="M69" s="174"/>
      <x:c r="N69" s="174"/>
      <x:c r="O69" s="174"/>
      <x:c r="P69" s="174"/>
      <x:c r="Q69" s="174"/>
      <x:c r="R69" s="174"/>
    </x:row>
    <x:row r="70">
      <x:c r="A70" s="174"/>
      <x:c r="B70" s="174"/>
      <x:c r="C70" s="174"/>
      <x:c r="D70" s="174"/>
      <x:c r="E70" s="174"/>
      <x:c r="F70" s="174"/>
      <x:c r="G70" s="177"/>
      <x:c r="H70" s="177"/>
      <x:c r="I70" s="174"/>
      <x:c r="J70" s="178"/>
      <x:c r="K70" s="174"/>
      <x:c r="L70" s="174"/>
      <x:c r="M70" s="174"/>
      <x:c r="N70" s="174"/>
      <x:c r="O70" s="174"/>
      <x:c r="P70" s="174"/>
      <x:c r="Q70" s="174"/>
      <x:c r="R70" s="174"/>
    </x:row>
    <x:row r="71">
      <x:c r="A71" s="174"/>
      <x:c r="B71" s="174"/>
      <x:c r="C71" s="174"/>
      <x:c r="D71" s="174"/>
      <x:c r="E71" s="174"/>
      <x:c r="F71" s="174"/>
      <x:c r="G71" s="177"/>
      <x:c r="H71" s="177"/>
      <x:c r="I71" s="174"/>
      <x:c r="J71" s="178"/>
      <x:c r="K71" s="174"/>
      <x:c r="L71" s="174"/>
      <x:c r="M71" s="174"/>
      <x:c r="N71" s="174"/>
      <x:c r="O71" s="174"/>
      <x:c r="P71" s="174"/>
      <x:c r="Q71" s="174"/>
      <x:c r="R71" s="174"/>
    </x:row>
    <x:row r="72">
      <x:c r="A72" s="174"/>
      <x:c r="B72" s="174"/>
      <x:c r="C72" s="174"/>
      <x:c r="D72" s="174"/>
      <x:c r="E72" s="174"/>
      <x:c r="F72" s="174"/>
      <x:c r="G72" s="177"/>
      <x:c r="H72" s="177"/>
      <x:c r="I72" s="174"/>
      <x:c r="J72" s="178"/>
      <x:c r="K72" s="174"/>
      <x:c r="L72" s="174"/>
      <x:c r="M72" s="174"/>
      <x:c r="N72" s="174"/>
      <x:c r="O72" s="174"/>
      <x:c r="P72" s="174"/>
      <x:c r="Q72" s="174"/>
      <x:c r="R72" s="174"/>
    </x:row>
    <x:row r="73">
      <x:c r="A73" s="174"/>
      <x:c r="B73" s="174"/>
      <x:c r="C73" s="174"/>
      <x:c r="D73" s="174"/>
      <x:c r="E73" s="174"/>
      <x:c r="F73" s="174"/>
      <x:c r="G73" s="177"/>
      <x:c r="H73" s="177"/>
      <x:c r="I73" s="174"/>
      <x:c r="J73" s="178"/>
      <x:c r="K73" s="174"/>
      <x:c r="L73" s="174"/>
      <x:c r="M73" s="174"/>
      <x:c r="N73" s="174"/>
      <x:c r="O73" s="174"/>
      <x:c r="P73" s="174"/>
      <x:c r="Q73" s="174"/>
      <x:c r="R73" s="174"/>
    </x:row>
    <x:row r="74">
      <x:c r="A74" s="174"/>
      <x:c r="B74" s="174"/>
      <x:c r="C74" s="174"/>
      <x:c r="D74" s="174"/>
      <x:c r="E74" s="174"/>
      <x:c r="F74" s="174"/>
      <x:c r="G74" s="177"/>
      <x:c r="H74" s="177"/>
      <x:c r="I74" s="174"/>
      <x:c r="J74" s="178"/>
      <x:c r="K74" s="174"/>
      <x:c r="L74" s="174"/>
      <x:c r="M74" s="174"/>
      <x:c r="N74" s="174"/>
      <x:c r="O74" s="174"/>
      <x:c r="P74" s="174"/>
      <x:c r="Q74" s="174"/>
      <x:c r="R74" s="174"/>
    </x:row>
    <x:row r="75">
      <x:c r="A75" s="174"/>
      <x:c r="B75" s="174"/>
      <x:c r="C75" s="174"/>
      <x:c r="D75" s="174"/>
      <x:c r="E75" s="174"/>
      <x:c r="F75" s="174"/>
      <x:c r="G75" s="177"/>
      <x:c r="H75" s="177"/>
      <x:c r="I75" s="174"/>
      <x:c r="J75" s="178"/>
      <x:c r="K75" s="174"/>
      <x:c r="L75" s="174"/>
      <x:c r="M75" s="174"/>
      <x:c r="N75" s="174"/>
      <x:c r="O75" s="174"/>
      <x:c r="P75" s="174"/>
      <x:c r="Q75" s="174"/>
      <x:c r="R75" s="174"/>
    </x:row>
    <x:row r="76">
      <x:c r="A76" s="174"/>
      <x:c r="B76" s="174"/>
      <x:c r="C76" s="174"/>
      <x:c r="D76" s="174"/>
      <x:c r="E76" s="174"/>
      <x:c r="F76" s="174"/>
      <x:c r="G76" s="177"/>
      <x:c r="H76" s="177"/>
      <x:c r="I76" s="174"/>
      <x:c r="J76" s="178"/>
      <x:c r="K76" s="174"/>
      <x:c r="L76" s="174"/>
      <x:c r="M76" s="174"/>
      <x:c r="N76" s="174"/>
      <x:c r="O76" s="174"/>
      <x:c r="P76" s="174"/>
      <x:c r="Q76" s="174"/>
      <x:c r="R76" s="174"/>
    </x:row>
    <x:row r="77">
      <x:c r="A77" s="174"/>
      <x:c r="B77" s="174"/>
      <x:c r="C77" s="174"/>
      <x:c r="D77" s="174"/>
      <x:c r="E77" s="174"/>
      <x:c r="F77" s="174"/>
      <x:c r="G77" s="177"/>
      <x:c r="H77" s="177"/>
      <x:c r="I77" s="174"/>
      <x:c r="J77" s="178"/>
      <x:c r="K77" s="174"/>
      <x:c r="L77" s="174"/>
      <x:c r="M77" s="174"/>
      <x:c r="N77" s="174"/>
      <x:c r="O77" s="174"/>
      <x:c r="P77" s="174"/>
      <x:c r="Q77" s="174"/>
      <x:c r="R77" s="174"/>
    </x:row>
    <x:row r="78">
      <x:c r="A78" s="174"/>
      <x:c r="B78" s="174"/>
      <x:c r="C78" s="174"/>
      <x:c r="D78" s="174"/>
      <x:c r="E78" s="174"/>
      <x:c r="F78" s="174"/>
      <x:c r="G78" s="177"/>
      <x:c r="H78" s="177"/>
      <x:c r="I78" s="174"/>
      <x:c r="J78" s="178"/>
      <x:c r="K78" s="174"/>
      <x:c r="L78" s="174"/>
      <x:c r="M78" s="174"/>
      <x:c r="N78" s="174"/>
      <x:c r="O78" s="174"/>
      <x:c r="P78" s="174"/>
      <x:c r="Q78" s="174"/>
      <x:c r="R78" s="174"/>
    </x:row>
    <x:row r="79">
      <x:c r="A79" s="174"/>
      <x:c r="B79" s="174"/>
      <x:c r="C79" s="174"/>
      <x:c r="D79" s="174"/>
      <x:c r="E79" s="174"/>
      <x:c r="F79" s="174"/>
      <x:c r="G79" s="177"/>
      <x:c r="H79" s="177"/>
      <x:c r="I79" s="174"/>
      <x:c r="J79" s="178"/>
      <x:c r="K79" s="174"/>
      <x:c r="L79" s="174"/>
      <x:c r="M79" s="174"/>
      <x:c r="N79" s="174"/>
      <x:c r="O79" s="174"/>
      <x:c r="P79" s="174"/>
      <x:c r="Q79" s="174"/>
      <x:c r="R79" s="174"/>
    </x:row>
    <x:row r="80">
      <x:c r="A80" s="174"/>
      <x:c r="B80" s="174"/>
      <x:c r="C80" s="174"/>
      <x:c r="D80" s="174"/>
      <x:c r="E80" s="174"/>
      <x:c r="F80" s="174"/>
      <x:c r="G80" s="177"/>
      <x:c r="H80" s="177"/>
      <x:c r="I80" s="174"/>
      <x:c r="J80" s="178"/>
      <x:c r="K80" s="174"/>
      <x:c r="L80" s="174"/>
      <x:c r="M80" s="174"/>
      <x:c r="N80" s="174"/>
      <x:c r="O80" s="174"/>
      <x:c r="P80" s="174"/>
      <x:c r="Q80" s="174"/>
      <x:c r="R80" s="174"/>
    </x:row>
    <x:row r="81">
      <x:c r="A81" s="174"/>
      <x:c r="B81" s="174"/>
      <x:c r="C81" s="174"/>
      <x:c r="D81" s="174"/>
      <x:c r="E81" s="174"/>
      <x:c r="F81" s="174"/>
      <x:c r="G81" s="177"/>
      <x:c r="H81" s="177"/>
      <x:c r="I81" s="174"/>
      <x:c r="J81" s="178"/>
      <x:c r="K81" s="174"/>
      <x:c r="L81" s="174"/>
      <x:c r="M81" s="174"/>
      <x:c r="N81" s="174"/>
      <x:c r="O81" s="174"/>
      <x:c r="P81" s="174"/>
      <x:c r="Q81" s="174"/>
      <x:c r="R81" s="174"/>
    </x:row>
    <x:row r="82">
      <x:c r="A82" s="174"/>
      <x:c r="B82" s="174"/>
      <x:c r="C82" s="174"/>
      <x:c r="D82" s="174"/>
      <x:c r="E82" s="174"/>
      <x:c r="F82" s="174"/>
      <x:c r="G82" s="177"/>
      <x:c r="H82" s="177"/>
      <x:c r="I82" s="174"/>
      <x:c r="J82" s="178"/>
      <x:c r="K82" s="174"/>
      <x:c r="L82" s="174"/>
      <x:c r="M82" s="174"/>
      <x:c r="N82" s="174"/>
      <x:c r="O82" s="174"/>
      <x:c r="P82" s="174"/>
      <x:c r="Q82" s="174"/>
      <x:c r="R82" s="174"/>
    </x:row>
    <x:row r="83">
      <x:c r="A83" s="174"/>
      <x:c r="B83" s="174"/>
      <x:c r="C83" s="174"/>
      <x:c r="D83" s="174"/>
      <x:c r="E83" s="174"/>
      <x:c r="F83" s="174"/>
      <x:c r="G83" s="177"/>
      <x:c r="H83" s="177"/>
      <x:c r="I83" s="174"/>
      <x:c r="J83" s="178"/>
      <x:c r="K83" s="174"/>
      <x:c r="L83" s="174"/>
      <x:c r="M83" s="174"/>
      <x:c r="N83" s="174"/>
      <x:c r="O83" s="174"/>
      <x:c r="P83" s="174"/>
      <x:c r="Q83" s="174"/>
      <x:c r="R83" s="174"/>
    </x:row>
    <x:row r="84">
      <x:c r="A84" s="174"/>
      <x:c r="B84" s="174"/>
      <x:c r="C84" s="174"/>
      <x:c r="D84" s="174"/>
      <x:c r="E84" s="174"/>
      <x:c r="F84" s="174"/>
      <x:c r="G84" s="177"/>
      <x:c r="H84" s="177"/>
      <x:c r="I84" s="174"/>
      <x:c r="J84" s="178"/>
      <x:c r="K84" s="174"/>
      <x:c r="L84" s="174"/>
      <x:c r="M84" s="174"/>
      <x:c r="N84" s="174"/>
      <x:c r="O84" s="174"/>
      <x:c r="P84" s="174"/>
      <x:c r="Q84" s="174"/>
      <x:c r="R84" s="174"/>
    </x:row>
    <x:row r="85">
      <x:c r="A85" s="174"/>
      <x:c r="B85" s="174"/>
      <x:c r="C85" s="174"/>
      <x:c r="D85" s="174"/>
      <x:c r="E85" s="174"/>
      <x:c r="F85" s="174"/>
      <x:c r="G85" s="177"/>
      <x:c r="H85" s="177"/>
      <x:c r="I85" s="174"/>
      <x:c r="J85" s="178"/>
      <x:c r="K85" s="174"/>
      <x:c r="L85" s="174"/>
      <x:c r="M85" s="174"/>
      <x:c r="N85" s="174"/>
      <x:c r="O85" s="174"/>
      <x:c r="P85" s="174"/>
      <x:c r="Q85" s="174"/>
      <x:c r="R85" s="174"/>
    </x:row>
    <x:row r="86">
      <x:c r="A86" s="174"/>
      <x:c r="B86" s="174"/>
      <x:c r="C86" s="174"/>
      <x:c r="D86" s="174"/>
      <x:c r="E86" s="174"/>
      <x:c r="F86" s="174"/>
      <x:c r="G86" s="177"/>
      <x:c r="H86" s="177"/>
      <x:c r="I86" s="174"/>
      <x:c r="J86" s="178"/>
      <x:c r="K86" s="174"/>
      <x:c r="L86" s="174"/>
      <x:c r="M86" s="174"/>
      <x:c r="N86" s="174"/>
      <x:c r="O86" s="174"/>
      <x:c r="P86" s="174"/>
      <x:c r="Q86" s="174"/>
      <x:c r="R86" s="174"/>
    </x:row>
    <x:row r="87">
      <x:c r="A87" s="174"/>
      <x:c r="B87" s="174"/>
      <x:c r="C87" s="174"/>
      <x:c r="D87" s="174"/>
      <x:c r="E87" s="174"/>
      <x:c r="F87" s="174"/>
      <x:c r="G87" s="177"/>
      <x:c r="H87" s="177"/>
      <x:c r="I87" s="174"/>
      <x:c r="J87" s="178"/>
      <x:c r="K87" s="174"/>
      <x:c r="L87" s="174"/>
      <x:c r="M87" s="174"/>
      <x:c r="N87" s="174"/>
      <x:c r="O87" s="174"/>
      <x:c r="P87" s="174"/>
      <x:c r="Q87" s="174"/>
      <x:c r="R87" s="174"/>
    </x:row>
    <x:row r="88">
      <x:c r="A88" s="174"/>
      <x:c r="B88" s="174"/>
      <x:c r="C88" s="174"/>
      <x:c r="D88" s="174"/>
      <x:c r="E88" s="174"/>
      <x:c r="F88" s="174"/>
      <x:c r="G88" s="177"/>
      <x:c r="H88" s="177"/>
      <x:c r="I88" s="174"/>
      <x:c r="J88" s="178"/>
      <x:c r="K88" s="174"/>
      <x:c r="L88" s="174"/>
      <x:c r="M88" s="174"/>
      <x:c r="N88" s="174"/>
      <x:c r="O88" s="174"/>
      <x:c r="P88" s="174"/>
      <x:c r="Q88" s="174"/>
      <x:c r="R88" s="174"/>
    </x:row>
    <x:row r="89">
      <x:c r="A89" s="174"/>
      <x:c r="B89" s="174"/>
      <x:c r="C89" s="174"/>
      <x:c r="D89" s="174"/>
      <x:c r="E89" s="174"/>
      <x:c r="F89" s="174"/>
      <x:c r="G89" s="177"/>
      <x:c r="H89" s="177"/>
      <x:c r="I89" s="174"/>
      <x:c r="J89" s="178"/>
      <x:c r="K89" s="174"/>
      <x:c r="L89" s="174"/>
      <x:c r="M89" s="174"/>
      <x:c r="N89" s="174"/>
      <x:c r="O89" s="174"/>
      <x:c r="P89" s="174"/>
      <x:c r="Q89" s="174"/>
      <x:c r="R89" s="174"/>
    </x:row>
    <x:row r="90">
      <x:c r="A90" s="174"/>
      <x:c r="B90" s="174"/>
      <x:c r="C90" s="174"/>
      <x:c r="D90" s="174"/>
      <x:c r="E90" s="174"/>
      <x:c r="F90" s="174"/>
      <x:c r="G90" s="177"/>
      <x:c r="H90" s="177"/>
      <x:c r="I90" s="174"/>
      <x:c r="J90" s="178"/>
      <x:c r="K90" s="174"/>
      <x:c r="L90" s="174"/>
      <x:c r="M90" s="174"/>
      <x:c r="N90" s="174"/>
      <x:c r="O90" s="174"/>
      <x:c r="P90" s="174"/>
      <x:c r="Q90" s="174"/>
      <x:c r="R90" s="174"/>
    </x:row>
    <x:row r="91">
      <x:c r="A91" s="174"/>
      <x:c r="B91" s="174"/>
      <x:c r="C91" s="174"/>
      <x:c r="D91" s="174"/>
      <x:c r="E91" s="174"/>
      <x:c r="F91" s="174"/>
      <x:c r="G91" s="177"/>
      <x:c r="H91" s="177"/>
      <x:c r="I91" s="174"/>
      <x:c r="J91" s="178"/>
      <x:c r="K91" s="174"/>
      <x:c r="L91" s="174"/>
      <x:c r="M91" s="174"/>
      <x:c r="N91" s="174"/>
      <x:c r="O91" s="174"/>
      <x:c r="P91" s="174"/>
      <x:c r="Q91" s="174"/>
      <x:c r="R91" s="174"/>
    </x:row>
    <x:row r="92">
      <x:c r="A92" s="174"/>
      <x:c r="B92" s="174"/>
      <x:c r="C92" s="174"/>
      <x:c r="D92" s="174"/>
      <x:c r="E92" s="174"/>
      <x:c r="F92" s="174"/>
      <x:c r="G92" s="177"/>
      <x:c r="H92" s="177"/>
      <x:c r="I92" s="174"/>
      <x:c r="J92" s="178"/>
      <x:c r="K92" s="174"/>
      <x:c r="L92" s="174"/>
      <x:c r="M92" s="174"/>
      <x:c r="N92" s="174"/>
      <x:c r="O92" s="174"/>
      <x:c r="P92" s="174"/>
      <x:c r="Q92" s="174"/>
      <x:c r="R92" s="174"/>
    </x:row>
    <x:row r="93">
      <x:c r="A93" s="174"/>
      <x:c r="B93" s="174"/>
      <x:c r="C93" s="174"/>
      <x:c r="D93" s="174"/>
      <x:c r="E93" s="174"/>
      <x:c r="F93" s="174"/>
      <x:c r="G93" s="177"/>
      <x:c r="H93" s="177"/>
      <x:c r="I93" s="174"/>
      <x:c r="J93" s="178"/>
      <x:c r="K93" s="174"/>
      <x:c r="L93" s="174"/>
      <x:c r="M93" s="174"/>
      <x:c r="N93" s="174"/>
      <x:c r="O93" s="174"/>
      <x:c r="P93" s="174"/>
      <x:c r="Q93" s="174"/>
      <x:c r="R93" s="174"/>
    </x:row>
    <x:row r="94">
      <x:c r="A94" s="174"/>
      <x:c r="B94" s="174"/>
      <x:c r="C94" s="174"/>
      <x:c r="D94" s="174"/>
      <x:c r="E94" s="174"/>
      <x:c r="F94" s="174"/>
      <x:c r="G94" s="177"/>
      <x:c r="H94" s="177"/>
      <x:c r="I94" s="174"/>
      <x:c r="J94" s="178"/>
      <x:c r="K94" s="174"/>
      <x:c r="L94" s="174"/>
      <x:c r="M94" s="174"/>
      <x:c r="N94" s="174"/>
      <x:c r="O94" s="174"/>
      <x:c r="P94" s="174"/>
      <x:c r="Q94" s="174"/>
      <x:c r="R94" s="174"/>
    </x:row>
    <x:row r="95">
      <x:c r="A95" s="174"/>
      <x:c r="B95" s="174"/>
      <x:c r="C95" s="174"/>
      <x:c r="D95" s="174"/>
      <x:c r="E95" s="174"/>
      <x:c r="F95" s="174"/>
      <x:c r="G95" s="177"/>
      <x:c r="H95" s="177"/>
      <x:c r="I95" s="174"/>
      <x:c r="J95" s="178"/>
      <x:c r="K95" s="174"/>
      <x:c r="L95" s="174"/>
      <x:c r="M95" s="174"/>
      <x:c r="N95" s="174"/>
      <x:c r="O95" s="174"/>
      <x:c r="P95" s="174"/>
      <x:c r="Q95" s="174"/>
      <x:c r="R95" s="174"/>
    </x:row>
    <x:row r="96">
      <x:c r="A96" s="174"/>
      <x:c r="B96" s="174"/>
      <x:c r="C96" s="174"/>
      <x:c r="D96" s="174"/>
      <x:c r="E96" s="174"/>
      <x:c r="F96" s="174"/>
      <x:c r="G96" s="177"/>
      <x:c r="H96" s="177"/>
      <x:c r="I96" s="174"/>
      <x:c r="J96" s="178"/>
      <x:c r="K96" s="174"/>
      <x:c r="L96" s="174"/>
      <x:c r="M96" s="174"/>
      <x:c r="N96" s="174"/>
      <x:c r="O96" s="174"/>
      <x:c r="P96" s="174"/>
      <x:c r="Q96" s="174"/>
      <x:c r="R96" s="174"/>
    </x:row>
    <x:row r="97">
      <x:c r="A97" s="174"/>
      <x:c r="B97" s="174"/>
      <x:c r="C97" s="174"/>
      <x:c r="D97" s="174"/>
      <x:c r="E97" s="174"/>
      <x:c r="F97" s="174"/>
      <x:c r="G97" s="177"/>
      <x:c r="H97" s="177"/>
      <x:c r="I97" s="174"/>
      <x:c r="J97" s="178"/>
      <x:c r="K97" s="174"/>
      <x:c r="L97" s="174"/>
      <x:c r="M97" s="174"/>
      <x:c r="N97" s="174"/>
      <x:c r="O97" s="174"/>
      <x:c r="P97" s="174"/>
      <x:c r="Q97" s="174"/>
      <x:c r="R97" s="174"/>
    </x:row>
    <x:row r="98">
      <x:c r="A98" s="174"/>
      <x:c r="B98" s="174"/>
      <x:c r="C98" s="174"/>
      <x:c r="D98" s="174"/>
      <x:c r="E98" s="174"/>
      <x:c r="F98" s="174"/>
      <x:c r="G98" s="177"/>
      <x:c r="H98" s="177"/>
      <x:c r="I98" s="174"/>
      <x:c r="J98" s="178"/>
      <x:c r="K98" s="174"/>
      <x:c r="L98" s="174"/>
      <x:c r="M98" s="174"/>
      <x:c r="N98" s="174"/>
      <x:c r="O98" s="174"/>
      <x:c r="P98" s="174"/>
      <x:c r="Q98" s="174"/>
      <x:c r="R98" s="174"/>
    </x:row>
    <x:row r="99">
      <x:c r="A99" s="174"/>
      <x:c r="B99" s="174"/>
      <x:c r="C99" s="174"/>
      <x:c r="D99" s="174"/>
      <x:c r="E99" s="174"/>
      <x:c r="F99" s="174"/>
      <x:c r="G99" s="177"/>
      <x:c r="H99" s="177"/>
      <x:c r="I99" s="174"/>
      <x:c r="J99" s="178"/>
      <x:c r="K99" s="174"/>
      <x:c r="L99" s="174"/>
      <x:c r="M99" s="174"/>
      <x:c r="N99" s="174"/>
      <x:c r="O99" s="174"/>
      <x:c r="P99" s="174"/>
      <x:c r="Q99" s="174"/>
      <x:c r="R99" s="174"/>
    </x:row>
    <x:row r="100">
      <x:c r="A100" s="174"/>
      <x:c r="B100" s="174"/>
      <x:c r="C100" s="174"/>
      <x:c r="D100" s="174"/>
      <x:c r="E100" s="174"/>
      <x:c r="F100" s="174"/>
      <x:c r="G100" s="177"/>
      <x:c r="H100" s="177"/>
      <x:c r="I100" s="174"/>
      <x:c r="J100" s="178"/>
      <x:c r="K100" s="174"/>
      <x:c r="L100" s="174"/>
      <x:c r="M100" s="174"/>
      <x:c r="N100" s="174"/>
      <x:c r="O100" s="174"/>
      <x:c r="P100" s="174"/>
      <x:c r="Q100" s="174"/>
      <x:c r="R100" s="174"/>
    </x:row>
    <x:row r="101">
      <x:c r="A101" s="174"/>
      <x:c r="B101" s="174"/>
      <x:c r="C101" s="174"/>
      <x:c r="D101" s="174"/>
      <x:c r="E101" s="174"/>
      <x:c r="F101" s="174"/>
      <x:c r="G101" s="177"/>
      <x:c r="H101" s="177"/>
      <x:c r="I101" s="174"/>
      <x:c r="J101" s="178"/>
      <x:c r="K101" s="174"/>
      <x:c r="L101" s="174"/>
      <x:c r="M101" s="174"/>
      <x:c r="N101" s="174"/>
      <x:c r="O101" s="174"/>
      <x:c r="P101" s="174"/>
      <x:c r="Q101" s="174"/>
      <x:c r="R101" s="174"/>
    </x:row>
    <x:row r="102">
      <x:c r="A102" s="174"/>
      <x:c r="B102" s="174"/>
      <x:c r="C102" s="174"/>
      <x:c r="D102" s="174"/>
      <x:c r="E102" s="174"/>
      <x:c r="F102" s="174"/>
      <x:c r="G102" s="177"/>
      <x:c r="H102" s="177"/>
      <x:c r="I102" s="174"/>
      <x:c r="J102" s="178"/>
      <x:c r="K102" s="174"/>
      <x:c r="L102" s="174"/>
      <x:c r="M102" s="174"/>
      <x:c r="N102" s="174"/>
      <x:c r="O102" s="174"/>
      <x:c r="P102" s="174"/>
      <x:c r="Q102" s="174"/>
      <x:c r="R102" s="174"/>
    </x:row>
    <x:row r="103">
      <x:c r="A103" s="174"/>
      <x:c r="B103" s="174"/>
      <x:c r="C103" s="174"/>
      <x:c r="D103" s="174"/>
      <x:c r="E103" s="174"/>
      <x:c r="F103" s="174"/>
      <x:c r="G103" s="177"/>
      <x:c r="H103" s="177"/>
      <x:c r="I103" s="174"/>
      <x:c r="J103" s="178"/>
      <x:c r="K103" s="174"/>
      <x:c r="L103" s="174"/>
      <x:c r="M103" s="174"/>
      <x:c r="N103" s="174"/>
      <x:c r="O103" s="174"/>
      <x:c r="P103" s="174"/>
      <x:c r="Q103" s="174"/>
      <x:c r="R103" s="174"/>
    </x:row>
    <x:row r="104">
      <x:c r="A104" s="174"/>
      <x:c r="B104" s="174"/>
      <x:c r="C104" s="174"/>
      <x:c r="D104" s="174"/>
      <x:c r="E104" s="174"/>
      <x:c r="F104" s="174"/>
      <x:c r="G104" s="177"/>
      <x:c r="H104" s="177"/>
      <x:c r="I104" s="174"/>
      <x:c r="J104" s="178"/>
      <x:c r="K104" s="174"/>
      <x:c r="L104" s="174"/>
      <x:c r="M104" s="174"/>
      <x:c r="N104" s="174"/>
      <x:c r="O104" s="174"/>
      <x:c r="P104" s="174"/>
      <x:c r="Q104" s="174"/>
      <x:c r="R104" s="174"/>
    </x:row>
    <x:row r="105">
      <x:c r="A105" s="174"/>
      <x:c r="B105" s="174"/>
      <x:c r="C105" s="174"/>
      <x:c r="D105" s="174"/>
      <x:c r="E105" s="174"/>
      <x:c r="F105" s="174"/>
      <x:c r="G105" s="177"/>
      <x:c r="H105" s="177"/>
      <x:c r="I105" s="174"/>
      <x:c r="J105" s="178"/>
      <x:c r="K105" s="174"/>
      <x:c r="L105" s="174"/>
      <x:c r="M105" s="174"/>
      <x:c r="N105" s="174"/>
      <x:c r="O105" s="174"/>
      <x:c r="P105" s="174"/>
      <x:c r="Q105" s="174"/>
      <x:c r="R105" s="174"/>
    </x:row>
    <x:row r="106">
      <x:c r="A106" s="174"/>
      <x:c r="B106" s="174"/>
      <x:c r="C106" s="174"/>
      <x:c r="D106" s="174"/>
      <x:c r="E106" s="174"/>
      <x:c r="F106" s="174"/>
      <x:c r="G106" s="177"/>
      <x:c r="H106" s="177"/>
      <x:c r="I106" s="174"/>
      <x:c r="J106" s="178"/>
      <x:c r="K106" s="174"/>
      <x:c r="L106" s="174"/>
      <x:c r="M106" s="174"/>
      <x:c r="N106" s="174"/>
      <x:c r="O106" s="174"/>
      <x:c r="P106" s="174"/>
      <x:c r="Q106" s="174"/>
      <x:c r="R106" s="174"/>
    </x:row>
    <x:row r="107">
      <x:c r="A107" s="174"/>
      <x:c r="B107" s="174"/>
      <x:c r="C107" s="174"/>
      <x:c r="D107" s="174"/>
      <x:c r="E107" s="174"/>
      <x:c r="F107" s="174"/>
      <x:c r="G107" s="177"/>
      <x:c r="H107" s="177"/>
      <x:c r="I107" s="174"/>
      <x:c r="J107" s="178"/>
      <x:c r="K107" s="174"/>
      <x:c r="L107" s="174"/>
      <x:c r="M107" s="174"/>
      <x:c r="N107" s="174"/>
      <x:c r="O107" s="174"/>
      <x:c r="P107" s="174"/>
      <x:c r="Q107" s="174"/>
      <x:c r="R107" s="174"/>
    </x:row>
    <x:row r="108">
      <x:c r="A108" s="174"/>
      <x:c r="B108" s="174"/>
      <x:c r="C108" s="174"/>
      <x:c r="D108" s="174"/>
      <x:c r="E108" s="174"/>
      <x:c r="F108" s="174"/>
      <x:c r="G108" s="177"/>
      <x:c r="H108" s="177"/>
      <x:c r="I108" s="174"/>
      <x:c r="J108" s="178"/>
      <x:c r="K108" s="174"/>
      <x:c r="L108" s="174"/>
      <x:c r="M108" s="174"/>
      <x:c r="N108" s="174"/>
      <x:c r="O108" s="174"/>
      <x:c r="P108" s="174"/>
      <x:c r="Q108" s="174"/>
      <x:c r="R108" s="174"/>
    </x:row>
    <x:row r="109">
      <x:c r="A109" s="174"/>
      <x:c r="B109" s="174"/>
      <x:c r="C109" s="174"/>
      <x:c r="D109" s="174"/>
      <x:c r="E109" s="174"/>
      <x:c r="F109" s="174"/>
      <x:c r="G109" s="177"/>
      <x:c r="H109" s="177"/>
      <x:c r="I109" s="174"/>
      <x:c r="J109" s="178"/>
      <x:c r="K109" s="174"/>
      <x:c r="L109" s="174"/>
      <x:c r="M109" s="174"/>
      <x:c r="N109" s="174"/>
      <x:c r="O109" s="174"/>
      <x:c r="P109" s="174"/>
      <x:c r="Q109" s="174"/>
      <x:c r="R109" s="174"/>
    </x:row>
    <x:row r="110">
      <x:c r="A110" s="174"/>
      <x:c r="B110" s="174"/>
      <x:c r="C110" s="174"/>
      <x:c r="D110" s="174"/>
      <x:c r="E110" s="174"/>
      <x:c r="F110" s="174"/>
      <x:c r="G110" s="177"/>
      <x:c r="H110" s="177"/>
      <x:c r="I110" s="174"/>
      <x:c r="J110" s="178"/>
      <x:c r="K110" s="174"/>
      <x:c r="L110" s="174"/>
      <x:c r="M110" s="174"/>
      <x:c r="N110" s="174"/>
      <x:c r="O110" s="174"/>
      <x:c r="P110" s="174"/>
      <x:c r="Q110" s="174"/>
      <x:c r="R110" s="174"/>
    </x:row>
    <x:row r="111">
      <x:c r="A111" s="174"/>
      <x:c r="B111" s="174"/>
      <x:c r="C111" s="174"/>
      <x:c r="D111" s="174"/>
      <x:c r="E111" s="174"/>
      <x:c r="F111" s="174"/>
      <x:c r="G111" s="177"/>
      <x:c r="H111" s="177"/>
      <x:c r="I111" s="174"/>
      <x:c r="J111" s="178"/>
      <x:c r="K111" s="174"/>
      <x:c r="L111" s="174"/>
      <x:c r="M111" s="174"/>
      <x:c r="N111" s="174"/>
      <x:c r="O111" s="174"/>
      <x:c r="P111" s="174"/>
      <x:c r="Q111" s="174"/>
      <x:c r="R111" s="174"/>
    </x:row>
    <x:row r="112">
      <x:c r="A112" s="174"/>
      <x:c r="B112" s="174"/>
      <x:c r="C112" s="174"/>
      <x:c r="D112" s="174"/>
      <x:c r="E112" s="174"/>
      <x:c r="F112" s="174"/>
      <x:c r="G112" s="177"/>
      <x:c r="H112" s="177"/>
      <x:c r="I112" s="174"/>
      <x:c r="J112" s="178"/>
      <x:c r="K112" s="174"/>
      <x:c r="L112" s="174"/>
      <x:c r="M112" s="174"/>
      <x:c r="N112" s="174"/>
      <x:c r="O112" s="174"/>
      <x:c r="P112" s="174"/>
      <x:c r="Q112" s="174"/>
      <x:c r="R112" s="174"/>
    </x:row>
    <x:row r="113">
      <x:c r="A113" s="174"/>
      <x:c r="B113" s="174"/>
      <x:c r="C113" s="174"/>
      <x:c r="D113" s="174"/>
      <x:c r="E113" s="174"/>
      <x:c r="F113" s="174"/>
      <x:c r="G113" s="177"/>
      <x:c r="H113" s="177"/>
      <x:c r="I113" s="174"/>
      <x:c r="J113" s="178"/>
      <x:c r="K113" s="174"/>
      <x:c r="L113" s="174"/>
      <x:c r="M113" s="174"/>
      <x:c r="N113" s="174"/>
      <x:c r="O113" s="174"/>
      <x:c r="P113" s="174"/>
      <x:c r="Q113" s="174"/>
      <x:c r="R113" s="174"/>
    </x:row>
    <x:row r="114">
      <x:c r="A114" s="174"/>
      <x:c r="B114" s="174"/>
      <x:c r="C114" s="174"/>
      <x:c r="D114" s="174"/>
      <x:c r="E114" s="174"/>
      <x:c r="F114" s="174"/>
      <x:c r="G114" s="177"/>
      <x:c r="H114" s="177"/>
      <x:c r="I114" s="174"/>
      <x:c r="J114" s="178"/>
      <x:c r="K114" s="174"/>
      <x:c r="L114" s="174"/>
      <x:c r="M114" s="174"/>
      <x:c r="N114" s="174"/>
      <x:c r="O114" s="174"/>
      <x:c r="P114" s="174"/>
      <x:c r="Q114" s="174"/>
      <x:c r="R114" s="174"/>
    </x:row>
    <x:row r="115">
      <x:c r="A115" s="174"/>
      <x:c r="B115" s="174"/>
      <x:c r="C115" s="174"/>
      <x:c r="D115" s="174"/>
      <x:c r="E115" s="174"/>
      <x:c r="F115" s="174"/>
      <x:c r="G115" s="177"/>
      <x:c r="H115" s="177"/>
      <x:c r="I115" s="174"/>
      <x:c r="J115" s="178"/>
      <x:c r="K115" s="174"/>
      <x:c r="L115" s="174"/>
      <x:c r="M115" s="174"/>
      <x:c r="N115" s="174"/>
      <x:c r="O115" s="174"/>
      <x:c r="P115" s="174"/>
      <x:c r="Q115" s="174"/>
      <x:c r="R115" s="174"/>
    </x:row>
    <x:row r="116">
      <x:c r="A116" s="174"/>
      <x:c r="B116" s="174"/>
      <x:c r="C116" s="174"/>
      <x:c r="D116" s="174"/>
      <x:c r="E116" s="174"/>
      <x:c r="F116" s="174"/>
      <x:c r="G116" s="177"/>
      <x:c r="H116" s="177"/>
      <x:c r="I116" s="174"/>
      <x:c r="J116" s="178"/>
      <x:c r="K116" s="174"/>
      <x:c r="L116" s="174"/>
      <x:c r="M116" s="174"/>
      <x:c r="N116" s="174"/>
      <x:c r="O116" s="174"/>
      <x:c r="P116" s="174"/>
      <x:c r="Q116" s="174"/>
      <x:c r="R116" s="174"/>
    </x:row>
    <x:row r="117">
      <x:c r="A117" s="174"/>
      <x:c r="B117" s="174"/>
      <x:c r="C117" s="174"/>
      <x:c r="D117" s="174"/>
      <x:c r="E117" s="174"/>
      <x:c r="F117" s="174"/>
      <x:c r="G117" s="177"/>
      <x:c r="H117" s="177"/>
      <x:c r="I117" s="174"/>
      <x:c r="J117" s="178"/>
      <x:c r="K117" s="174"/>
      <x:c r="L117" s="174"/>
      <x:c r="M117" s="174"/>
      <x:c r="N117" s="174"/>
      <x:c r="O117" s="174"/>
      <x:c r="P117" s="174"/>
      <x:c r="Q117" s="174"/>
      <x:c r="R117" s="174"/>
    </x:row>
    <x:row r="118">
      <x:c r="A118" s="174"/>
      <x:c r="B118" s="174"/>
      <x:c r="C118" s="174"/>
      <x:c r="D118" s="174"/>
      <x:c r="E118" s="174"/>
      <x:c r="F118" s="174"/>
      <x:c r="G118" s="177"/>
      <x:c r="H118" s="177"/>
      <x:c r="I118" s="174"/>
      <x:c r="J118" s="178"/>
      <x:c r="K118" s="174"/>
      <x:c r="L118" s="174"/>
      <x:c r="M118" s="174"/>
      <x:c r="N118" s="174"/>
      <x:c r="O118" s="174"/>
      <x:c r="P118" s="174"/>
      <x:c r="Q118" s="174"/>
      <x:c r="R118" s="174"/>
    </x:row>
    <x:row r="119">
      <x:c r="A119" s="174"/>
      <x:c r="B119" s="174"/>
      <x:c r="C119" s="174"/>
      <x:c r="D119" s="174"/>
      <x:c r="E119" s="174"/>
      <x:c r="F119" s="174"/>
      <x:c r="G119" s="177"/>
      <x:c r="H119" s="177"/>
      <x:c r="I119" s="174"/>
      <x:c r="J119" s="178"/>
      <x:c r="K119" s="174"/>
      <x:c r="L119" s="174"/>
      <x:c r="M119" s="174"/>
      <x:c r="N119" s="174"/>
      <x:c r="O119" s="174"/>
      <x:c r="P119" s="174"/>
      <x:c r="Q119" s="174"/>
      <x:c r="R119" s="174"/>
    </x:row>
    <x:row r="120">
      <x:c r="A120" s="174"/>
      <x:c r="B120" s="174"/>
      <x:c r="C120" s="174"/>
      <x:c r="D120" s="174"/>
      <x:c r="E120" s="174"/>
      <x:c r="F120" s="174"/>
      <x:c r="G120" s="177"/>
      <x:c r="H120" s="177"/>
      <x:c r="I120" s="174"/>
      <x:c r="J120" s="178"/>
      <x:c r="K120" s="174"/>
      <x:c r="L120" s="174"/>
      <x:c r="M120" s="174"/>
      <x:c r="N120" s="174"/>
      <x:c r="O120" s="174"/>
      <x:c r="P120" s="174"/>
      <x:c r="Q120" s="174"/>
      <x:c r="R120" s="174"/>
    </x:row>
    <x:row r="121">
      <x:c r="A121" s="174"/>
      <x:c r="B121" s="174"/>
      <x:c r="C121" s="174"/>
      <x:c r="D121" s="174"/>
      <x:c r="E121" s="174"/>
      <x:c r="F121" s="174"/>
      <x:c r="G121" s="177"/>
      <x:c r="H121" s="177"/>
      <x:c r="I121" s="174"/>
      <x:c r="J121" s="178"/>
      <x:c r="K121" s="174"/>
      <x:c r="L121" s="174"/>
      <x:c r="M121" s="174"/>
      <x:c r="N121" s="174"/>
      <x:c r="O121" s="174"/>
      <x:c r="P121" s="174"/>
      <x:c r="Q121" s="174"/>
      <x:c r="R121" s="174"/>
    </x:row>
    <x:row r="122">
      <x:c r="A122" s="174"/>
      <x:c r="B122" s="174"/>
      <x:c r="C122" s="174"/>
      <x:c r="D122" s="174"/>
      <x:c r="E122" s="174"/>
      <x:c r="F122" s="174"/>
      <x:c r="G122" s="177"/>
      <x:c r="H122" s="177"/>
      <x:c r="I122" s="174"/>
      <x:c r="J122" s="178"/>
      <x:c r="K122" s="174"/>
      <x:c r="L122" s="174"/>
      <x:c r="M122" s="174"/>
      <x:c r="N122" s="174"/>
      <x:c r="O122" s="174"/>
      <x:c r="P122" s="174"/>
      <x:c r="Q122" s="174"/>
      <x:c r="R122" s="174"/>
    </x:row>
    <x:row r="123">
      <x:c r="A123" s="174"/>
      <x:c r="B123" s="174"/>
      <x:c r="C123" s="174"/>
      <x:c r="D123" s="174"/>
      <x:c r="E123" s="174"/>
      <x:c r="F123" s="174"/>
      <x:c r="G123" s="177"/>
      <x:c r="H123" s="177"/>
      <x:c r="I123" s="174"/>
      <x:c r="J123" s="178"/>
      <x:c r="K123" s="174"/>
      <x:c r="L123" s="174"/>
      <x:c r="M123" s="174"/>
      <x:c r="N123" s="174"/>
      <x:c r="O123" s="174"/>
      <x:c r="P123" s="174"/>
      <x:c r="Q123" s="174"/>
      <x:c r="R123" s="174"/>
    </x:row>
    <x:row r="124">
      <x:c r="A124" s="174"/>
      <x:c r="B124" s="174"/>
      <x:c r="C124" s="174"/>
      <x:c r="D124" s="174"/>
      <x:c r="E124" s="174"/>
      <x:c r="F124" s="174"/>
      <x:c r="G124" s="177"/>
      <x:c r="H124" s="177"/>
      <x:c r="I124" s="174"/>
      <x:c r="J124" s="178"/>
      <x:c r="K124" s="174"/>
      <x:c r="L124" s="174"/>
      <x:c r="M124" s="174"/>
      <x:c r="N124" s="174"/>
      <x:c r="O124" s="174"/>
      <x:c r="P124" s="174"/>
      <x:c r="Q124" s="174"/>
      <x:c r="R124" s="174"/>
    </x:row>
    <x:row r="125">
      <x:c r="A125" s="174"/>
      <x:c r="B125" s="174"/>
      <x:c r="C125" s="174"/>
      <x:c r="D125" s="174"/>
      <x:c r="E125" s="174"/>
      <x:c r="F125" s="174"/>
      <x:c r="G125" s="177"/>
      <x:c r="H125" s="177"/>
      <x:c r="I125" s="174"/>
      <x:c r="J125" s="178"/>
      <x:c r="K125" s="174"/>
      <x:c r="L125" s="174"/>
      <x:c r="M125" s="174"/>
      <x:c r="N125" s="174"/>
      <x:c r="O125" s="174"/>
      <x:c r="P125" s="174"/>
      <x:c r="Q125" s="174"/>
      <x:c r="R125" s="174"/>
    </x:row>
    <x:row r="126">
      <x:c r="A126" s="174"/>
      <x:c r="B126" s="174"/>
      <x:c r="C126" s="174"/>
      <x:c r="D126" s="174"/>
      <x:c r="E126" s="174"/>
      <x:c r="F126" s="174"/>
      <x:c r="G126" s="177"/>
      <x:c r="H126" s="177"/>
      <x:c r="I126" s="174"/>
      <x:c r="J126" s="178"/>
      <x:c r="K126" s="174"/>
      <x:c r="L126" s="174"/>
      <x:c r="M126" s="174"/>
      <x:c r="N126" s="174"/>
      <x:c r="O126" s="174"/>
      <x:c r="P126" s="174"/>
      <x:c r="Q126" s="174"/>
      <x:c r="R126" s="174"/>
    </x:row>
    <x:row r="127">
      <x:c r="A127" s="174"/>
      <x:c r="B127" s="174"/>
      <x:c r="C127" s="174"/>
      <x:c r="D127" s="174"/>
      <x:c r="E127" s="174"/>
      <x:c r="F127" s="174"/>
      <x:c r="G127" s="177"/>
      <x:c r="H127" s="177"/>
      <x:c r="I127" s="174"/>
      <x:c r="J127" s="178"/>
      <x:c r="K127" s="174"/>
      <x:c r="L127" s="174"/>
      <x:c r="M127" s="174"/>
      <x:c r="N127" s="174"/>
      <x:c r="O127" s="174"/>
      <x:c r="P127" s="174"/>
      <x:c r="Q127" s="174"/>
      <x:c r="R127" s="174"/>
    </x:row>
    <x:row r="128">
      <x:c r="A128" s="174"/>
      <x:c r="B128" s="174"/>
      <x:c r="C128" s="174"/>
      <x:c r="D128" s="174"/>
      <x:c r="E128" s="174"/>
      <x:c r="F128" s="174"/>
      <x:c r="G128" s="177"/>
      <x:c r="H128" s="177"/>
      <x:c r="I128" s="174"/>
      <x:c r="J128" s="178"/>
      <x:c r="K128" s="174"/>
      <x:c r="L128" s="174"/>
      <x:c r="M128" s="174"/>
      <x:c r="N128" s="174"/>
      <x:c r="O128" s="174"/>
      <x:c r="P128" s="174"/>
      <x:c r="Q128" s="174"/>
      <x:c r="R128" s="174"/>
    </x:row>
    <x:row r="129">
      <x:c r="A129" s="174"/>
      <x:c r="B129" s="174"/>
      <x:c r="C129" s="174"/>
      <x:c r="D129" s="174"/>
      <x:c r="E129" s="174"/>
      <x:c r="F129" s="174"/>
      <x:c r="G129" s="177"/>
      <x:c r="H129" s="177"/>
      <x:c r="I129" s="174"/>
      <x:c r="J129" s="178"/>
      <x:c r="K129" s="174"/>
      <x:c r="L129" s="174"/>
      <x:c r="M129" s="174"/>
      <x:c r="N129" s="174"/>
      <x:c r="O129" s="174"/>
      <x:c r="P129" s="174"/>
      <x:c r="Q129" s="174"/>
      <x:c r="R129" s="174"/>
    </x:row>
    <x:row r="130">
      <x:c r="A130" s="174"/>
      <x:c r="B130" s="174"/>
      <x:c r="C130" s="174"/>
      <x:c r="D130" s="174"/>
      <x:c r="E130" s="174"/>
      <x:c r="F130" s="174"/>
      <x:c r="G130" s="177"/>
      <x:c r="H130" s="177"/>
      <x:c r="I130" s="174"/>
      <x:c r="J130" s="178"/>
      <x:c r="K130" s="174"/>
      <x:c r="L130" s="174"/>
      <x:c r="M130" s="174"/>
      <x:c r="N130" s="174"/>
      <x:c r="O130" s="174"/>
      <x:c r="P130" s="174"/>
      <x:c r="Q130" s="174"/>
      <x:c r="R130" s="174"/>
    </x:row>
    <x:row r="131">
      <x:c r="A131" s="174"/>
      <x:c r="B131" s="174"/>
      <x:c r="C131" s="174"/>
      <x:c r="D131" s="174"/>
      <x:c r="E131" s="174"/>
      <x:c r="F131" s="174"/>
      <x:c r="G131" s="177"/>
      <x:c r="H131" s="177"/>
      <x:c r="I131" s="174"/>
      <x:c r="J131" s="178"/>
      <x:c r="K131" s="174"/>
      <x:c r="L131" s="174"/>
      <x:c r="M131" s="174"/>
      <x:c r="N131" s="174"/>
      <x:c r="O131" s="174"/>
      <x:c r="P131" s="174"/>
      <x:c r="Q131" s="174"/>
      <x:c r="R131" s="174"/>
    </x:row>
    <x:row r="132">
      <x:c r="A132" s="174"/>
      <x:c r="B132" s="174"/>
      <x:c r="C132" s="174"/>
      <x:c r="D132" s="174"/>
      <x:c r="E132" s="174"/>
      <x:c r="F132" s="174"/>
      <x:c r="G132" s="177"/>
      <x:c r="H132" s="177"/>
      <x:c r="I132" s="174"/>
      <x:c r="J132" s="178"/>
      <x:c r="K132" s="174"/>
      <x:c r="L132" s="174"/>
      <x:c r="M132" s="174"/>
      <x:c r="N132" s="174"/>
      <x:c r="O132" s="174"/>
      <x:c r="P132" s="174"/>
      <x:c r="Q132" s="174"/>
      <x:c r="R132" s="174"/>
    </x:row>
    <x:row r="133">
      <x:c r="A133" s="174"/>
      <x:c r="B133" s="174"/>
      <x:c r="C133" s="174"/>
      <x:c r="D133" s="174"/>
      <x:c r="E133" s="174"/>
      <x:c r="F133" s="174"/>
      <x:c r="G133" s="177"/>
      <x:c r="H133" s="177"/>
      <x:c r="I133" s="174"/>
      <x:c r="J133" s="178"/>
      <x:c r="K133" s="174"/>
      <x:c r="L133" s="174"/>
      <x:c r="M133" s="174"/>
      <x:c r="N133" s="174"/>
      <x:c r="O133" s="174"/>
      <x:c r="P133" s="174"/>
      <x:c r="Q133" s="174"/>
      <x:c r="R133" s="174"/>
    </x:row>
    <x:row r="134">
      <x:c r="A134" s="174"/>
      <x:c r="B134" s="174"/>
      <x:c r="C134" s="174"/>
      <x:c r="D134" s="174"/>
      <x:c r="E134" s="174"/>
      <x:c r="F134" s="174"/>
      <x:c r="G134" s="177"/>
      <x:c r="H134" s="177"/>
      <x:c r="I134" s="174"/>
      <x:c r="J134" s="178"/>
      <x:c r="K134" s="174"/>
      <x:c r="L134" s="174"/>
      <x:c r="M134" s="174"/>
      <x:c r="N134" s="174"/>
      <x:c r="O134" s="174"/>
      <x:c r="P134" s="174"/>
      <x:c r="Q134" s="174"/>
      <x:c r="R134" s="174"/>
    </x:row>
    <x:row r="135">
      <x:c r="A135" s="174"/>
      <x:c r="B135" s="174"/>
      <x:c r="C135" s="174"/>
      <x:c r="D135" s="174"/>
      <x:c r="E135" s="174"/>
      <x:c r="F135" s="174"/>
      <x:c r="G135" s="177"/>
      <x:c r="H135" s="177"/>
      <x:c r="I135" s="174"/>
      <x:c r="J135" s="178"/>
      <x:c r="K135" s="174"/>
      <x:c r="L135" s="174"/>
      <x:c r="M135" s="174"/>
      <x:c r="N135" s="174"/>
      <x:c r="O135" s="174"/>
      <x:c r="P135" s="174"/>
      <x:c r="Q135" s="174"/>
      <x:c r="R135" s="174"/>
    </x:row>
    <x:row r="136">
      <x:c r="A136" s="174"/>
      <x:c r="B136" s="174"/>
      <x:c r="C136" s="174"/>
      <x:c r="D136" s="174"/>
      <x:c r="E136" s="174"/>
      <x:c r="F136" s="174"/>
      <x:c r="G136" s="177"/>
      <x:c r="H136" s="177"/>
      <x:c r="I136" s="174"/>
      <x:c r="J136" s="178"/>
      <x:c r="K136" s="174"/>
      <x:c r="L136" s="174"/>
      <x:c r="M136" s="174"/>
      <x:c r="N136" s="174"/>
      <x:c r="O136" s="174"/>
      <x:c r="P136" s="174"/>
      <x:c r="Q136" s="174"/>
      <x:c r="R136" s="174"/>
    </x:row>
    <x:row r="137">
      <x:c r="A137" s="174"/>
      <x:c r="B137" s="174"/>
      <x:c r="C137" s="174"/>
      <x:c r="D137" s="174"/>
      <x:c r="E137" s="174"/>
      <x:c r="F137" s="174"/>
      <x:c r="G137" s="177"/>
      <x:c r="H137" s="177"/>
      <x:c r="I137" s="174"/>
      <x:c r="J137" s="178"/>
      <x:c r="K137" s="174"/>
      <x:c r="L137" s="174"/>
      <x:c r="M137" s="174"/>
      <x:c r="N137" s="174"/>
      <x:c r="O137" s="174"/>
      <x:c r="P137" s="174"/>
      <x:c r="Q137" s="174"/>
      <x:c r="R137" s="174"/>
    </x:row>
    <x:row r="138">
      <x:c r="A138" s="174"/>
      <x:c r="B138" s="174"/>
      <x:c r="C138" s="174"/>
      <x:c r="D138" s="174"/>
      <x:c r="E138" s="174"/>
      <x:c r="F138" s="174"/>
      <x:c r="G138" s="177"/>
      <x:c r="H138" s="177"/>
      <x:c r="I138" s="174"/>
      <x:c r="J138" s="178"/>
      <x:c r="K138" s="174"/>
      <x:c r="L138" s="174"/>
      <x:c r="M138" s="174"/>
      <x:c r="N138" s="174"/>
      <x:c r="O138" s="174"/>
      <x:c r="P138" s="174"/>
      <x:c r="Q138" s="174"/>
      <x:c r="R138" s="174"/>
    </x:row>
    <x:row r="139">
      <x:c r="A139" s="174"/>
      <x:c r="B139" s="174"/>
      <x:c r="C139" s="174"/>
      <x:c r="D139" s="174"/>
      <x:c r="E139" s="174"/>
      <x:c r="F139" s="174"/>
      <x:c r="G139" s="177"/>
      <x:c r="H139" s="177"/>
      <x:c r="I139" s="174"/>
      <x:c r="J139" s="178"/>
      <x:c r="K139" s="174"/>
      <x:c r="L139" s="174"/>
      <x:c r="M139" s="174"/>
      <x:c r="N139" s="174"/>
      <x:c r="O139" s="174"/>
      <x:c r="P139" s="174"/>
      <x:c r="Q139" s="174"/>
      <x:c r="R139" s="174"/>
    </x:row>
    <x:row r="140">
      <x:c r="A140" s="174"/>
      <x:c r="B140" s="174"/>
      <x:c r="C140" s="174"/>
      <x:c r="D140" s="174"/>
      <x:c r="E140" s="174"/>
      <x:c r="F140" s="174"/>
      <x:c r="G140" s="177"/>
      <x:c r="H140" s="177"/>
      <x:c r="I140" s="174"/>
      <x:c r="J140" s="178"/>
      <x:c r="K140" s="174"/>
      <x:c r="L140" s="174"/>
      <x:c r="M140" s="174"/>
      <x:c r="N140" s="174"/>
      <x:c r="O140" s="174"/>
      <x:c r="P140" s="174"/>
      <x:c r="Q140" s="174"/>
      <x:c r="R140" s="174"/>
    </x:row>
    <x:row r="141">
      <x:c r="A141" s="174"/>
      <x:c r="B141" s="174"/>
      <x:c r="C141" s="174"/>
      <x:c r="D141" s="174"/>
      <x:c r="E141" s="174"/>
      <x:c r="F141" s="174"/>
      <x:c r="G141" s="177"/>
      <x:c r="H141" s="177"/>
      <x:c r="I141" s="174"/>
      <x:c r="J141" s="178"/>
      <x:c r="K141" s="174"/>
      <x:c r="L141" s="174"/>
      <x:c r="M141" s="174"/>
      <x:c r="N141" s="174"/>
      <x:c r="O141" s="174"/>
      <x:c r="P141" s="174"/>
      <x:c r="Q141" s="174"/>
      <x:c r="R141" s="174"/>
    </x:row>
    <x:row r="142">
      <x:c r="A142" s="174"/>
      <x:c r="B142" s="174"/>
      <x:c r="C142" s="174"/>
      <x:c r="D142" s="174"/>
      <x:c r="E142" s="174"/>
      <x:c r="F142" s="174"/>
      <x:c r="G142" s="177"/>
      <x:c r="H142" s="177"/>
      <x:c r="I142" s="174"/>
      <x:c r="J142" s="178"/>
      <x:c r="K142" s="174"/>
      <x:c r="L142" s="174"/>
      <x:c r="M142" s="174"/>
      <x:c r="N142" s="174"/>
      <x:c r="O142" s="174"/>
      <x:c r="P142" s="174"/>
      <x:c r="Q142" s="174"/>
      <x:c r="R142" s="174"/>
    </x:row>
    <x:row r="143">
      <x:c r="A143" s="174"/>
      <x:c r="B143" s="174"/>
      <x:c r="C143" s="174"/>
      <x:c r="D143" s="174"/>
      <x:c r="E143" s="174"/>
      <x:c r="F143" s="174"/>
      <x:c r="G143" s="177"/>
      <x:c r="H143" s="177"/>
      <x:c r="I143" s="174"/>
      <x:c r="J143" s="178"/>
      <x:c r="K143" s="174"/>
      <x:c r="L143" s="174"/>
      <x:c r="M143" s="174"/>
      <x:c r="N143" s="174"/>
      <x:c r="O143" s="174"/>
      <x:c r="P143" s="174"/>
      <x:c r="Q143" s="174"/>
      <x:c r="R143" s="174"/>
    </x:row>
    <x:row r="144">
      <x:c r="A144" s="174"/>
      <x:c r="B144" s="174"/>
      <x:c r="C144" s="174"/>
      <x:c r="D144" s="174"/>
      <x:c r="E144" s="174"/>
      <x:c r="F144" s="174"/>
      <x:c r="G144" s="177"/>
      <x:c r="H144" s="177"/>
      <x:c r="I144" s="174"/>
      <x:c r="J144" s="178"/>
      <x:c r="K144" s="174"/>
      <x:c r="L144" s="174"/>
      <x:c r="M144" s="174"/>
      <x:c r="N144" s="174"/>
      <x:c r="O144" s="174"/>
      <x:c r="P144" s="174"/>
      <x:c r="Q144" s="174"/>
      <x:c r="R144" s="174"/>
    </x:row>
    <x:row r="145">
      <x:c r="A145" s="174"/>
      <x:c r="B145" s="174"/>
      <x:c r="C145" s="174"/>
      <x:c r="D145" s="174"/>
      <x:c r="E145" s="174"/>
      <x:c r="F145" s="174"/>
      <x:c r="G145" s="177"/>
      <x:c r="H145" s="177"/>
      <x:c r="I145" s="174"/>
      <x:c r="J145" s="178"/>
      <x:c r="K145" s="174"/>
      <x:c r="L145" s="174"/>
      <x:c r="M145" s="174"/>
      <x:c r="N145" s="174"/>
      <x:c r="O145" s="174"/>
      <x:c r="P145" s="174"/>
      <x:c r="Q145" s="174"/>
      <x:c r="R145" s="174"/>
    </x:row>
    <x:row r="146">
      <x:c r="A146" s="174"/>
      <x:c r="B146" s="174"/>
      <x:c r="C146" s="174"/>
      <x:c r="D146" s="174"/>
      <x:c r="E146" s="174"/>
      <x:c r="F146" s="174"/>
      <x:c r="G146" s="177"/>
      <x:c r="H146" s="177"/>
      <x:c r="I146" s="174"/>
      <x:c r="J146" s="178"/>
      <x:c r="K146" s="174"/>
      <x:c r="L146" s="174"/>
      <x:c r="M146" s="174"/>
      <x:c r="N146" s="174"/>
      <x:c r="O146" s="174"/>
      <x:c r="P146" s="174"/>
      <x:c r="Q146" s="174"/>
      <x:c r="R146" s="174"/>
    </x:row>
    <x:row r="147">
      <x:c r="A147" s="174"/>
      <x:c r="B147" s="174"/>
      <x:c r="C147" s="174"/>
      <x:c r="D147" s="174"/>
      <x:c r="E147" s="174"/>
      <x:c r="F147" s="174"/>
      <x:c r="G147" s="177"/>
      <x:c r="H147" s="177"/>
      <x:c r="I147" s="174"/>
      <x:c r="J147" s="178"/>
      <x:c r="K147" s="174"/>
      <x:c r="L147" s="174"/>
      <x:c r="M147" s="174"/>
      <x:c r="N147" s="174"/>
      <x:c r="O147" s="174"/>
      <x:c r="P147" s="174"/>
      <x:c r="Q147" s="174"/>
      <x:c r="R147" s="174"/>
    </x:row>
    <x:row r="148">
      <x:c r="A148" s="174"/>
      <x:c r="B148" s="174"/>
      <x:c r="C148" s="174"/>
      <x:c r="D148" s="174"/>
      <x:c r="E148" s="174"/>
      <x:c r="F148" s="174"/>
      <x:c r="G148" s="177"/>
      <x:c r="H148" s="177"/>
      <x:c r="I148" s="174"/>
      <x:c r="J148" s="178"/>
      <x:c r="K148" s="174"/>
      <x:c r="L148" s="174"/>
      <x:c r="M148" s="174"/>
      <x:c r="N148" s="174"/>
      <x:c r="O148" s="174"/>
      <x:c r="P148" s="174"/>
      <x:c r="Q148" s="174"/>
      <x:c r="R148" s="174"/>
    </x:row>
    <x:row r="149">
      <x:c r="A149" s="174"/>
      <x:c r="B149" s="174"/>
      <x:c r="C149" s="174"/>
      <x:c r="D149" s="174"/>
      <x:c r="E149" s="174"/>
      <x:c r="F149" s="174"/>
      <x:c r="G149" s="177"/>
      <x:c r="H149" s="177"/>
      <x:c r="I149" s="174"/>
      <x:c r="J149" s="178"/>
      <x:c r="K149" s="174"/>
      <x:c r="L149" s="174"/>
      <x:c r="M149" s="174"/>
      <x:c r="N149" s="174"/>
      <x:c r="O149" s="174"/>
      <x:c r="P149" s="174"/>
      <x:c r="Q149" s="174"/>
      <x:c r="R149" s="174"/>
    </x:row>
    <x:row r="150">
      <x:c r="A150" s="174"/>
      <x:c r="B150" s="174"/>
      <x:c r="C150" s="174"/>
      <x:c r="D150" s="174"/>
      <x:c r="E150" s="174"/>
      <x:c r="F150" s="174"/>
      <x:c r="G150" s="177"/>
      <x:c r="H150" s="177"/>
      <x:c r="I150" s="174"/>
      <x:c r="J150" s="178"/>
      <x:c r="K150" s="174"/>
      <x:c r="L150" s="174"/>
      <x:c r="M150" s="174"/>
      <x:c r="N150" s="174"/>
      <x:c r="O150" s="174"/>
      <x:c r="P150" s="174"/>
      <x:c r="Q150" s="174"/>
      <x:c r="R150" s="174"/>
    </x:row>
    <x:row r="151">
      <x:c r="A151" s="174"/>
      <x:c r="B151" s="174"/>
      <x:c r="C151" s="174"/>
      <x:c r="D151" s="174"/>
      <x:c r="E151" s="174"/>
      <x:c r="F151" s="174"/>
      <x:c r="G151" s="177"/>
      <x:c r="H151" s="177"/>
      <x:c r="I151" s="174"/>
      <x:c r="J151" s="178"/>
      <x:c r="K151" s="174"/>
      <x:c r="L151" s="174"/>
      <x:c r="M151" s="174"/>
      <x:c r="N151" s="174"/>
      <x:c r="O151" s="174"/>
      <x:c r="P151" s="174"/>
      <x:c r="Q151" s="174"/>
      <x:c r="R151" s="174"/>
    </x:row>
    <x:row r="152">
      <x:c r="A152" s="174"/>
      <x:c r="B152" s="174"/>
      <x:c r="C152" s="174"/>
      <x:c r="D152" s="174"/>
      <x:c r="E152" s="174"/>
      <x:c r="F152" s="174"/>
      <x:c r="G152" s="177"/>
      <x:c r="H152" s="177"/>
      <x:c r="I152" s="174"/>
      <x:c r="J152" s="178"/>
      <x:c r="K152" s="174"/>
      <x:c r="L152" s="174"/>
      <x:c r="M152" s="174"/>
      <x:c r="N152" s="174"/>
      <x:c r="O152" s="174"/>
      <x:c r="P152" s="174"/>
      <x:c r="Q152" s="174"/>
      <x:c r="R152" s="174"/>
    </x:row>
    <x:row r="153">
      <x:c r="A153" s="174"/>
      <x:c r="B153" s="174"/>
      <x:c r="C153" s="174"/>
      <x:c r="D153" s="174"/>
      <x:c r="E153" s="174"/>
      <x:c r="F153" s="174"/>
      <x:c r="G153" s="177"/>
      <x:c r="H153" s="177"/>
      <x:c r="I153" s="174"/>
      <x:c r="J153" s="178"/>
      <x:c r="K153" s="174"/>
      <x:c r="L153" s="174"/>
      <x:c r="M153" s="174"/>
      <x:c r="N153" s="174"/>
      <x:c r="O153" s="174"/>
      <x:c r="P153" s="174"/>
      <x:c r="Q153" s="174"/>
      <x:c r="R153" s="174"/>
    </x:row>
    <x:row r="154">
      <x:c r="A154" s="174"/>
      <x:c r="B154" s="174"/>
      <x:c r="C154" s="174"/>
      <x:c r="D154" s="174"/>
      <x:c r="E154" s="174"/>
      <x:c r="F154" s="174"/>
      <x:c r="G154" s="177"/>
      <x:c r="H154" s="177"/>
      <x:c r="I154" s="174"/>
      <x:c r="J154" s="178"/>
      <x:c r="K154" s="174"/>
      <x:c r="L154" s="174"/>
      <x:c r="M154" s="174"/>
      <x:c r="N154" s="174"/>
      <x:c r="O154" s="174"/>
      <x:c r="P154" s="174"/>
      <x:c r="Q154" s="174"/>
      <x:c r="R154" s="174"/>
    </x:row>
    <x:row r="155">
      <x:c r="A155" s="174"/>
      <x:c r="B155" s="174"/>
      <x:c r="C155" s="174"/>
      <x:c r="D155" s="174"/>
      <x:c r="E155" s="174"/>
      <x:c r="F155" s="174"/>
      <x:c r="G155" s="177"/>
      <x:c r="H155" s="177"/>
      <x:c r="I155" s="174"/>
      <x:c r="J155" s="178"/>
      <x:c r="K155" s="174"/>
      <x:c r="L155" s="174"/>
      <x:c r="M155" s="174"/>
      <x:c r="N155" s="174"/>
      <x:c r="O155" s="174"/>
      <x:c r="P155" s="174"/>
      <x:c r="Q155" s="174"/>
      <x:c r="R155" s="174"/>
    </x:row>
    <x:row r="156">
      <x:c r="A156" s="174"/>
      <x:c r="B156" s="174"/>
      <x:c r="C156" s="174"/>
      <x:c r="D156" s="174"/>
      <x:c r="E156" s="174"/>
      <x:c r="F156" s="174"/>
      <x:c r="G156" s="177"/>
      <x:c r="H156" s="177"/>
      <x:c r="I156" s="174"/>
      <x:c r="J156" s="178"/>
      <x:c r="K156" s="174"/>
      <x:c r="L156" s="174"/>
      <x:c r="M156" s="174"/>
      <x:c r="N156" s="174"/>
      <x:c r="O156" s="174"/>
      <x:c r="P156" s="174"/>
      <x:c r="Q156" s="174"/>
      <x:c r="R156" s="174"/>
    </x:row>
    <x:row r="157">
      <x:c r="A157" s="174"/>
      <x:c r="B157" s="174"/>
      <x:c r="C157" s="174"/>
      <x:c r="D157" s="174"/>
      <x:c r="E157" s="174"/>
      <x:c r="F157" s="174"/>
      <x:c r="G157" s="177"/>
      <x:c r="H157" s="177"/>
      <x:c r="I157" s="174"/>
      <x:c r="J157" s="178"/>
      <x:c r="K157" s="174"/>
      <x:c r="L157" s="174"/>
      <x:c r="M157" s="174"/>
      <x:c r="N157" s="174"/>
      <x:c r="O157" s="174"/>
      <x:c r="P157" s="174"/>
      <x:c r="Q157" s="174"/>
      <x:c r="R157" s="174"/>
    </x:row>
    <x:row r="158">
      <x:c r="A158" s="174"/>
      <x:c r="B158" s="174"/>
      <x:c r="C158" s="174"/>
      <x:c r="D158" s="174"/>
      <x:c r="E158" s="174"/>
      <x:c r="F158" s="174"/>
      <x:c r="G158" s="177"/>
      <x:c r="H158" s="177"/>
      <x:c r="I158" s="174"/>
      <x:c r="J158" s="178"/>
      <x:c r="K158" s="174"/>
      <x:c r="L158" s="174"/>
      <x:c r="M158" s="174"/>
      <x:c r="N158" s="174"/>
      <x:c r="O158" s="174"/>
      <x:c r="P158" s="174"/>
      <x:c r="Q158" s="174"/>
      <x:c r="R158" s="174"/>
    </x:row>
    <x:row r="159">
      <x:c r="A159" s="174"/>
      <x:c r="B159" s="174"/>
      <x:c r="C159" s="174"/>
      <x:c r="D159" s="174"/>
      <x:c r="E159" s="174"/>
      <x:c r="F159" s="174"/>
      <x:c r="G159" s="177"/>
      <x:c r="H159" s="177"/>
      <x:c r="I159" s="174"/>
      <x:c r="J159" s="178"/>
      <x:c r="K159" s="174"/>
      <x:c r="L159" s="174"/>
      <x:c r="M159" s="174"/>
      <x:c r="N159" s="174"/>
      <x:c r="O159" s="174"/>
      <x:c r="P159" s="174"/>
      <x:c r="Q159" s="174"/>
      <x:c r="R159" s="174"/>
    </x:row>
    <x:row r="160">
      <x:c r="A160" s="174"/>
      <x:c r="B160" s="174"/>
      <x:c r="C160" s="174"/>
      <x:c r="D160" s="174"/>
      <x:c r="E160" s="174"/>
      <x:c r="F160" s="174"/>
      <x:c r="G160" s="177"/>
      <x:c r="H160" s="177"/>
      <x:c r="I160" s="174"/>
      <x:c r="J160" s="178"/>
      <x:c r="K160" s="174"/>
      <x:c r="L160" s="174"/>
      <x:c r="M160" s="174"/>
      <x:c r="N160" s="174"/>
      <x:c r="O160" s="174"/>
      <x:c r="P160" s="174"/>
      <x:c r="Q160" s="174"/>
      <x:c r="R160" s="174"/>
    </x:row>
    <x:row r="161">
      <x:c r="A161" s="174"/>
      <x:c r="B161" s="174"/>
      <x:c r="C161" s="174"/>
      <x:c r="D161" s="174"/>
      <x:c r="E161" s="174"/>
      <x:c r="F161" s="174"/>
      <x:c r="G161" s="177"/>
      <x:c r="H161" s="177"/>
      <x:c r="I161" s="174"/>
      <x:c r="J161" s="178"/>
      <x:c r="K161" s="174"/>
      <x:c r="L161" s="174"/>
      <x:c r="M161" s="174"/>
      <x:c r="N161" s="174"/>
      <x:c r="O161" s="174"/>
      <x:c r="P161" s="174"/>
      <x:c r="Q161" s="174"/>
      <x:c r="R161" s="174"/>
    </x:row>
    <x:row r="162">
      <x:c r="A162" s="174"/>
      <x:c r="B162" s="174"/>
      <x:c r="C162" s="174"/>
      <x:c r="D162" s="174"/>
      <x:c r="E162" s="174"/>
      <x:c r="F162" s="174"/>
      <x:c r="G162" s="177"/>
      <x:c r="H162" s="177"/>
      <x:c r="I162" s="174"/>
      <x:c r="J162" s="178"/>
      <x:c r="K162" s="174"/>
      <x:c r="L162" s="174"/>
      <x:c r="M162" s="174"/>
      <x:c r="N162" s="174"/>
      <x:c r="O162" s="174"/>
      <x:c r="P162" s="174"/>
      <x:c r="Q162" s="174"/>
      <x:c r="R162" s="174"/>
    </x:row>
    <x:row r="163">
      <x:c r="A163" s="174"/>
      <x:c r="B163" s="174"/>
      <x:c r="C163" s="174"/>
      <x:c r="D163" s="174"/>
      <x:c r="E163" s="174"/>
      <x:c r="F163" s="174"/>
      <x:c r="G163" s="177"/>
      <x:c r="H163" s="177"/>
      <x:c r="I163" s="174"/>
      <x:c r="J163" s="178"/>
      <x:c r="K163" s="174"/>
      <x:c r="L163" s="174"/>
      <x:c r="M163" s="174"/>
      <x:c r="N163" s="174"/>
      <x:c r="O163" s="174"/>
      <x:c r="P163" s="174"/>
      <x:c r="Q163" s="174"/>
      <x:c r="R163" s="174"/>
    </x:row>
    <x:row r="164">
      <x:c r="A164" s="174"/>
      <x:c r="B164" s="174"/>
      <x:c r="C164" s="174"/>
      <x:c r="D164" s="174"/>
      <x:c r="E164" s="174"/>
      <x:c r="F164" s="174"/>
      <x:c r="G164" s="177"/>
      <x:c r="H164" s="177"/>
      <x:c r="I164" s="174"/>
      <x:c r="J164" s="178"/>
      <x:c r="K164" s="174"/>
      <x:c r="L164" s="174"/>
      <x:c r="M164" s="174"/>
      <x:c r="N164" s="174"/>
      <x:c r="O164" s="174"/>
      <x:c r="P164" s="174"/>
      <x:c r="Q164" s="174"/>
      <x:c r="R164" s="174"/>
    </x:row>
    <x:row r="165">
      <x:c r="A165" s="174"/>
      <x:c r="B165" s="174"/>
      <x:c r="C165" s="174"/>
      <x:c r="D165" s="174"/>
      <x:c r="E165" s="174"/>
      <x:c r="F165" s="174"/>
      <x:c r="G165" s="177"/>
      <x:c r="H165" s="177"/>
      <x:c r="I165" s="174"/>
      <x:c r="J165" s="178"/>
      <x:c r="K165" s="174"/>
      <x:c r="L165" s="174"/>
      <x:c r="M165" s="174"/>
      <x:c r="N165" s="174"/>
      <x:c r="O165" s="174"/>
      <x:c r="P165" s="174"/>
      <x:c r="Q165" s="174"/>
      <x:c r="R165" s="174"/>
    </x:row>
    <x:row r="166">
      <x:c r="A166" s="174"/>
      <x:c r="B166" s="174"/>
      <x:c r="C166" s="174"/>
      <x:c r="D166" s="174"/>
      <x:c r="E166" s="174"/>
      <x:c r="F166" s="174"/>
      <x:c r="G166" s="177"/>
      <x:c r="H166" s="177"/>
      <x:c r="I166" s="174"/>
      <x:c r="J166" s="178"/>
      <x:c r="K166" s="174"/>
      <x:c r="L166" s="174"/>
      <x:c r="M166" s="174"/>
      <x:c r="N166" s="174"/>
      <x:c r="O166" s="174"/>
      <x:c r="P166" s="174"/>
      <x:c r="Q166" s="174"/>
      <x:c r="R166" s="174"/>
    </x:row>
    <x:row r="167">
      <x:c r="A167" s="174"/>
      <x:c r="B167" s="174"/>
      <x:c r="C167" s="174"/>
      <x:c r="D167" s="174"/>
      <x:c r="E167" s="174"/>
      <x:c r="F167" s="174"/>
      <x:c r="G167" s="177"/>
      <x:c r="H167" s="177"/>
      <x:c r="I167" s="174"/>
      <x:c r="J167" s="178"/>
      <x:c r="K167" s="174"/>
      <x:c r="L167" s="174"/>
      <x:c r="M167" s="174"/>
      <x:c r="N167" s="174"/>
      <x:c r="O167" s="174"/>
      <x:c r="P167" s="174"/>
      <x:c r="Q167" s="174"/>
      <x:c r="R167" s="174"/>
    </x:row>
    <x:row r="168">
      <x:c r="A168" s="174"/>
      <x:c r="B168" s="174"/>
      <x:c r="C168" s="174"/>
      <x:c r="D168" s="174"/>
      <x:c r="E168" s="174"/>
      <x:c r="F168" s="174"/>
      <x:c r="G168" s="177"/>
      <x:c r="H168" s="177"/>
      <x:c r="I168" s="174"/>
      <x:c r="J168" s="178"/>
      <x:c r="K168" s="174"/>
      <x:c r="L168" s="174"/>
      <x:c r="M168" s="174"/>
      <x:c r="N168" s="174"/>
      <x:c r="O168" s="174"/>
      <x:c r="P168" s="174"/>
      <x:c r="Q168" s="174"/>
      <x:c r="R168" s="174"/>
    </x:row>
    <x:row r="169">
      <x:c r="A169" s="174"/>
      <x:c r="B169" s="174"/>
      <x:c r="C169" s="174"/>
      <x:c r="D169" s="174"/>
      <x:c r="E169" s="174"/>
      <x:c r="F169" s="174"/>
      <x:c r="G169" s="177"/>
      <x:c r="H169" s="177"/>
      <x:c r="I169" s="174"/>
      <x:c r="J169" s="178"/>
      <x:c r="K169" s="174"/>
      <x:c r="L169" s="174"/>
      <x:c r="M169" s="174"/>
      <x:c r="N169" s="174"/>
      <x:c r="O169" s="174"/>
      <x:c r="P169" s="174"/>
      <x:c r="Q169" s="174"/>
      <x:c r="R169" s="174"/>
    </x:row>
    <x:row r="170">
      <x:c r="A170" s="174"/>
      <x:c r="B170" s="174"/>
      <x:c r="C170" s="174"/>
      <x:c r="D170" s="174"/>
      <x:c r="E170" s="174"/>
      <x:c r="F170" s="174"/>
      <x:c r="G170" s="177"/>
      <x:c r="H170" s="177"/>
      <x:c r="I170" s="174"/>
      <x:c r="J170" s="178"/>
      <x:c r="K170" s="174"/>
      <x:c r="L170" s="174"/>
      <x:c r="M170" s="174"/>
      <x:c r="N170" s="174"/>
      <x:c r="O170" s="174"/>
      <x:c r="P170" s="174"/>
      <x:c r="Q170" s="174"/>
      <x:c r="R170" s="174"/>
    </x:row>
    <x:row r="171">
      <x:c r="A171" s="174"/>
      <x:c r="B171" s="174"/>
      <x:c r="C171" s="174"/>
      <x:c r="D171" s="174"/>
      <x:c r="E171" s="174"/>
      <x:c r="F171" s="174"/>
      <x:c r="G171" s="177"/>
      <x:c r="H171" s="177"/>
      <x:c r="I171" s="174"/>
      <x:c r="J171" s="178"/>
      <x:c r="K171" s="174"/>
      <x:c r="L171" s="174"/>
      <x:c r="M171" s="174"/>
      <x:c r="N171" s="174"/>
      <x:c r="O171" s="174"/>
      <x:c r="P171" s="174"/>
      <x:c r="Q171" s="174"/>
      <x:c r="R171" s="174"/>
    </x:row>
    <x:row r="172">
      <x:c r="A172" s="174"/>
      <x:c r="B172" s="174"/>
      <x:c r="C172" s="174"/>
      <x:c r="D172" s="174"/>
      <x:c r="E172" s="174"/>
      <x:c r="F172" s="174"/>
      <x:c r="G172" s="177"/>
      <x:c r="H172" s="177"/>
      <x:c r="I172" s="174"/>
      <x:c r="J172" s="178"/>
      <x:c r="K172" s="174"/>
      <x:c r="L172" s="174"/>
      <x:c r="M172" s="174"/>
      <x:c r="N172" s="174"/>
      <x:c r="O172" s="174"/>
      <x:c r="P172" s="174"/>
      <x:c r="Q172" s="174"/>
      <x:c r="R172" s="174"/>
    </x:row>
    <x:row r="173">
      <x:c r="A173" s="174"/>
      <x:c r="B173" s="174"/>
      <x:c r="C173" s="174"/>
      <x:c r="D173" s="174"/>
      <x:c r="E173" s="174"/>
      <x:c r="F173" s="174"/>
      <x:c r="G173" s="177"/>
      <x:c r="H173" s="177"/>
      <x:c r="I173" s="174"/>
      <x:c r="J173" s="178"/>
      <x:c r="K173" s="174"/>
      <x:c r="L173" s="174"/>
      <x:c r="M173" s="174"/>
      <x:c r="N173" s="174"/>
      <x:c r="O173" s="174"/>
      <x:c r="P173" s="174"/>
      <x:c r="Q173" s="174"/>
      <x:c r="R173" s="174"/>
    </x:row>
    <x:row r="174">
      <x:c r="A174" s="174"/>
      <x:c r="B174" s="174"/>
      <x:c r="C174" s="174"/>
      <x:c r="D174" s="174"/>
      <x:c r="E174" s="174"/>
      <x:c r="F174" s="174"/>
      <x:c r="G174" s="177"/>
      <x:c r="H174" s="177"/>
      <x:c r="I174" s="174"/>
      <x:c r="J174" s="178"/>
      <x:c r="K174" s="174"/>
      <x:c r="L174" s="174"/>
      <x:c r="M174" s="174"/>
      <x:c r="N174" s="174"/>
      <x:c r="O174" s="174"/>
      <x:c r="P174" s="174"/>
      <x:c r="Q174" s="174"/>
      <x:c r="R174" s="174"/>
    </x:row>
    <x:row r="175">
      <x:c r="A175" s="174"/>
      <x:c r="B175" s="174"/>
      <x:c r="C175" s="174"/>
      <x:c r="D175" s="174"/>
      <x:c r="E175" s="174"/>
      <x:c r="F175" s="174"/>
      <x:c r="G175" s="177"/>
      <x:c r="H175" s="177"/>
      <x:c r="I175" s="174"/>
      <x:c r="J175" s="178"/>
      <x:c r="K175" s="174"/>
      <x:c r="L175" s="174"/>
      <x:c r="M175" s="174"/>
      <x:c r="N175" s="174"/>
      <x:c r="O175" s="174"/>
      <x:c r="P175" s="174"/>
      <x:c r="Q175" s="174"/>
      <x:c r="R175" s="174"/>
    </x:row>
    <x:row r="176">
      <x:c r="A176" s="174"/>
      <x:c r="B176" s="174"/>
      <x:c r="C176" s="174"/>
      <x:c r="D176" s="174"/>
      <x:c r="E176" s="174"/>
      <x:c r="F176" s="174"/>
      <x:c r="G176" s="177"/>
      <x:c r="H176" s="177"/>
      <x:c r="I176" s="174"/>
      <x:c r="J176" s="178"/>
      <x:c r="K176" s="174"/>
      <x:c r="L176" s="174"/>
      <x:c r="M176" s="174"/>
      <x:c r="N176" s="174"/>
      <x:c r="O176" s="174"/>
      <x:c r="P176" s="174"/>
      <x:c r="Q176" s="174"/>
      <x:c r="R176" s="174"/>
    </x:row>
    <x:row r="177">
      <x:c r="A177" s="174"/>
      <x:c r="B177" s="174"/>
      <x:c r="C177" s="174"/>
      <x:c r="D177" s="174"/>
      <x:c r="E177" s="174"/>
      <x:c r="F177" s="174"/>
      <x:c r="G177" s="177"/>
      <x:c r="H177" s="177"/>
      <x:c r="I177" s="174"/>
      <x:c r="J177" s="178"/>
      <x:c r="K177" s="174"/>
      <x:c r="L177" s="174"/>
      <x:c r="M177" s="174"/>
      <x:c r="N177" s="174"/>
      <x:c r="O177" s="174"/>
      <x:c r="P177" s="174"/>
      <x:c r="Q177" s="174"/>
      <x:c r="R177" s="174"/>
    </x:row>
    <x:row r="178">
      <x:c r="A178" s="174"/>
      <x:c r="B178" s="174"/>
      <x:c r="C178" s="174"/>
      <x:c r="D178" s="174"/>
      <x:c r="E178" s="174"/>
      <x:c r="F178" s="174"/>
      <x:c r="G178" s="177"/>
      <x:c r="H178" s="177"/>
      <x:c r="I178" s="174"/>
      <x:c r="J178" s="178"/>
      <x:c r="K178" s="174"/>
      <x:c r="L178" s="174"/>
      <x:c r="M178" s="174"/>
      <x:c r="N178" s="174"/>
      <x:c r="O178" s="174"/>
      <x:c r="P178" s="174"/>
      <x:c r="Q178" s="174"/>
      <x:c r="R178" s="174"/>
    </x:row>
    <x:row r="179">
      <x:c r="A179" s="174"/>
      <x:c r="B179" s="174"/>
      <x:c r="C179" s="174"/>
      <x:c r="D179" s="174"/>
      <x:c r="E179" s="174"/>
      <x:c r="F179" s="174"/>
      <x:c r="G179" s="177"/>
      <x:c r="H179" s="177"/>
      <x:c r="I179" s="174"/>
      <x:c r="J179" s="178"/>
      <x:c r="K179" s="174"/>
      <x:c r="L179" s="174"/>
      <x:c r="M179" s="174"/>
      <x:c r="N179" s="174"/>
      <x:c r="O179" s="174"/>
      <x:c r="P179" s="174"/>
      <x:c r="Q179" s="174"/>
      <x:c r="R179" s="174"/>
    </x:row>
    <x:row r="180">
      <x:c r="A180" s="174"/>
      <x:c r="B180" s="174"/>
      <x:c r="C180" s="174"/>
      <x:c r="D180" s="174"/>
      <x:c r="E180" s="174"/>
      <x:c r="F180" s="174"/>
      <x:c r="G180" s="177"/>
      <x:c r="H180" s="177"/>
      <x:c r="I180" s="174"/>
      <x:c r="J180" s="178"/>
      <x:c r="K180" s="174"/>
      <x:c r="L180" s="174"/>
      <x:c r="M180" s="174"/>
      <x:c r="N180" s="174"/>
      <x:c r="O180" s="174"/>
      <x:c r="P180" s="174"/>
      <x:c r="Q180" s="174"/>
      <x:c r="R180" s="174"/>
    </x:row>
    <x:row r="181">
      <x:c r="A181" s="174"/>
      <x:c r="B181" s="174"/>
      <x:c r="C181" s="174"/>
      <x:c r="D181" s="174"/>
      <x:c r="E181" s="174"/>
      <x:c r="F181" s="174"/>
      <x:c r="G181" s="177"/>
      <x:c r="H181" s="177"/>
      <x:c r="I181" s="174"/>
      <x:c r="J181" s="178"/>
      <x:c r="K181" s="174"/>
      <x:c r="L181" s="174"/>
      <x:c r="M181" s="174"/>
      <x:c r="N181" s="174"/>
      <x:c r="O181" s="174"/>
      <x:c r="P181" s="174"/>
      <x:c r="Q181" s="174"/>
      <x:c r="R181" s="174"/>
    </x:row>
    <x:row r="182">
      <x:c r="A182" s="174"/>
      <x:c r="B182" s="174"/>
      <x:c r="C182" s="174"/>
      <x:c r="D182" s="174"/>
      <x:c r="E182" s="174"/>
      <x:c r="F182" s="174"/>
      <x:c r="G182" s="177"/>
      <x:c r="H182" s="177"/>
      <x:c r="I182" s="174"/>
      <x:c r="J182" s="178"/>
      <x:c r="K182" s="174"/>
      <x:c r="L182" s="174"/>
      <x:c r="M182" s="174"/>
      <x:c r="N182" s="174"/>
      <x:c r="O182" s="174"/>
      <x:c r="P182" s="174"/>
      <x:c r="Q182" s="174"/>
      <x:c r="R182" s="174"/>
    </x:row>
    <x:row r="183">
      <x:c r="A183" s="174"/>
      <x:c r="B183" s="174"/>
      <x:c r="C183" s="174"/>
      <x:c r="D183" s="174"/>
      <x:c r="E183" s="174"/>
      <x:c r="F183" s="174"/>
      <x:c r="G183" s="177"/>
      <x:c r="H183" s="177"/>
      <x:c r="I183" s="174"/>
      <x:c r="J183" s="178"/>
      <x:c r="K183" s="174"/>
      <x:c r="L183" s="174"/>
      <x:c r="M183" s="174"/>
      <x:c r="N183" s="174"/>
      <x:c r="O183" s="174"/>
      <x:c r="P183" s="174"/>
      <x:c r="Q183" s="174"/>
      <x:c r="R183" s="174"/>
    </x:row>
    <x:row r="184">
      <x:c r="A184" s="174"/>
      <x:c r="B184" s="174"/>
      <x:c r="C184" s="174"/>
      <x:c r="D184" s="174"/>
      <x:c r="E184" s="174"/>
      <x:c r="F184" s="174"/>
      <x:c r="G184" s="177"/>
      <x:c r="H184" s="177"/>
      <x:c r="I184" s="174"/>
      <x:c r="J184" s="178"/>
      <x:c r="K184" s="174"/>
      <x:c r="L184" s="174"/>
      <x:c r="M184" s="174"/>
      <x:c r="N184" s="174"/>
      <x:c r="O184" s="174"/>
      <x:c r="P184" s="174"/>
      <x:c r="Q184" s="174"/>
      <x:c r="R184" s="174"/>
    </x:row>
    <x:row r="185">
      <x:c r="A185" s="174"/>
      <x:c r="B185" s="174"/>
      <x:c r="C185" s="174"/>
      <x:c r="D185" s="174"/>
      <x:c r="E185" s="174"/>
      <x:c r="F185" s="174"/>
      <x:c r="G185" s="177"/>
      <x:c r="H185" s="177"/>
      <x:c r="I185" s="174"/>
      <x:c r="J185" s="178"/>
      <x:c r="K185" s="174"/>
      <x:c r="L185" s="174"/>
      <x:c r="M185" s="174"/>
      <x:c r="N185" s="174"/>
      <x:c r="O185" s="174"/>
      <x:c r="P185" s="174"/>
      <x:c r="Q185" s="174"/>
      <x:c r="R185" s="174"/>
    </x:row>
    <x:row r="186">
      <x:c r="A186" s="174"/>
      <x:c r="B186" s="174"/>
      <x:c r="C186" s="174"/>
      <x:c r="D186" s="174"/>
      <x:c r="E186" s="174"/>
      <x:c r="F186" s="174"/>
      <x:c r="G186" s="177"/>
      <x:c r="H186" s="177"/>
      <x:c r="I186" s="174"/>
      <x:c r="J186" s="178"/>
      <x:c r="K186" s="174"/>
      <x:c r="L186" s="174"/>
      <x:c r="M186" s="174"/>
      <x:c r="N186" s="174"/>
      <x:c r="O186" s="174"/>
      <x:c r="P186" s="174"/>
      <x:c r="Q186" s="174"/>
      <x:c r="R186" s="174"/>
    </x:row>
    <x:row r="187">
      <x:c r="A187" s="174"/>
      <x:c r="B187" s="174"/>
      <x:c r="C187" s="174"/>
      <x:c r="D187" s="174"/>
      <x:c r="E187" s="174"/>
      <x:c r="F187" s="174"/>
      <x:c r="G187" s="177"/>
      <x:c r="H187" s="177"/>
      <x:c r="I187" s="174"/>
      <x:c r="J187" s="178"/>
      <x:c r="K187" s="174"/>
      <x:c r="L187" s="174"/>
      <x:c r="M187" s="174"/>
      <x:c r="N187" s="174"/>
      <x:c r="O187" s="174"/>
      <x:c r="P187" s="174"/>
      <x:c r="Q187" s="174"/>
      <x:c r="R187" s="174"/>
    </x:row>
    <x:row r="188">
      <x:c r="A188" s="174"/>
      <x:c r="B188" s="174"/>
      <x:c r="C188" s="174"/>
      <x:c r="D188" s="174"/>
      <x:c r="E188" s="174"/>
      <x:c r="F188" s="174"/>
      <x:c r="G188" s="177"/>
      <x:c r="H188" s="177"/>
      <x:c r="I188" s="174"/>
      <x:c r="J188" s="178"/>
      <x:c r="K188" s="174"/>
      <x:c r="L188" s="174"/>
      <x:c r="M188" s="174"/>
      <x:c r="N188" s="174"/>
      <x:c r="O188" s="174"/>
      <x:c r="P188" s="174"/>
      <x:c r="Q188" s="174"/>
      <x:c r="R188" s="174"/>
    </x:row>
    <x:row r="189">
      <x:c r="A189" s="174"/>
      <x:c r="B189" s="174"/>
      <x:c r="C189" s="174"/>
      <x:c r="D189" s="174"/>
      <x:c r="E189" s="174"/>
      <x:c r="F189" s="174"/>
      <x:c r="G189" s="177"/>
      <x:c r="H189" s="177"/>
      <x:c r="I189" s="174"/>
      <x:c r="J189" s="178"/>
      <x:c r="K189" s="174"/>
      <x:c r="L189" s="174"/>
      <x:c r="M189" s="174"/>
      <x:c r="N189" s="174"/>
      <x:c r="O189" s="174"/>
      <x:c r="P189" s="174"/>
      <x:c r="Q189" s="174"/>
      <x:c r="R189" s="174"/>
    </x:row>
    <x:row r="190">
      <x:c r="A190" s="174"/>
      <x:c r="B190" s="174"/>
      <x:c r="C190" s="174"/>
      <x:c r="D190" s="174"/>
      <x:c r="E190" s="174"/>
      <x:c r="F190" s="174"/>
      <x:c r="G190" s="177"/>
      <x:c r="H190" s="177"/>
      <x:c r="I190" s="174"/>
      <x:c r="J190" s="178"/>
      <x:c r="K190" s="174"/>
      <x:c r="L190" s="174"/>
      <x:c r="M190" s="174"/>
      <x:c r="N190" s="174"/>
      <x:c r="O190" s="174"/>
      <x:c r="P190" s="174"/>
      <x:c r="Q190" s="174"/>
      <x:c r="R190" s="174"/>
    </x:row>
    <x:row r="191">
      <x:c r="A191" s="174"/>
      <x:c r="B191" s="174"/>
      <x:c r="C191" s="174"/>
      <x:c r="D191" s="174"/>
      <x:c r="E191" s="174"/>
      <x:c r="F191" s="174"/>
      <x:c r="G191" s="177"/>
      <x:c r="H191" s="177"/>
      <x:c r="I191" s="174"/>
      <x:c r="J191" s="178"/>
      <x:c r="K191" s="174"/>
      <x:c r="L191" s="174"/>
      <x:c r="M191" s="174"/>
      <x:c r="N191" s="174"/>
      <x:c r="O191" s="174"/>
      <x:c r="P191" s="174"/>
      <x:c r="Q191" s="174"/>
      <x:c r="R191" s="174"/>
    </x:row>
    <x:row r="192">
      <x:c r="A192" s="174"/>
      <x:c r="B192" s="174"/>
      <x:c r="C192" s="174"/>
      <x:c r="D192" s="174"/>
      <x:c r="E192" s="174"/>
      <x:c r="F192" s="174"/>
      <x:c r="G192" s="177"/>
      <x:c r="H192" s="177"/>
      <x:c r="I192" s="174"/>
      <x:c r="J192" s="178"/>
      <x:c r="K192" s="174"/>
      <x:c r="L192" s="174"/>
      <x:c r="M192" s="174"/>
      <x:c r="N192" s="174"/>
      <x:c r="O192" s="174"/>
      <x:c r="P192" s="174"/>
      <x:c r="Q192" s="174"/>
      <x:c r="R192" s="174"/>
    </x:row>
    <x:row r="193">
      <x:c r="A193" s="174"/>
      <x:c r="B193" s="174"/>
      <x:c r="C193" s="174"/>
      <x:c r="D193" s="174"/>
      <x:c r="E193" s="174"/>
      <x:c r="F193" s="174"/>
      <x:c r="G193" s="177"/>
      <x:c r="H193" s="177"/>
      <x:c r="I193" s="174"/>
      <x:c r="J193" s="178"/>
      <x:c r="K193" s="174"/>
      <x:c r="L193" s="174"/>
      <x:c r="M193" s="174"/>
      <x:c r="N193" s="174"/>
      <x:c r="O193" s="174"/>
      <x:c r="P193" s="174"/>
      <x:c r="Q193" s="174"/>
      <x:c r="R193" s="174"/>
    </x:row>
    <x:row r="194">
      <x:c r="A194" s="174"/>
      <x:c r="B194" s="174"/>
      <x:c r="C194" s="174"/>
      <x:c r="D194" s="174"/>
      <x:c r="E194" s="174"/>
      <x:c r="F194" s="174"/>
      <x:c r="G194" s="177"/>
      <x:c r="H194" s="177"/>
      <x:c r="I194" s="174"/>
      <x:c r="J194" s="178"/>
      <x:c r="K194" s="174"/>
      <x:c r="L194" s="174"/>
      <x:c r="M194" s="174"/>
      <x:c r="N194" s="174"/>
      <x:c r="O194" s="174"/>
      <x:c r="P194" s="174"/>
      <x:c r="Q194" s="174"/>
      <x:c r="R194" s="174"/>
    </x:row>
    <x:row r="195">
      <x:c r="A195" s="174"/>
      <x:c r="B195" s="174"/>
      <x:c r="C195" s="174"/>
      <x:c r="D195" s="174"/>
      <x:c r="E195" s="174"/>
      <x:c r="F195" s="174"/>
      <x:c r="G195" s="177"/>
      <x:c r="H195" s="177"/>
      <x:c r="I195" s="174"/>
      <x:c r="J195" s="178"/>
      <x:c r="K195" s="174"/>
      <x:c r="L195" s="174"/>
      <x:c r="M195" s="174"/>
      <x:c r="N195" s="174"/>
      <x:c r="O195" s="174"/>
      <x:c r="P195" s="174"/>
      <x:c r="Q195" s="174"/>
      <x:c r="R195" s="174"/>
    </x:row>
    <x:row r="196">
      <x:c r="A196" s="174"/>
      <x:c r="B196" s="174"/>
      <x:c r="C196" s="174"/>
      <x:c r="D196" s="174"/>
      <x:c r="E196" s="174"/>
      <x:c r="F196" s="174"/>
      <x:c r="G196" s="177"/>
      <x:c r="H196" s="177"/>
      <x:c r="I196" s="174"/>
      <x:c r="J196" s="178"/>
      <x:c r="K196" s="174"/>
      <x:c r="L196" s="174"/>
      <x:c r="M196" s="174"/>
      <x:c r="N196" s="174"/>
      <x:c r="O196" s="174"/>
      <x:c r="P196" s="174"/>
      <x:c r="Q196" s="174"/>
      <x:c r="R196" s="174"/>
    </x:row>
    <x:row r="197">
      <x:c r="A197" s="174"/>
      <x:c r="B197" s="174"/>
      <x:c r="C197" s="174"/>
      <x:c r="D197" s="174"/>
      <x:c r="E197" s="174"/>
      <x:c r="F197" s="174"/>
      <x:c r="G197" s="177"/>
      <x:c r="H197" s="177"/>
      <x:c r="I197" s="174"/>
      <x:c r="J197" s="178"/>
      <x:c r="K197" s="174"/>
      <x:c r="L197" s="174"/>
      <x:c r="M197" s="174"/>
      <x:c r="N197" s="174"/>
      <x:c r="O197" s="174"/>
      <x:c r="P197" s="174"/>
      <x:c r="Q197" s="174"/>
      <x:c r="R197" s="174"/>
    </x:row>
    <x:row r="198">
      <x:c r="A198" s="174"/>
      <x:c r="B198" s="174"/>
      <x:c r="C198" s="174"/>
      <x:c r="D198" s="174"/>
      <x:c r="E198" s="174"/>
      <x:c r="F198" s="174"/>
      <x:c r="G198" s="177"/>
      <x:c r="H198" s="177"/>
      <x:c r="I198" s="174"/>
      <x:c r="J198" s="178"/>
      <x:c r="K198" s="174"/>
      <x:c r="L198" s="174"/>
      <x:c r="M198" s="174"/>
      <x:c r="N198" s="174"/>
      <x:c r="O198" s="174"/>
      <x:c r="P198" s="174"/>
      <x:c r="Q198" s="174"/>
      <x:c r="R198" s="174"/>
    </x:row>
    <x:row r="199">
      <x:c r="A199" s="174"/>
      <x:c r="B199" s="174"/>
      <x:c r="C199" s="174"/>
      <x:c r="D199" s="174"/>
      <x:c r="E199" s="174"/>
      <x:c r="F199" s="174"/>
      <x:c r="G199" s="177"/>
      <x:c r="H199" s="177"/>
      <x:c r="I199" s="174"/>
      <x:c r="J199" s="178"/>
      <x:c r="K199" s="174"/>
      <x:c r="L199" s="174"/>
      <x:c r="M199" s="174"/>
      <x:c r="N199" s="174"/>
      <x:c r="O199" s="174"/>
      <x:c r="P199" s="174"/>
      <x:c r="Q199" s="174"/>
      <x:c r="R199" s="174"/>
    </x:row>
    <x:row r="200">
      <x:c r="A200" s="174"/>
      <x:c r="B200" s="174"/>
      <x:c r="C200" s="174"/>
      <x:c r="D200" s="174"/>
      <x:c r="E200" s="174"/>
      <x:c r="F200" s="174"/>
      <x:c r="G200" s="177"/>
      <x:c r="H200" s="177"/>
      <x:c r="I200" s="174"/>
      <x:c r="J200" s="178"/>
      <x:c r="K200" s="174"/>
      <x:c r="L200" s="174"/>
      <x:c r="M200" s="174"/>
      <x:c r="N200" s="174"/>
      <x:c r="O200" s="174"/>
      <x:c r="P200" s="174"/>
      <x:c r="Q200" s="174"/>
      <x:c r="R200" s="174"/>
    </x:row>
    <x:row r="201">
      <x:c r="A201" s="174"/>
      <x:c r="B201" s="174"/>
      <x:c r="C201" s="174"/>
      <x:c r="D201" s="174"/>
      <x:c r="E201" s="174"/>
      <x:c r="F201" s="174"/>
      <x:c r="G201" s="177"/>
      <x:c r="H201" s="177"/>
      <x:c r="I201" s="174"/>
      <x:c r="J201" s="178"/>
      <x:c r="K201" s="174"/>
      <x:c r="L201" s="174"/>
      <x:c r="M201" s="174"/>
      <x:c r="N201" s="174"/>
      <x:c r="O201" s="174"/>
      <x:c r="P201" s="174"/>
      <x:c r="Q201" s="174"/>
      <x:c r="R201" s="174"/>
    </x:row>
    <x:row r="202">
      <x:c r="A202" s="174"/>
      <x:c r="B202" s="174"/>
      <x:c r="C202" s="174"/>
      <x:c r="D202" s="174"/>
      <x:c r="E202" s="174"/>
      <x:c r="F202" s="174"/>
      <x:c r="G202" s="177"/>
      <x:c r="H202" s="177"/>
      <x:c r="I202" s="174"/>
      <x:c r="J202" s="178"/>
      <x:c r="K202" s="174"/>
      <x:c r="L202" s="174"/>
      <x:c r="M202" s="174"/>
      <x:c r="N202" s="174"/>
      <x:c r="O202" s="174"/>
      <x:c r="P202" s="174"/>
      <x:c r="Q202" s="174"/>
      <x:c r="R202" s="174"/>
    </x:row>
    <x:row r="203">
      <x:c r="A203" s="174"/>
      <x:c r="B203" s="174"/>
      <x:c r="C203" s="174"/>
      <x:c r="D203" s="174"/>
      <x:c r="E203" s="174"/>
      <x:c r="F203" s="174"/>
      <x:c r="G203" s="177"/>
      <x:c r="H203" s="177"/>
      <x:c r="I203" s="174"/>
      <x:c r="J203" s="178"/>
      <x:c r="K203" s="174"/>
      <x:c r="L203" s="174"/>
      <x:c r="M203" s="174"/>
      <x:c r="N203" s="174"/>
      <x:c r="O203" s="174"/>
      <x:c r="P203" s="174"/>
      <x:c r="Q203" s="174"/>
      <x:c r="R203" s="174"/>
    </x:row>
    <x:row r="204">
      <x:c r="A204" s="174"/>
      <x:c r="B204" s="174"/>
      <x:c r="C204" s="174"/>
      <x:c r="D204" s="174"/>
      <x:c r="E204" s="174"/>
      <x:c r="F204" s="174"/>
      <x:c r="G204" s="177"/>
      <x:c r="H204" s="177"/>
      <x:c r="I204" s="174"/>
      <x:c r="J204" s="178"/>
      <x:c r="K204" s="174"/>
      <x:c r="L204" s="174"/>
      <x:c r="M204" s="174"/>
      <x:c r="N204" s="174"/>
      <x:c r="O204" s="174"/>
      <x:c r="P204" s="174"/>
      <x:c r="Q204" s="174"/>
      <x:c r="R204" s="174"/>
    </x:row>
    <x:row r="205">
      <x:c r="A205" s="174"/>
      <x:c r="B205" s="174"/>
      <x:c r="C205" s="174"/>
      <x:c r="D205" s="174"/>
      <x:c r="E205" s="174"/>
      <x:c r="F205" s="174"/>
      <x:c r="G205" s="177"/>
      <x:c r="H205" s="177"/>
      <x:c r="I205" s="174"/>
      <x:c r="J205" s="178"/>
      <x:c r="K205" s="174"/>
      <x:c r="L205" s="174"/>
      <x:c r="M205" s="174"/>
      <x:c r="N205" s="174"/>
      <x:c r="O205" s="174"/>
      <x:c r="P205" s="174"/>
      <x:c r="Q205" s="174"/>
      <x:c r="R205" s="174"/>
    </x:row>
    <x:row r="206">
      <x:c r="A206" s="174"/>
      <x:c r="B206" s="174"/>
      <x:c r="C206" s="174"/>
      <x:c r="D206" s="174"/>
      <x:c r="E206" s="174"/>
      <x:c r="F206" s="174"/>
      <x:c r="G206" s="177"/>
      <x:c r="H206" s="177"/>
      <x:c r="I206" s="174"/>
      <x:c r="J206" s="178"/>
      <x:c r="K206" s="174"/>
      <x:c r="L206" s="174"/>
      <x:c r="M206" s="174"/>
      <x:c r="N206" s="174"/>
      <x:c r="O206" s="174"/>
      <x:c r="P206" s="174"/>
      <x:c r="Q206" s="174"/>
      <x:c r="R206" s="174"/>
    </x:row>
    <x:row r="207">
      <x:c r="A207" s="174"/>
      <x:c r="B207" s="174"/>
      <x:c r="C207" s="174"/>
      <x:c r="D207" s="174"/>
      <x:c r="E207" s="174"/>
      <x:c r="F207" s="174"/>
      <x:c r="G207" s="177"/>
      <x:c r="H207" s="177"/>
      <x:c r="I207" s="174"/>
      <x:c r="J207" s="178"/>
      <x:c r="K207" s="174"/>
      <x:c r="L207" s="174"/>
      <x:c r="M207" s="174"/>
      <x:c r="N207" s="174"/>
      <x:c r="O207" s="174"/>
      <x:c r="P207" s="174"/>
      <x:c r="Q207" s="174"/>
      <x:c r="R207" s="174"/>
    </x:row>
    <x:row r="208">
      <x:c r="A208" s="174"/>
      <x:c r="B208" s="174"/>
      <x:c r="C208" s="174"/>
      <x:c r="D208" s="174"/>
      <x:c r="E208" s="174"/>
      <x:c r="F208" s="174"/>
      <x:c r="G208" s="177"/>
      <x:c r="H208" s="177"/>
      <x:c r="I208" s="174"/>
      <x:c r="J208" s="178"/>
      <x:c r="K208" s="174"/>
      <x:c r="L208" s="174"/>
      <x:c r="M208" s="174"/>
      <x:c r="N208" s="174"/>
      <x:c r="O208" s="174"/>
      <x:c r="P208" s="174"/>
      <x:c r="Q208" s="174"/>
      <x:c r="R208" s="174"/>
    </x:row>
    <x:row r="209">
      <x:c r="A209" s="174"/>
      <x:c r="B209" s="174"/>
      <x:c r="C209" s="174"/>
      <x:c r="D209" s="174"/>
      <x:c r="E209" s="174"/>
      <x:c r="F209" s="174"/>
      <x:c r="G209" s="177"/>
      <x:c r="H209" s="177"/>
      <x:c r="I209" s="174"/>
      <x:c r="J209" s="178"/>
      <x:c r="K209" s="174"/>
      <x:c r="L209" s="174"/>
      <x:c r="M209" s="174"/>
      <x:c r="N209" s="174"/>
      <x:c r="O209" s="174"/>
      <x:c r="P209" s="174"/>
      <x:c r="Q209" s="174"/>
      <x:c r="R209" s="174"/>
    </x:row>
    <x:row r="210">
      <x:c r="A210" s="174"/>
      <x:c r="B210" s="174"/>
      <x:c r="C210" s="174"/>
      <x:c r="D210" s="174"/>
      <x:c r="E210" s="174"/>
      <x:c r="F210" s="174"/>
      <x:c r="G210" s="177"/>
      <x:c r="H210" s="177"/>
      <x:c r="I210" s="174"/>
      <x:c r="J210" s="178"/>
      <x:c r="K210" s="174"/>
      <x:c r="L210" s="174"/>
      <x:c r="M210" s="174"/>
      <x:c r="N210" s="174"/>
      <x:c r="O210" s="174"/>
      <x:c r="P210" s="174"/>
      <x:c r="Q210" s="174"/>
      <x:c r="R210" s="174"/>
    </x:row>
    <x:row r="211">
      <x:c r="A211" s="174"/>
      <x:c r="B211" s="174"/>
      <x:c r="C211" s="174"/>
      <x:c r="D211" s="174"/>
      <x:c r="E211" s="174"/>
      <x:c r="F211" s="174"/>
      <x:c r="G211" s="177"/>
      <x:c r="H211" s="177"/>
      <x:c r="I211" s="174"/>
      <x:c r="J211" s="178"/>
      <x:c r="K211" s="174"/>
      <x:c r="L211" s="174"/>
      <x:c r="M211" s="174"/>
      <x:c r="N211" s="174"/>
      <x:c r="O211" s="174"/>
      <x:c r="P211" s="174"/>
      <x:c r="Q211" s="174"/>
      <x:c r="R211" s="174"/>
    </x:row>
    <x:row r="212">
      <x:c r="A212" s="174"/>
      <x:c r="B212" s="174"/>
      <x:c r="C212" s="174"/>
      <x:c r="D212" s="174"/>
      <x:c r="E212" s="174"/>
      <x:c r="F212" s="174"/>
      <x:c r="G212" s="177"/>
      <x:c r="H212" s="177"/>
      <x:c r="I212" s="174"/>
      <x:c r="J212" s="178"/>
      <x:c r="K212" s="174"/>
      <x:c r="L212" s="174"/>
      <x:c r="M212" s="174"/>
      <x:c r="N212" s="174"/>
      <x:c r="O212" s="174"/>
      <x:c r="P212" s="174"/>
      <x:c r="Q212" s="174"/>
      <x:c r="R212" s="174"/>
    </x:row>
    <x:row r="213">
      <x:c r="A213" s="174"/>
      <x:c r="B213" s="174"/>
      <x:c r="C213" s="174"/>
      <x:c r="D213" s="174"/>
      <x:c r="E213" s="174"/>
      <x:c r="F213" s="174"/>
      <x:c r="G213" s="177"/>
      <x:c r="H213" s="177"/>
      <x:c r="I213" s="174"/>
      <x:c r="J213" s="178"/>
      <x:c r="K213" s="174"/>
      <x:c r="L213" s="174"/>
      <x:c r="M213" s="174"/>
      <x:c r="N213" s="174"/>
      <x:c r="O213" s="174"/>
      <x:c r="P213" s="174"/>
      <x:c r="Q213" s="174"/>
      <x:c r="R213" s="174"/>
    </x:row>
    <x:row r="214">
      <x:c r="A214" s="174"/>
      <x:c r="B214" s="174"/>
      <x:c r="C214" s="174"/>
      <x:c r="D214" s="174"/>
      <x:c r="E214" s="174"/>
      <x:c r="F214" s="174"/>
      <x:c r="G214" s="177"/>
      <x:c r="H214" s="177"/>
      <x:c r="I214" s="174"/>
      <x:c r="J214" s="178"/>
      <x:c r="K214" s="174"/>
      <x:c r="L214" s="174"/>
      <x:c r="M214" s="174"/>
      <x:c r="N214" s="174"/>
      <x:c r="O214" s="174"/>
      <x:c r="P214" s="174"/>
      <x:c r="Q214" s="174"/>
      <x:c r="R214" s="174"/>
    </x:row>
    <x:row r="215">
      <x:c r="A215" s="174"/>
      <x:c r="B215" s="174"/>
      <x:c r="C215" s="174"/>
      <x:c r="D215" s="174"/>
      <x:c r="E215" s="174"/>
      <x:c r="F215" s="174"/>
      <x:c r="G215" s="177"/>
      <x:c r="H215" s="177"/>
      <x:c r="I215" s="174"/>
      <x:c r="J215" s="178"/>
      <x:c r="K215" s="174"/>
      <x:c r="L215" s="174"/>
      <x:c r="M215" s="174"/>
      <x:c r="N215" s="174"/>
      <x:c r="O215" s="174"/>
      <x:c r="P215" s="174"/>
      <x:c r="Q215" s="174"/>
      <x:c r="R215" s="174"/>
    </x:row>
    <x:row r="216">
      <x:c r="A216" s="174"/>
      <x:c r="B216" s="174"/>
      <x:c r="C216" s="174"/>
      <x:c r="D216" s="174"/>
      <x:c r="E216" s="174"/>
      <x:c r="F216" s="174"/>
      <x:c r="G216" s="177"/>
      <x:c r="H216" s="177"/>
      <x:c r="I216" s="174"/>
      <x:c r="J216" s="178"/>
      <x:c r="K216" s="174"/>
      <x:c r="L216" s="174"/>
      <x:c r="M216" s="174"/>
      <x:c r="N216" s="174"/>
      <x:c r="O216" s="174"/>
      <x:c r="P216" s="174"/>
      <x:c r="Q216" s="174"/>
      <x:c r="R216" s="174"/>
    </x:row>
    <x:row r="217">
      <x:c r="A217" s="174"/>
      <x:c r="B217" s="174"/>
      <x:c r="C217" s="174"/>
      <x:c r="D217" s="174"/>
      <x:c r="E217" s="174"/>
      <x:c r="F217" s="174"/>
      <x:c r="G217" s="177"/>
      <x:c r="H217" s="177"/>
      <x:c r="I217" s="174"/>
      <x:c r="J217" s="178"/>
      <x:c r="K217" s="174"/>
      <x:c r="L217" s="174"/>
      <x:c r="M217" s="174"/>
      <x:c r="N217" s="174"/>
      <x:c r="O217" s="174"/>
      <x:c r="P217" s="174"/>
      <x:c r="Q217" s="174"/>
      <x:c r="R217" s="174"/>
    </x:row>
    <x:row r="218">
      <x:c r="A218" s="174"/>
      <x:c r="B218" s="174"/>
      <x:c r="C218" s="174"/>
      <x:c r="D218" s="174"/>
      <x:c r="E218" s="174"/>
      <x:c r="F218" s="174"/>
      <x:c r="G218" s="177"/>
      <x:c r="H218" s="177"/>
      <x:c r="I218" s="174"/>
      <x:c r="J218" s="178"/>
      <x:c r="K218" s="174"/>
      <x:c r="L218" s="174"/>
      <x:c r="M218" s="174"/>
      <x:c r="N218" s="174"/>
      <x:c r="O218" s="174"/>
      <x:c r="P218" s="174"/>
      <x:c r="Q218" s="174"/>
      <x:c r="R218" s="174"/>
    </x:row>
    <x:row r="219">
      <x:c r="A219" s="174"/>
      <x:c r="B219" s="174"/>
      <x:c r="C219" s="174"/>
      <x:c r="D219" s="174"/>
      <x:c r="E219" s="174"/>
      <x:c r="F219" s="174"/>
      <x:c r="G219" s="177"/>
      <x:c r="H219" s="177"/>
      <x:c r="I219" s="174"/>
      <x:c r="J219" s="178"/>
      <x:c r="K219" s="174"/>
      <x:c r="L219" s="174"/>
      <x:c r="M219" s="174"/>
      <x:c r="N219" s="174"/>
      <x:c r="O219" s="174"/>
      <x:c r="P219" s="174"/>
      <x:c r="Q219" s="174"/>
      <x:c r="R219" s="174"/>
    </x:row>
    <x:row r="220">
      <x:c r="A220" s="174"/>
      <x:c r="B220" s="174"/>
      <x:c r="C220" s="174"/>
      <x:c r="D220" s="174"/>
      <x:c r="E220" s="174"/>
      <x:c r="F220" s="174"/>
      <x:c r="G220" s="177"/>
      <x:c r="H220" s="177"/>
      <x:c r="I220" s="174"/>
      <x:c r="J220" s="178"/>
      <x:c r="K220" s="174"/>
      <x:c r="L220" s="174"/>
      <x:c r="M220" s="174"/>
      <x:c r="N220" s="174"/>
      <x:c r="O220" s="174"/>
      <x:c r="P220" s="174"/>
      <x:c r="Q220" s="174"/>
      <x:c r="R220" s="174"/>
    </x:row>
    <x:row r="221">
      <x:c r="A221" s="174"/>
      <x:c r="B221" s="174"/>
      <x:c r="C221" s="174"/>
      <x:c r="D221" s="174"/>
      <x:c r="E221" s="174"/>
      <x:c r="F221" s="174"/>
      <x:c r="G221" s="177"/>
      <x:c r="H221" s="177"/>
      <x:c r="I221" s="174"/>
      <x:c r="J221" s="178"/>
      <x:c r="K221" s="174"/>
      <x:c r="L221" s="174"/>
      <x:c r="M221" s="174"/>
      <x:c r="N221" s="174"/>
      <x:c r="O221" s="174"/>
      <x:c r="P221" s="174"/>
      <x:c r="Q221" s="174"/>
      <x:c r="R221" s="174"/>
    </x:row>
    <x:row r="222">
      <x:c r="A222" s="174"/>
      <x:c r="B222" s="174"/>
      <x:c r="C222" s="174"/>
      <x:c r="D222" s="174"/>
      <x:c r="E222" s="174"/>
      <x:c r="F222" s="174"/>
      <x:c r="G222" s="177"/>
      <x:c r="H222" s="177"/>
      <x:c r="I222" s="174"/>
      <x:c r="J222" s="178"/>
      <x:c r="K222" s="174"/>
      <x:c r="L222" s="174"/>
      <x:c r="M222" s="174"/>
      <x:c r="N222" s="174"/>
      <x:c r="O222" s="174"/>
      <x:c r="P222" s="174"/>
      <x:c r="Q222" s="174"/>
      <x:c r="R222" s="174"/>
    </x:row>
    <x:row r="223">
      <x:c r="A223" s="174"/>
      <x:c r="B223" s="174"/>
      <x:c r="C223" s="174"/>
      <x:c r="D223" s="174"/>
      <x:c r="E223" s="174"/>
      <x:c r="F223" s="174"/>
      <x:c r="G223" s="177"/>
      <x:c r="H223" s="177"/>
      <x:c r="I223" s="174"/>
      <x:c r="J223" s="178"/>
      <x:c r="K223" s="174"/>
      <x:c r="L223" s="174"/>
      <x:c r="M223" s="174"/>
      <x:c r="N223" s="174"/>
      <x:c r="O223" s="174"/>
      <x:c r="P223" s="174"/>
      <x:c r="Q223" s="174"/>
      <x:c r="R223" s="174"/>
    </x:row>
    <x:row r="224">
      <x:c r="A224" s="174"/>
      <x:c r="B224" s="174"/>
      <x:c r="C224" s="174"/>
      <x:c r="D224" s="174"/>
      <x:c r="E224" s="174"/>
      <x:c r="F224" s="174"/>
      <x:c r="G224" s="177"/>
      <x:c r="H224" s="177"/>
      <x:c r="I224" s="174"/>
      <x:c r="J224" s="178"/>
      <x:c r="K224" s="174"/>
      <x:c r="L224" s="174"/>
      <x:c r="M224" s="174"/>
      <x:c r="N224" s="174"/>
      <x:c r="O224" s="174"/>
      <x:c r="P224" s="174"/>
      <x:c r="Q224" s="174"/>
      <x:c r="R224" s="174"/>
    </x:row>
    <x:row r="225">
      <x:c r="A225" s="174"/>
      <x:c r="B225" s="174"/>
      <x:c r="C225" s="174"/>
      <x:c r="D225" s="174"/>
      <x:c r="E225" s="174"/>
      <x:c r="F225" s="174"/>
      <x:c r="G225" s="177"/>
      <x:c r="H225" s="177"/>
      <x:c r="I225" s="174"/>
      <x:c r="J225" s="178"/>
      <x:c r="K225" s="174"/>
      <x:c r="L225" s="174"/>
      <x:c r="M225" s="174"/>
      <x:c r="N225" s="174"/>
      <x:c r="O225" s="174"/>
      <x:c r="P225" s="174"/>
      <x:c r="Q225" s="174"/>
      <x:c r="R225" s="174"/>
    </x:row>
    <x:row r="226">
      <x:c r="A226" s="174"/>
      <x:c r="B226" s="174"/>
      <x:c r="C226" s="174"/>
      <x:c r="D226" s="174"/>
      <x:c r="E226" s="174"/>
      <x:c r="F226" s="174"/>
      <x:c r="G226" s="177"/>
      <x:c r="H226" s="177"/>
      <x:c r="I226" s="174"/>
      <x:c r="J226" s="178"/>
      <x:c r="K226" s="174"/>
      <x:c r="L226" s="174"/>
      <x:c r="M226" s="174"/>
      <x:c r="N226" s="174"/>
      <x:c r="O226" s="174"/>
      <x:c r="P226" s="174"/>
      <x:c r="Q226" s="174"/>
      <x:c r="R226" s="174"/>
    </x:row>
    <x:row r="227">
      <x:c r="A227" s="174"/>
      <x:c r="B227" s="174"/>
      <x:c r="C227" s="174"/>
      <x:c r="D227" s="174"/>
      <x:c r="E227" s="174"/>
      <x:c r="F227" s="174"/>
      <x:c r="G227" s="177"/>
      <x:c r="H227" s="177"/>
      <x:c r="I227" s="174"/>
      <x:c r="J227" s="178"/>
      <x:c r="K227" s="174"/>
      <x:c r="L227" s="174"/>
      <x:c r="M227" s="174"/>
      <x:c r="N227" s="174"/>
      <x:c r="O227" s="174"/>
      <x:c r="P227" s="174"/>
      <x:c r="Q227" s="174"/>
      <x:c r="R227" s="174"/>
    </x:row>
    <x:row r="228">
      <x:c r="A228" s="174"/>
      <x:c r="B228" s="174"/>
      <x:c r="C228" s="174"/>
      <x:c r="D228" s="174"/>
      <x:c r="E228" s="174"/>
      <x:c r="F228" s="174"/>
      <x:c r="G228" s="177"/>
      <x:c r="H228" s="177"/>
      <x:c r="I228" s="174"/>
      <x:c r="J228" s="178"/>
      <x:c r="K228" s="174"/>
      <x:c r="L228" s="174"/>
      <x:c r="M228" s="174"/>
      <x:c r="N228" s="174"/>
      <x:c r="O228" s="174"/>
      <x:c r="P228" s="174"/>
      <x:c r="Q228" s="174"/>
      <x:c r="R228" s="174"/>
    </x:row>
    <x:row r="229">
      <x:c r="A229" s="174"/>
      <x:c r="B229" s="174"/>
      <x:c r="C229" s="174"/>
      <x:c r="D229" s="174"/>
      <x:c r="E229" s="174"/>
      <x:c r="F229" s="174"/>
      <x:c r="G229" s="177"/>
      <x:c r="H229" s="177"/>
      <x:c r="I229" s="174"/>
      <x:c r="J229" s="178"/>
      <x:c r="K229" s="174"/>
      <x:c r="L229" s="174"/>
      <x:c r="M229" s="174"/>
      <x:c r="N229" s="174"/>
      <x:c r="O229" s="174"/>
      <x:c r="P229" s="174"/>
      <x:c r="Q229" s="174"/>
      <x:c r="R229" s="174"/>
    </x:row>
    <x:row r="230">
      <x:c r="A230" s="174"/>
      <x:c r="B230" s="174"/>
      <x:c r="C230" s="174"/>
      <x:c r="D230" s="174"/>
      <x:c r="E230" s="174"/>
      <x:c r="F230" s="174"/>
      <x:c r="G230" s="177"/>
      <x:c r="H230" s="177"/>
      <x:c r="I230" s="174"/>
      <x:c r="J230" s="178"/>
      <x:c r="K230" s="174"/>
      <x:c r="L230" s="174"/>
      <x:c r="M230" s="174"/>
      <x:c r="N230" s="174"/>
      <x:c r="O230" s="174"/>
      <x:c r="P230" s="174"/>
      <x:c r="Q230" s="174"/>
      <x:c r="R230" s="174"/>
    </x:row>
    <x:row r="231">
      <x:c r="A231" s="174"/>
      <x:c r="B231" s="174"/>
      <x:c r="C231" s="174"/>
      <x:c r="D231" s="174"/>
      <x:c r="E231" s="174"/>
      <x:c r="F231" s="174"/>
      <x:c r="G231" s="177"/>
      <x:c r="H231" s="177"/>
      <x:c r="I231" s="174"/>
      <x:c r="J231" s="178"/>
      <x:c r="K231" s="174"/>
      <x:c r="L231" s="174"/>
      <x:c r="M231" s="174"/>
      <x:c r="N231" s="174"/>
      <x:c r="O231" s="174"/>
      <x:c r="P231" s="174"/>
      <x:c r="Q231" s="174"/>
      <x:c r="R231" s="174"/>
    </x:row>
    <x:row r="232">
      <x:c r="A232" s="174"/>
      <x:c r="B232" s="174"/>
      <x:c r="C232" s="174"/>
      <x:c r="D232" s="174"/>
      <x:c r="E232" s="174"/>
      <x:c r="F232" s="174"/>
      <x:c r="G232" s="177"/>
      <x:c r="H232" s="177"/>
      <x:c r="I232" s="174"/>
      <x:c r="J232" s="178"/>
      <x:c r="K232" s="174"/>
      <x:c r="L232" s="174"/>
      <x:c r="M232" s="174"/>
      <x:c r="N232" s="174"/>
      <x:c r="O232" s="174"/>
      <x:c r="P232" s="174"/>
      <x:c r="Q232" s="174"/>
      <x:c r="R232" s="174"/>
    </x:row>
    <x:row r="233">
      <x:c r="A233" s="174"/>
      <x:c r="B233" s="174"/>
      <x:c r="C233" s="174"/>
      <x:c r="D233" s="174"/>
      <x:c r="E233" s="174"/>
      <x:c r="F233" s="174"/>
      <x:c r="G233" s="177"/>
      <x:c r="H233" s="177"/>
      <x:c r="I233" s="174"/>
      <x:c r="J233" s="178"/>
      <x:c r="K233" s="174"/>
      <x:c r="L233" s="174"/>
      <x:c r="M233" s="174"/>
      <x:c r="N233" s="174"/>
      <x:c r="O233" s="174"/>
      <x:c r="P233" s="174"/>
      <x:c r="Q233" s="174"/>
      <x:c r="R233" s="174"/>
    </x:row>
    <x:row r="234">
      <x:c r="A234" s="174"/>
      <x:c r="B234" s="174"/>
      <x:c r="C234" s="174"/>
      <x:c r="D234" s="174"/>
      <x:c r="E234" s="174"/>
      <x:c r="F234" s="174"/>
      <x:c r="G234" s="177"/>
      <x:c r="H234" s="177"/>
      <x:c r="I234" s="174"/>
      <x:c r="J234" s="178"/>
      <x:c r="K234" s="174"/>
      <x:c r="L234" s="174"/>
      <x:c r="M234" s="174"/>
      <x:c r="N234" s="174"/>
      <x:c r="O234" s="174"/>
      <x:c r="P234" s="174"/>
      <x:c r="Q234" s="174"/>
      <x:c r="R234" s="174"/>
    </x:row>
    <x:row r="235">
      <x:c r="A235" s="174"/>
      <x:c r="B235" s="174"/>
      <x:c r="C235" s="174"/>
      <x:c r="D235" s="174"/>
      <x:c r="E235" s="174"/>
      <x:c r="F235" s="174"/>
      <x:c r="G235" s="177"/>
      <x:c r="H235" s="177"/>
      <x:c r="I235" s="174"/>
      <x:c r="J235" s="178"/>
      <x:c r="K235" s="174"/>
      <x:c r="L235" s="174"/>
      <x:c r="M235" s="174"/>
      <x:c r="N235" s="174"/>
      <x:c r="O235" s="174"/>
      <x:c r="P235" s="174"/>
      <x:c r="Q235" s="174"/>
      <x:c r="R235" s="174"/>
    </x:row>
    <x:row r="236">
      <x:c r="A236" s="174"/>
      <x:c r="B236" s="174"/>
      <x:c r="C236" s="174"/>
      <x:c r="D236" s="174"/>
      <x:c r="E236" s="174"/>
      <x:c r="F236" s="174"/>
      <x:c r="G236" s="177"/>
      <x:c r="H236" s="177"/>
      <x:c r="I236" s="174"/>
      <x:c r="J236" s="178"/>
      <x:c r="K236" s="174"/>
      <x:c r="L236" s="174"/>
      <x:c r="M236" s="174"/>
      <x:c r="N236" s="174"/>
      <x:c r="O236" s="174"/>
      <x:c r="P236" s="174"/>
      <x:c r="Q236" s="174"/>
      <x:c r="R236" s="174"/>
    </x:row>
    <x:row r="237">
      <x:c r="A237" s="174"/>
      <x:c r="B237" s="174"/>
      <x:c r="C237" s="174"/>
      <x:c r="D237" s="174"/>
      <x:c r="E237" s="174"/>
      <x:c r="F237" s="174"/>
      <x:c r="G237" s="177"/>
      <x:c r="H237" s="177"/>
      <x:c r="I237" s="174"/>
      <x:c r="J237" s="178"/>
      <x:c r="K237" s="174"/>
      <x:c r="L237" s="174"/>
      <x:c r="M237" s="174"/>
      <x:c r="N237" s="174"/>
      <x:c r="O237" s="174"/>
      <x:c r="P237" s="174"/>
      <x:c r="Q237" s="174"/>
      <x:c r="R237" s="174"/>
    </x:row>
    <x:row r="238">
      <x:c r="A238" s="174"/>
      <x:c r="B238" s="174"/>
      <x:c r="C238" s="174"/>
      <x:c r="D238" s="174"/>
      <x:c r="E238" s="174"/>
      <x:c r="F238" s="174"/>
      <x:c r="G238" s="177"/>
      <x:c r="H238" s="177"/>
      <x:c r="I238" s="174"/>
      <x:c r="J238" s="178"/>
      <x:c r="K238" s="174"/>
      <x:c r="L238" s="174"/>
      <x:c r="M238" s="174"/>
      <x:c r="N238" s="174"/>
      <x:c r="O238" s="174"/>
      <x:c r="P238" s="174"/>
      <x:c r="Q238" s="174"/>
      <x:c r="R238" s="174"/>
    </x:row>
    <x:row r="239">
      <x:c r="A239" s="174"/>
      <x:c r="B239" s="174"/>
      <x:c r="C239" s="174"/>
      <x:c r="D239" s="174"/>
      <x:c r="E239" s="174"/>
      <x:c r="F239" s="174"/>
      <x:c r="G239" s="177"/>
      <x:c r="H239" s="177"/>
      <x:c r="I239" s="174"/>
      <x:c r="J239" s="178"/>
      <x:c r="K239" s="174"/>
      <x:c r="L239" s="174"/>
      <x:c r="M239" s="174"/>
      <x:c r="N239" s="174"/>
      <x:c r="O239" s="174"/>
      <x:c r="P239" s="174"/>
      <x:c r="Q239" s="174"/>
      <x:c r="R239" s="174"/>
    </x:row>
    <x:row r="240">
      <x:c r="A240" s="174"/>
      <x:c r="B240" s="174"/>
      <x:c r="C240" s="174"/>
      <x:c r="D240" s="174"/>
      <x:c r="E240" s="174"/>
      <x:c r="F240" s="174"/>
      <x:c r="G240" s="177"/>
      <x:c r="H240" s="177"/>
      <x:c r="I240" s="174"/>
      <x:c r="J240" s="178"/>
      <x:c r="K240" s="174"/>
      <x:c r="L240" s="174"/>
      <x:c r="M240" s="174"/>
      <x:c r="N240" s="174"/>
      <x:c r="O240" s="174"/>
      <x:c r="P240" s="174"/>
      <x:c r="Q240" s="174"/>
      <x:c r="R240" s="174"/>
    </x:row>
    <x:row r="241">
      <x:c r="A241" s="174"/>
      <x:c r="B241" s="174"/>
      <x:c r="C241" s="174"/>
      <x:c r="D241" s="174"/>
      <x:c r="E241" s="174"/>
      <x:c r="F241" s="174"/>
      <x:c r="G241" s="177"/>
      <x:c r="H241" s="177"/>
      <x:c r="I241" s="174"/>
      <x:c r="J241" s="178"/>
      <x:c r="K241" s="174"/>
      <x:c r="L241" s="174"/>
      <x:c r="M241" s="174"/>
      <x:c r="N241" s="174"/>
      <x:c r="O241" s="174"/>
      <x:c r="P241" s="174"/>
      <x:c r="Q241" s="174"/>
      <x:c r="R241" s="174"/>
    </x:row>
    <x:row r="242">
      <x:c r="A242" s="174"/>
      <x:c r="B242" s="174"/>
      <x:c r="C242" s="174"/>
      <x:c r="D242" s="174"/>
      <x:c r="E242" s="174"/>
      <x:c r="F242" s="174"/>
      <x:c r="G242" s="177"/>
      <x:c r="H242" s="177"/>
      <x:c r="I242" s="174"/>
      <x:c r="J242" s="178"/>
      <x:c r="K242" s="174"/>
      <x:c r="L242" s="174"/>
      <x:c r="M242" s="174"/>
      <x:c r="N242" s="174"/>
      <x:c r="O242" s="174"/>
      <x:c r="P242" s="174"/>
      <x:c r="Q242" s="174"/>
      <x:c r="R242" s="174"/>
    </x:row>
    <x:row r="243">
      <x:c r="A243" s="174"/>
      <x:c r="B243" s="174"/>
      <x:c r="C243" s="174"/>
      <x:c r="D243" s="174"/>
      <x:c r="E243" s="174"/>
      <x:c r="F243" s="174"/>
      <x:c r="G243" s="177"/>
      <x:c r="H243" s="177"/>
      <x:c r="I243" s="174"/>
      <x:c r="J243" s="178"/>
      <x:c r="K243" s="174"/>
      <x:c r="L243" s="174"/>
      <x:c r="M243" s="174"/>
      <x:c r="N243" s="174"/>
      <x:c r="O243" s="174"/>
      <x:c r="P243" s="174"/>
      <x:c r="Q243" s="174"/>
      <x:c r="R243" s="174"/>
    </x:row>
    <x:row r="244">
      <x:c r="A244" s="174"/>
      <x:c r="B244" s="174"/>
      <x:c r="C244" s="174"/>
      <x:c r="D244" s="174"/>
      <x:c r="E244" s="174"/>
      <x:c r="F244" s="174"/>
      <x:c r="G244" s="177"/>
      <x:c r="H244" s="177"/>
      <x:c r="I244" s="174"/>
      <x:c r="J244" s="178"/>
      <x:c r="K244" s="174"/>
      <x:c r="L244" s="174"/>
      <x:c r="M244" s="174"/>
      <x:c r="N244" s="174"/>
      <x:c r="O244" s="174"/>
      <x:c r="P244" s="174"/>
      <x:c r="Q244" s="174"/>
      <x:c r="R244" s="174"/>
    </x:row>
    <x:row r="245">
      <x:c r="A245" s="174"/>
      <x:c r="B245" s="174"/>
      <x:c r="C245" s="174"/>
      <x:c r="D245" s="174"/>
      <x:c r="E245" s="174"/>
      <x:c r="F245" s="174"/>
      <x:c r="G245" s="177"/>
      <x:c r="H245" s="177"/>
      <x:c r="I245" s="174"/>
      <x:c r="J245" s="178"/>
      <x:c r="K245" s="174"/>
      <x:c r="L245" s="174"/>
      <x:c r="M245" s="174"/>
      <x:c r="N245" s="174"/>
      <x:c r="O245" s="174"/>
      <x:c r="P245" s="174"/>
      <x:c r="Q245" s="174"/>
      <x:c r="R245" s="174"/>
    </x:row>
    <x:row r="246">
      <x:c r="A246" s="174"/>
      <x:c r="B246" s="174"/>
      <x:c r="C246" s="174"/>
      <x:c r="D246" s="174"/>
      <x:c r="E246" s="174"/>
      <x:c r="F246" s="174"/>
      <x:c r="G246" s="177"/>
      <x:c r="H246" s="177"/>
      <x:c r="I246" s="174"/>
      <x:c r="J246" s="178"/>
      <x:c r="K246" s="174"/>
      <x:c r="L246" s="174"/>
      <x:c r="M246" s="174"/>
      <x:c r="N246" s="174"/>
      <x:c r="O246" s="174"/>
      <x:c r="P246" s="174"/>
      <x:c r="Q246" s="174"/>
      <x:c r="R246" s="174"/>
    </x:row>
    <x:row r="247">
      <x:c r="A247" s="174"/>
      <x:c r="B247" s="174"/>
      <x:c r="C247" s="174"/>
      <x:c r="D247" s="174"/>
      <x:c r="E247" s="174"/>
      <x:c r="F247" s="174"/>
      <x:c r="G247" s="177"/>
      <x:c r="H247" s="177"/>
      <x:c r="I247" s="174"/>
      <x:c r="J247" s="178"/>
      <x:c r="K247" s="174"/>
      <x:c r="L247" s="174"/>
      <x:c r="M247" s="174"/>
      <x:c r="N247" s="174"/>
      <x:c r="O247" s="174"/>
      <x:c r="P247" s="174"/>
      <x:c r="Q247" s="174"/>
      <x:c r="R247" s="174"/>
    </x:row>
    <x:row r="248">
      <x:c r="A248" s="174"/>
      <x:c r="B248" s="174"/>
      <x:c r="C248" s="174"/>
      <x:c r="D248" s="174"/>
      <x:c r="E248" s="174"/>
      <x:c r="F248" s="174"/>
      <x:c r="G248" s="177"/>
      <x:c r="H248" s="177"/>
      <x:c r="I248" s="174"/>
      <x:c r="J248" s="178"/>
      <x:c r="K248" s="174"/>
      <x:c r="L248" s="174"/>
      <x:c r="M248" s="174"/>
      <x:c r="N248" s="174"/>
      <x:c r="O248" s="174"/>
      <x:c r="P248" s="174"/>
      <x:c r="Q248" s="174"/>
      <x:c r="R248" s="174"/>
    </x:row>
    <x:row r="249">
      <x:c r="A249" s="174"/>
      <x:c r="B249" s="174"/>
      <x:c r="C249" s="174"/>
      <x:c r="D249" s="174"/>
      <x:c r="E249" s="174"/>
      <x:c r="F249" s="174"/>
      <x:c r="G249" s="177"/>
      <x:c r="H249" s="177"/>
      <x:c r="I249" s="174"/>
      <x:c r="J249" s="178"/>
      <x:c r="K249" s="174"/>
      <x:c r="L249" s="174"/>
      <x:c r="M249" s="174"/>
      <x:c r="N249" s="174"/>
      <x:c r="O249" s="174"/>
      <x:c r="P249" s="174"/>
      <x:c r="Q249" s="174"/>
      <x:c r="R249" s="174"/>
    </x:row>
    <x:row r="250">
      <x:c r="A250" s="174"/>
      <x:c r="B250" s="174"/>
      <x:c r="C250" s="174"/>
      <x:c r="D250" s="174"/>
      <x:c r="E250" s="174"/>
      <x:c r="F250" s="174"/>
      <x:c r="G250" s="177"/>
      <x:c r="H250" s="177"/>
      <x:c r="I250" s="174"/>
      <x:c r="J250" s="178"/>
      <x:c r="K250" s="174"/>
      <x:c r="L250" s="174"/>
      <x:c r="M250" s="174"/>
      <x:c r="N250" s="174"/>
      <x:c r="O250" s="174"/>
      <x:c r="P250" s="174"/>
      <x:c r="Q250" s="174"/>
      <x:c r="R250" s="174"/>
    </x:row>
    <x:row r="251">
      <x:c r="A251" s="174"/>
      <x:c r="B251" s="174"/>
      <x:c r="C251" s="174"/>
      <x:c r="D251" s="174"/>
      <x:c r="E251" s="174"/>
      <x:c r="F251" s="174"/>
      <x:c r="G251" s="177"/>
      <x:c r="H251" s="177"/>
      <x:c r="I251" s="174"/>
      <x:c r="J251" s="178"/>
      <x:c r="K251" s="174"/>
      <x:c r="L251" s="174"/>
      <x:c r="M251" s="174"/>
      <x:c r="N251" s="174"/>
      <x:c r="O251" s="174"/>
      <x:c r="P251" s="174"/>
      <x:c r="Q251" s="174"/>
      <x:c r="R251" s="174"/>
    </x:row>
    <x:row r="252">
      <x:c r="A252" s="174"/>
      <x:c r="B252" s="174"/>
      <x:c r="C252" s="174"/>
      <x:c r="D252" s="174"/>
      <x:c r="E252" s="174"/>
      <x:c r="F252" s="174"/>
      <x:c r="G252" s="177"/>
      <x:c r="H252" s="177"/>
      <x:c r="I252" s="174"/>
      <x:c r="J252" s="178"/>
      <x:c r="K252" s="174"/>
      <x:c r="L252" s="174"/>
      <x:c r="M252" s="174"/>
      <x:c r="N252" s="174"/>
      <x:c r="O252" s="174"/>
      <x:c r="P252" s="174"/>
      <x:c r="Q252" s="174"/>
      <x:c r="R252" s="174"/>
    </x:row>
    <x:row r="253">
      <x:c r="A253" s="174"/>
      <x:c r="B253" s="174"/>
      <x:c r="C253" s="174"/>
      <x:c r="D253" s="174"/>
      <x:c r="E253" s="174"/>
      <x:c r="F253" s="174"/>
      <x:c r="G253" s="177"/>
      <x:c r="H253" s="177"/>
      <x:c r="I253" s="174"/>
      <x:c r="J253" s="178"/>
      <x:c r="K253" s="174"/>
      <x:c r="L253" s="174"/>
      <x:c r="M253" s="174"/>
      <x:c r="N253" s="174"/>
      <x:c r="O253" s="174"/>
      <x:c r="P253" s="174"/>
      <x:c r="Q253" s="174"/>
      <x:c r="R253" s="174"/>
    </x:row>
    <x:row r="254">
      <x:c r="A254" s="174"/>
      <x:c r="B254" s="174"/>
      <x:c r="C254" s="174"/>
      <x:c r="D254" s="174"/>
      <x:c r="E254" s="174"/>
      <x:c r="F254" s="174"/>
      <x:c r="G254" s="177"/>
      <x:c r="H254" s="177"/>
      <x:c r="I254" s="174"/>
      <x:c r="J254" s="178"/>
      <x:c r="K254" s="174"/>
      <x:c r="L254" s="174"/>
      <x:c r="M254" s="174"/>
      <x:c r="N254" s="174"/>
      <x:c r="O254" s="174"/>
      <x:c r="P254" s="174"/>
      <x:c r="Q254" s="174"/>
      <x:c r="R254" s="174"/>
    </x:row>
    <x:row r="255">
      <x:c r="A255" s="174"/>
      <x:c r="B255" s="174"/>
      <x:c r="C255" s="174"/>
      <x:c r="D255" s="174"/>
      <x:c r="E255" s="174"/>
      <x:c r="F255" s="174"/>
      <x:c r="G255" s="177"/>
      <x:c r="H255" s="177"/>
      <x:c r="I255" s="174"/>
      <x:c r="J255" s="178"/>
      <x:c r="K255" s="174"/>
      <x:c r="L255" s="174"/>
      <x:c r="M255" s="174"/>
      <x:c r="N255" s="174"/>
      <x:c r="O255" s="174"/>
      <x:c r="P255" s="174"/>
      <x:c r="Q255" s="174"/>
      <x:c r="R255" s="174"/>
    </x:row>
    <x:row r="256">
      <x:c r="A256" s="174"/>
      <x:c r="B256" s="174"/>
      <x:c r="C256" s="174"/>
      <x:c r="D256" s="174"/>
      <x:c r="E256" s="174"/>
      <x:c r="F256" s="174"/>
      <x:c r="G256" s="177"/>
      <x:c r="H256" s="177"/>
      <x:c r="I256" s="174"/>
      <x:c r="J256" s="178"/>
      <x:c r="K256" s="174"/>
      <x:c r="L256" s="174"/>
      <x:c r="M256" s="174"/>
      <x:c r="N256" s="174"/>
      <x:c r="O256" s="174"/>
      <x:c r="P256" s="174"/>
      <x:c r="Q256" s="174"/>
      <x:c r="R256" s="174"/>
    </x:row>
    <x:row r="257">
      <x:c r="A257" s="174"/>
      <x:c r="B257" s="174"/>
      <x:c r="C257" s="174"/>
      <x:c r="D257" s="174"/>
      <x:c r="E257" s="174"/>
      <x:c r="F257" s="174"/>
      <x:c r="G257" s="177"/>
      <x:c r="H257" s="177"/>
      <x:c r="I257" s="174"/>
      <x:c r="J257" s="178"/>
      <x:c r="K257" s="174"/>
      <x:c r="L257" s="174"/>
      <x:c r="M257" s="174"/>
      <x:c r="N257" s="174"/>
      <x:c r="O257" s="174"/>
      <x:c r="P257" s="174"/>
      <x:c r="Q257" s="174"/>
      <x:c r="R257" s="174"/>
    </x:row>
    <x:row r="258">
      <x:c r="A258" s="174"/>
      <x:c r="B258" s="174"/>
      <x:c r="C258" s="174"/>
      <x:c r="D258" s="174"/>
      <x:c r="E258" s="174"/>
      <x:c r="F258" s="174"/>
      <x:c r="G258" s="177"/>
      <x:c r="H258" s="177"/>
      <x:c r="I258" s="174"/>
      <x:c r="J258" s="178"/>
      <x:c r="K258" s="174"/>
      <x:c r="L258" s="174"/>
      <x:c r="M258" s="174"/>
      <x:c r="N258" s="174"/>
      <x:c r="O258" s="174"/>
      <x:c r="P258" s="174"/>
      <x:c r="Q258" s="174"/>
      <x:c r="R258" s="174"/>
    </x:row>
    <x:row r="259">
      <x:c r="A259" s="174"/>
      <x:c r="B259" s="174"/>
      <x:c r="C259" s="174"/>
      <x:c r="D259" s="174"/>
      <x:c r="E259" s="174"/>
      <x:c r="F259" s="174"/>
      <x:c r="G259" s="177"/>
      <x:c r="H259" s="177"/>
      <x:c r="I259" s="174"/>
      <x:c r="J259" s="178"/>
      <x:c r="K259" s="174"/>
      <x:c r="L259" s="174"/>
      <x:c r="M259" s="174"/>
      <x:c r="N259" s="174"/>
      <x:c r="O259" s="174"/>
      <x:c r="P259" s="174"/>
      <x:c r="Q259" s="174"/>
      <x:c r="R259" s="174"/>
    </x:row>
    <x:row r="260">
      <x:c r="A260" s="174"/>
      <x:c r="B260" s="174"/>
      <x:c r="C260" s="174"/>
      <x:c r="D260" s="174"/>
      <x:c r="E260" s="174"/>
      <x:c r="F260" s="174"/>
      <x:c r="G260" s="177"/>
      <x:c r="H260" s="177"/>
      <x:c r="I260" s="174"/>
      <x:c r="J260" s="178"/>
      <x:c r="K260" s="174"/>
      <x:c r="L260" s="174"/>
      <x:c r="M260" s="174"/>
      <x:c r="N260" s="174"/>
      <x:c r="O260" s="174"/>
      <x:c r="P260" s="174"/>
      <x:c r="Q260" s="174"/>
      <x:c r="R260" s="174"/>
    </x:row>
    <x:row r="261">
      <x:c r="A261" s="174"/>
      <x:c r="B261" s="174"/>
      <x:c r="C261" s="174"/>
      <x:c r="D261" s="174"/>
      <x:c r="E261" s="174"/>
      <x:c r="F261" s="174"/>
      <x:c r="G261" s="177"/>
      <x:c r="H261" s="177"/>
      <x:c r="I261" s="174"/>
      <x:c r="J261" s="178"/>
      <x:c r="K261" s="174"/>
      <x:c r="L261" s="174"/>
      <x:c r="M261" s="174"/>
      <x:c r="N261" s="174"/>
      <x:c r="O261" s="174"/>
      <x:c r="P261" s="174"/>
      <x:c r="Q261" s="174"/>
      <x:c r="R261" s="174"/>
    </x:row>
    <x:row r="262">
      <x:c r="A262" s="174"/>
      <x:c r="B262" s="174"/>
      <x:c r="C262" s="174"/>
      <x:c r="D262" s="174"/>
      <x:c r="E262" s="174"/>
      <x:c r="F262" s="174"/>
      <x:c r="G262" s="177"/>
      <x:c r="H262" s="177"/>
      <x:c r="I262" s="174"/>
      <x:c r="J262" s="178"/>
      <x:c r="K262" s="174"/>
      <x:c r="L262" s="174"/>
      <x:c r="M262" s="174"/>
      <x:c r="N262" s="174"/>
      <x:c r="O262" s="174"/>
      <x:c r="P262" s="174"/>
      <x:c r="Q262" s="174"/>
      <x:c r="R262" s="174"/>
    </x:row>
    <x:row r="263">
      <x:c r="A263" s="174"/>
      <x:c r="B263" s="174"/>
      <x:c r="C263" s="174"/>
      <x:c r="D263" s="174"/>
      <x:c r="E263" s="174"/>
      <x:c r="F263" s="174"/>
      <x:c r="G263" s="177"/>
      <x:c r="H263" s="177"/>
      <x:c r="I263" s="174"/>
      <x:c r="J263" s="178"/>
      <x:c r="K263" s="174"/>
      <x:c r="L263" s="174"/>
      <x:c r="M263" s="174"/>
      <x:c r="N263" s="174"/>
      <x:c r="O263" s="174"/>
      <x:c r="P263" s="174"/>
      <x:c r="Q263" s="174"/>
      <x:c r="R263" s="174"/>
    </x:row>
    <x:row r="264">
      <x:c r="A264" s="174"/>
      <x:c r="B264" s="174"/>
      <x:c r="C264" s="174"/>
      <x:c r="D264" s="174"/>
      <x:c r="E264" s="174"/>
      <x:c r="F264" s="174"/>
      <x:c r="G264" s="177"/>
      <x:c r="H264" s="177"/>
      <x:c r="I264" s="174"/>
      <x:c r="J264" s="178"/>
      <x:c r="K264" s="174"/>
      <x:c r="L264" s="174"/>
      <x:c r="M264" s="174"/>
      <x:c r="N264" s="174"/>
      <x:c r="O264" s="174"/>
      <x:c r="P264" s="174"/>
      <x:c r="Q264" s="174"/>
      <x:c r="R264" s="174"/>
    </x:row>
    <x:row r="265">
      <x:c r="A265" s="174"/>
      <x:c r="B265" s="174"/>
      <x:c r="C265" s="174"/>
      <x:c r="D265" s="174"/>
      <x:c r="E265" s="174"/>
      <x:c r="F265" s="174"/>
      <x:c r="G265" s="177"/>
      <x:c r="H265" s="177"/>
      <x:c r="I265" s="174"/>
      <x:c r="J265" s="178"/>
      <x:c r="K265" s="174"/>
      <x:c r="L265" s="174"/>
      <x:c r="M265" s="174"/>
      <x:c r="N265" s="174"/>
      <x:c r="O265" s="174"/>
      <x:c r="P265" s="174"/>
      <x:c r="Q265" s="174"/>
      <x:c r="R265" s="174"/>
    </x:row>
    <x:row r="266">
      <x:c r="A266" s="174"/>
      <x:c r="B266" s="174"/>
      <x:c r="C266" s="174"/>
      <x:c r="D266" s="174"/>
      <x:c r="E266" s="174"/>
      <x:c r="F266" s="174"/>
      <x:c r="G266" s="177"/>
      <x:c r="H266" s="177"/>
      <x:c r="I266" s="174"/>
      <x:c r="J266" s="178"/>
      <x:c r="K266" s="174"/>
      <x:c r="L266" s="174"/>
      <x:c r="M266" s="174"/>
      <x:c r="N266" s="174"/>
      <x:c r="O266" s="174"/>
      <x:c r="P266" s="174"/>
      <x:c r="Q266" s="174"/>
      <x:c r="R266" s="174"/>
    </x:row>
    <x:row r="267">
      <x:c r="A267" s="174"/>
      <x:c r="B267" s="174"/>
      <x:c r="C267" s="174"/>
      <x:c r="D267" s="174"/>
      <x:c r="E267" s="174"/>
      <x:c r="F267" s="174"/>
      <x:c r="G267" s="177"/>
      <x:c r="H267" s="177"/>
      <x:c r="I267" s="174"/>
      <x:c r="J267" s="178"/>
      <x:c r="K267" s="174"/>
      <x:c r="L267" s="174"/>
      <x:c r="M267" s="174"/>
      <x:c r="N267" s="174"/>
      <x:c r="O267" s="174"/>
      <x:c r="P267" s="174"/>
      <x:c r="Q267" s="174"/>
      <x:c r="R267" s="174"/>
    </x:row>
    <x:row r="268">
      <x:c r="A268" s="174"/>
      <x:c r="B268" s="174"/>
      <x:c r="C268" s="174"/>
      <x:c r="D268" s="174"/>
      <x:c r="E268" s="174"/>
      <x:c r="F268" s="174"/>
      <x:c r="G268" s="177"/>
      <x:c r="H268" s="177"/>
      <x:c r="I268" s="174"/>
      <x:c r="J268" s="178"/>
      <x:c r="K268" s="174"/>
      <x:c r="L268" s="174"/>
      <x:c r="M268" s="174"/>
      <x:c r="N268" s="174"/>
      <x:c r="O268" s="174"/>
      <x:c r="P268" s="174"/>
      <x:c r="Q268" s="174"/>
      <x:c r="R268" s="174"/>
    </x:row>
    <x:row r="269">
      <x:c r="A269" s="174"/>
      <x:c r="B269" s="174"/>
      <x:c r="C269" s="174"/>
      <x:c r="D269" s="174"/>
      <x:c r="E269" s="174"/>
      <x:c r="F269" s="174"/>
      <x:c r="G269" s="177"/>
      <x:c r="H269" s="177"/>
      <x:c r="I269" s="174"/>
      <x:c r="J269" s="178"/>
      <x:c r="K269" s="174"/>
      <x:c r="L269" s="174"/>
      <x:c r="M269" s="174"/>
      <x:c r="N269" s="174"/>
      <x:c r="O269" s="174"/>
      <x:c r="P269" s="174"/>
      <x:c r="Q269" s="174"/>
      <x:c r="R269" s="174"/>
    </x:row>
    <x:row r="270">
      <x:c r="A270" s="174"/>
      <x:c r="B270" s="174"/>
      <x:c r="C270" s="174"/>
      <x:c r="D270" s="174"/>
      <x:c r="E270" s="174"/>
      <x:c r="F270" s="174"/>
      <x:c r="G270" s="177"/>
      <x:c r="H270" s="177"/>
      <x:c r="I270" s="174"/>
      <x:c r="J270" s="178"/>
      <x:c r="K270" s="174"/>
      <x:c r="L270" s="174"/>
      <x:c r="M270" s="174"/>
      <x:c r="N270" s="174"/>
      <x:c r="O270" s="174"/>
      <x:c r="P270" s="174"/>
      <x:c r="Q270" s="174"/>
      <x:c r="R270" s="174"/>
    </x:row>
    <x:row r="271">
      <x:c r="A271" s="174"/>
      <x:c r="B271" s="174"/>
      <x:c r="C271" s="174"/>
      <x:c r="D271" s="174"/>
      <x:c r="E271" s="174"/>
      <x:c r="F271" s="174"/>
      <x:c r="G271" s="177"/>
      <x:c r="H271" s="177"/>
      <x:c r="I271" s="174"/>
      <x:c r="J271" s="178"/>
      <x:c r="K271" s="174"/>
      <x:c r="L271" s="174"/>
      <x:c r="M271" s="174"/>
      <x:c r="N271" s="174"/>
      <x:c r="O271" s="174"/>
      <x:c r="P271" s="174"/>
      <x:c r="Q271" s="174"/>
      <x:c r="R271" s="174"/>
    </x:row>
    <x:row r="272">
      <x:c r="A272" s="174"/>
      <x:c r="B272" s="174"/>
      <x:c r="C272" s="174"/>
      <x:c r="D272" s="174"/>
      <x:c r="E272" s="174"/>
      <x:c r="F272" s="174"/>
      <x:c r="G272" s="177"/>
      <x:c r="H272" s="177"/>
      <x:c r="I272" s="174"/>
      <x:c r="J272" s="178"/>
      <x:c r="K272" s="174"/>
      <x:c r="L272" s="174"/>
      <x:c r="M272" s="174"/>
      <x:c r="N272" s="174"/>
      <x:c r="O272" s="174"/>
      <x:c r="P272" s="174"/>
      <x:c r="Q272" s="174"/>
      <x:c r="R272" s="174"/>
    </x:row>
    <x:row r="273">
      <x:c r="A273" s="174"/>
      <x:c r="B273" s="174"/>
      <x:c r="C273" s="174"/>
      <x:c r="D273" s="174"/>
      <x:c r="E273" s="174"/>
      <x:c r="F273" s="174"/>
      <x:c r="G273" s="177"/>
      <x:c r="H273" s="177"/>
      <x:c r="I273" s="174"/>
      <x:c r="J273" s="178"/>
      <x:c r="K273" s="174"/>
      <x:c r="L273" s="174"/>
      <x:c r="M273" s="174"/>
      <x:c r="N273" s="174"/>
      <x:c r="O273" s="174"/>
      <x:c r="P273" s="174"/>
      <x:c r="Q273" s="174"/>
      <x:c r="R273" s="174"/>
    </x:row>
    <x:row r="274">
      <x:c r="A274" s="174"/>
      <x:c r="B274" s="174"/>
      <x:c r="C274" s="174"/>
      <x:c r="D274" s="174"/>
      <x:c r="E274" s="174"/>
      <x:c r="F274" s="174"/>
      <x:c r="G274" s="177"/>
      <x:c r="H274" s="177"/>
      <x:c r="I274" s="174"/>
      <x:c r="J274" s="178"/>
      <x:c r="K274" s="174"/>
      <x:c r="L274" s="174"/>
      <x:c r="M274" s="174"/>
      <x:c r="N274" s="174"/>
      <x:c r="O274" s="174"/>
      <x:c r="P274" s="174"/>
      <x:c r="Q274" s="174"/>
      <x:c r="R274" s="174"/>
    </x:row>
    <x:row r="275">
      <x:c r="A275" s="174"/>
      <x:c r="B275" s="174"/>
      <x:c r="C275" s="174"/>
      <x:c r="D275" s="174"/>
      <x:c r="E275" s="174"/>
      <x:c r="F275" s="174"/>
      <x:c r="G275" s="177"/>
      <x:c r="H275" s="177"/>
      <x:c r="I275" s="174"/>
      <x:c r="J275" s="178"/>
      <x:c r="K275" s="174"/>
      <x:c r="L275" s="174"/>
      <x:c r="M275" s="174"/>
      <x:c r="N275" s="174"/>
      <x:c r="O275" s="174"/>
      <x:c r="P275" s="174"/>
      <x:c r="Q275" s="174"/>
      <x:c r="R275" s="174"/>
    </x:row>
    <x:row r="276">
      <x:c r="A276" s="174"/>
      <x:c r="B276" s="174"/>
      <x:c r="C276" s="174"/>
      <x:c r="D276" s="174"/>
      <x:c r="E276" s="174"/>
      <x:c r="F276" s="174"/>
      <x:c r="G276" s="177"/>
      <x:c r="H276" s="177"/>
      <x:c r="I276" s="174"/>
      <x:c r="J276" s="178"/>
      <x:c r="K276" s="174"/>
      <x:c r="L276" s="174"/>
      <x:c r="M276" s="174"/>
      <x:c r="N276" s="174"/>
      <x:c r="O276" s="174"/>
      <x:c r="P276" s="174"/>
      <x:c r="Q276" s="174"/>
      <x:c r="R276" s="174"/>
    </x:row>
    <x:row r="277">
      <x:c r="A277" s="174"/>
      <x:c r="B277" s="174"/>
      <x:c r="C277" s="174"/>
      <x:c r="D277" s="174"/>
      <x:c r="E277" s="174"/>
      <x:c r="F277" s="174"/>
      <x:c r="G277" s="177"/>
      <x:c r="H277" s="177"/>
      <x:c r="I277" s="174"/>
      <x:c r="J277" s="178"/>
      <x:c r="K277" s="174"/>
      <x:c r="L277" s="174"/>
      <x:c r="M277" s="174"/>
      <x:c r="N277" s="174"/>
      <x:c r="O277" s="174"/>
      <x:c r="P277" s="174"/>
      <x:c r="Q277" s="174"/>
      <x:c r="R277" s="174"/>
    </x:row>
    <x:row r="278">
      <x:c r="A278" s="174"/>
      <x:c r="B278" s="174"/>
      <x:c r="C278" s="174"/>
      <x:c r="D278" s="174"/>
      <x:c r="E278" s="174"/>
      <x:c r="F278" s="174"/>
      <x:c r="G278" s="177"/>
      <x:c r="H278" s="177"/>
      <x:c r="I278" s="174"/>
      <x:c r="J278" s="178"/>
      <x:c r="K278" s="174"/>
      <x:c r="L278" s="174"/>
      <x:c r="M278" s="174"/>
      <x:c r="N278" s="174"/>
      <x:c r="O278" s="174"/>
      <x:c r="P278" s="174"/>
      <x:c r="Q278" s="174"/>
      <x:c r="R278" s="174"/>
    </x:row>
    <x:row r="279">
      <x:c r="A279" s="174"/>
      <x:c r="B279" s="174"/>
      <x:c r="C279" s="174"/>
      <x:c r="D279" s="174"/>
      <x:c r="E279" s="174"/>
      <x:c r="F279" s="174"/>
      <x:c r="G279" s="177"/>
      <x:c r="H279" s="177"/>
      <x:c r="I279" s="174"/>
      <x:c r="J279" s="178"/>
      <x:c r="K279" s="174"/>
      <x:c r="L279" s="174"/>
      <x:c r="M279" s="174"/>
      <x:c r="N279" s="174"/>
      <x:c r="O279" s="174"/>
      <x:c r="P279" s="174"/>
      <x:c r="Q279" s="174"/>
      <x:c r="R279" s="174"/>
    </x:row>
    <x:row r="280">
      <x:c r="A280" s="174"/>
      <x:c r="B280" s="174"/>
      <x:c r="C280" s="174"/>
      <x:c r="D280" s="174"/>
      <x:c r="E280" s="174"/>
      <x:c r="F280" s="174"/>
      <x:c r="G280" s="177"/>
      <x:c r="H280" s="177"/>
      <x:c r="I280" s="174"/>
      <x:c r="J280" s="178"/>
      <x:c r="K280" s="174"/>
      <x:c r="L280" s="174"/>
      <x:c r="M280" s="174"/>
      <x:c r="N280" s="174"/>
      <x:c r="O280" s="174"/>
      <x:c r="P280" s="174"/>
      <x:c r="Q280" s="174"/>
      <x:c r="R280" s="174"/>
    </x:row>
    <x:row r="281">
      <x:c r="A281" s="174"/>
      <x:c r="B281" s="174"/>
      <x:c r="C281" s="174"/>
      <x:c r="D281" s="174"/>
      <x:c r="E281" s="174"/>
      <x:c r="F281" s="174"/>
      <x:c r="G281" s="177"/>
      <x:c r="H281" s="177"/>
      <x:c r="I281" s="174"/>
      <x:c r="J281" s="178"/>
      <x:c r="K281" s="174"/>
      <x:c r="L281" s="174"/>
      <x:c r="M281" s="174"/>
      <x:c r="N281" s="174"/>
      <x:c r="O281" s="174"/>
      <x:c r="P281" s="174"/>
      <x:c r="Q281" s="174"/>
      <x:c r="R281" s="174"/>
    </x:row>
    <x:row r="282">
      <x:c r="A282" s="174"/>
      <x:c r="B282" s="174"/>
      <x:c r="C282" s="174"/>
      <x:c r="D282" s="174"/>
      <x:c r="E282" s="174"/>
      <x:c r="F282" s="174"/>
      <x:c r="G282" s="177"/>
      <x:c r="H282" s="177"/>
      <x:c r="I282" s="174"/>
      <x:c r="J282" s="178"/>
      <x:c r="K282" s="174"/>
      <x:c r="L282" s="174"/>
      <x:c r="M282" s="174"/>
      <x:c r="N282" s="174"/>
      <x:c r="O282" s="174"/>
      <x:c r="P282" s="174"/>
      <x:c r="Q282" s="174"/>
      <x:c r="R282" s="174"/>
    </x:row>
    <x:row r="283">
      <x:c r="A283" s="174"/>
      <x:c r="B283" s="174"/>
      <x:c r="C283" s="174"/>
      <x:c r="D283" s="174"/>
      <x:c r="E283" s="174"/>
      <x:c r="F283" s="174"/>
      <x:c r="G283" s="177"/>
      <x:c r="H283" s="177"/>
      <x:c r="I283" s="174"/>
      <x:c r="J283" s="178"/>
      <x:c r="K283" s="174"/>
      <x:c r="L283" s="174"/>
      <x:c r="M283" s="174"/>
      <x:c r="N283" s="174"/>
      <x:c r="O283" s="174"/>
      <x:c r="P283" s="174"/>
      <x:c r="Q283" s="174"/>
      <x:c r="R283" s="174"/>
    </x:row>
    <x:row r="284">
      <x:c r="A284" s="174"/>
      <x:c r="B284" s="174"/>
      <x:c r="C284" s="174"/>
      <x:c r="D284" s="174"/>
      <x:c r="E284" s="174"/>
      <x:c r="F284" s="174"/>
      <x:c r="G284" s="177"/>
      <x:c r="H284" s="177"/>
      <x:c r="I284" s="174"/>
      <x:c r="J284" s="178"/>
      <x:c r="K284" s="174"/>
      <x:c r="L284" s="174"/>
      <x:c r="M284" s="174"/>
      <x:c r="N284" s="174"/>
      <x:c r="O284" s="174"/>
      <x:c r="P284" s="174"/>
      <x:c r="Q284" s="174"/>
      <x:c r="R284" s="174"/>
    </x:row>
    <x:row r="285">
      <x:c r="A285" s="174"/>
      <x:c r="B285" s="174"/>
      <x:c r="C285" s="174"/>
      <x:c r="D285" s="174"/>
      <x:c r="E285" s="174"/>
      <x:c r="F285" s="174"/>
      <x:c r="G285" s="177"/>
      <x:c r="H285" s="177"/>
      <x:c r="I285" s="174"/>
      <x:c r="J285" s="178"/>
      <x:c r="K285" s="174"/>
      <x:c r="L285" s="174"/>
      <x:c r="M285" s="174"/>
      <x:c r="N285" s="174"/>
      <x:c r="O285" s="174"/>
      <x:c r="P285" s="174"/>
      <x:c r="Q285" s="174"/>
      <x:c r="R285" s="174"/>
    </x:row>
    <x:row r="286">
      <x:c r="A286" s="174"/>
      <x:c r="B286" s="174"/>
      <x:c r="C286" s="174"/>
      <x:c r="D286" s="174"/>
      <x:c r="E286" s="174"/>
      <x:c r="F286" s="174"/>
      <x:c r="G286" s="177"/>
      <x:c r="H286" s="177"/>
      <x:c r="I286" s="174"/>
      <x:c r="J286" s="178"/>
      <x:c r="K286" s="174"/>
      <x:c r="L286" s="174"/>
      <x:c r="M286" s="174"/>
      <x:c r="N286" s="174"/>
      <x:c r="O286" s="174"/>
      <x:c r="P286" s="174"/>
      <x:c r="Q286" s="174"/>
      <x:c r="R286" s="174"/>
    </x:row>
    <x:row r="287">
      <x:c r="A287" s="174"/>
      <x:c r="B287" s="174"/>
      <x:c r="C287" s="174"/>
      <x:c r="D287" s="174"/>
      <x:c r="E287" s="174"/>
      <x:c r="F287" s="174"/>
      <x:c r="G287" s="177"/>
      <x:c r="H287" s="177"/>
      <x:c r="I287" s="174"/>
      <x:c r="J287" s="178"/>
      <x:c r="K287" s="174"/>
      <x:c r="L287" s="174"/>
      <x:c r="M287" s="174"/>
      <x:c r="N287" s="174"/>
      <x:c r="O287" s="174"/>
      <x:c r="P287" s="174"/>
      <x:c r="Q287" s="174"/>
      <x:c r="R287" s="174"/>
    </x:row>
    <x:row r="288">
      <x:c r="A288" s="174"/>
      <x:c r="B288" s="174"/>
      <x:c r="C288" s="174"/>
      <x:c r="D288" s="174"/>
      <x:c r="E288" s="174"/>
      <x:c r="F288" s="174"/>
      <x:c r="G288" s="177"/>
      <x:c r="H288" s="177"/>
      <x:c r="I288" s="174"/>
      <x:c r="J288" s="178"/>
      <x:c r="K288" s="174"/>
      <x:c r="L288" s="174"/>
      <x:c r="M288" s="174"/>
      <x:c r="N288" s="174"/>
      <x:c r="O288" s="174"/>
      <x:c r="P288" s="174"/>
      <x:c r="Q288" s="174"/>
      <x:c r="R288" s="174"/>
    </x:row>
    <x:row r="289">
      <x:c r="A289" s="174"/>
      <x:c r="B289" s="174"/>
      <x:c r="C289" s="174"/>
      <x:c r="D289" s="174"/>
      <x:c r="E289" s="174"/>
      <x:c r="F289" s="174"/>
      <x:c r="G289" s="177"/>
      <x:c r="H289" s="177"/>
      <x:c r="I289" s="174"/>
      <x:c r="J289" s="178"/>
      <x:c r="K289" s="174"/>
      <x:c r="L289" s="174"/>
      <x:c r="M289" s="174"/>
      <x:c r="N289" s="174"/>
      <x:c r="O289" s="174"/>
      <x:c r="P289" s="174"/>
      <x:c r="Q289" s="174"/>
      <x:c r="R289" s="174"/>
    </x:row>
    <x:row r="290">
      <x:c r="A290" s="174"/>
      <x:c r="B290" s="174"/>
      <x:c r="C290" s="174"/>
      <x:c r="D290" s="174"/>
      <x:c r="E290" s="174"/>
      <x:c r="F290" s="174"/>
      <x:c r="G290" s="177"/>
      <x:c r="H290" s="177"/>
      <x:c r="I290" s="174"/>
      <x:c r="J290" s="178"/>
      <x:c r="K290" s="174"/>
      <x:c r="L290" s="174"/>
      <x:c r="M290" s="174"/>
      <x:c r="N290" s="174"/>
      <x:c r="O290" s="174"/>
      <x:c r="P290" s="174"/>
      <x:c r="Q290" s="174"/>
      <x:c r="R290" s="174"/>
    </x:row>
    <x:row r="291">
      <x:c r="A291" s="174"/>
      <x:c r="B291" s="174"/>
      <x:c r="C291" s="174"/>
      <x:c r="D291" s="174"/>
      <x:c r="E291" s="174"/>
      <x:c r="F291" s="174"/>
      <x:c r="G291" s="177"/>
      <x:c r="H291" s="177"/>
      <x:c r="I291" s="174"/>
      <x:c r="J291" s="178"/>
      <x:c r="K291" s="174"/>
      <x:c r="L291" s="174"/>
      <x:c r="M291" s="174"/>
      <x:c r="N291" s="174"/>
      <x:c r="O291" s="174"/>
      <x:c r="P291" s="174"/>
      <x:c r="Q291" s="174"/>
      <x:c r="R291" s="174"/>
    </x:row>
    <x:row r="292">
      <x:c r="A292" s="174"/>
      <x:c r="B292" s="174"/>
      <x:c r="C292" s="174"/>
      <x:c r="D292" s="174"/>
      <x:c r="E292" s="174"/>
      <x:c r="F292" s="174"/>
      <x:c r="G292" s="177"/>
      <x:c r="H292" s="177"/>
      <x:c r="I292" s="174"/>
      <x:c r="J292" s="178"/>
      <x:c r="K292" s="174"/>
      <x:c r="L292" s="174"/>
      <x:c r="M292" s="174"/>
      <x:c r="N292" s="174"/>
      <x:c r="O292" s="174"/>
      <x:c r="P292" s="174"/>
      <x:c r="Q292" s="174"/>
      <x:c r="R292" s="174"/>
    </x:row>
    <x:row r="293">
      <x:c r="A293" s="174"/>
      <x:c r="B293" s="174"/>
      <x:c r="C293" s="174"/>
      <x:c r="D293" s="174"/>
      <x:c r="E293" s="174"/>
      <x:c r="F293" s="174"/>
      <x:c r="G293" s="177"/>
      <x:c r="H293" s="177"/>
      <x:c r="I293" s="174"/>
      <x:c r="J293" s="178"/>
      <x:c r="K293" s="174"/>
      <x:c r="L293" s="174"/>
      <x:c r="M293" s="174"/>
      <x:c r="N293" s="174"/>
      <x:c r="O293" s="174"/>
      <x:c r="P293" s="174"/>
      <x:c r="Q293" s="174"/>
      <x:c r="R293" s="174"/>
    </x:row>
    <x:row r="294">
      <x:c r="A294" s="174"/>
      <x:c r="B294" s="174"/>
      <x:c r="C294" s="174"/>
      <x:c r="D294" s="174"/>
      <x:c r="E294" s="174"/>
      <x:c r="F294" s="174"/>
      <x:c r="G294" s="177"/>
      <x:c r="H294" s="177"/>
      <x:c r="I294" s="174"/>
      <x:c r="J294" s="178"/>
      <x:c r="K294" s="174"/>
      <x:c r="L294" s="174"/>
      <x:c r="M294" s="174"/>
      <x:c r="N294" s="174"/>
      <x:c r="O294" s="174"/>
      <x:c r="P294" s="174"/>
      <x:c r="Q294" s="174"/>
      <x:c r="R294" s="174"/>
    </x:row>
    <x:row r="295">
      <x:c r="A295" s="174"/>
      <x:c r="B295" s="174"/>
      <x:c r="C295" s="174"/>
      <x:c r="D295" s="174"/>
      <x:c r="E295" s="174"/>
      <x:c r="F295" s="174"/>
      <x:c r="G295" s="177"/>
      <x:c r="H295" s="177"/>
      <x:c r="I295" s="174"/>
      <x:c r="J295" s="178"/>
      <x:c r="K295" s="174"/>
      <x:c r="L295" s="174"/>
      <x:c r="M295" s="174"/>
      <x:c r="N295" s="174"/>
      <x:c r="O295" s="174"/>
      <x:c r="P295" s="174"/>
      <x:c r="Q295" s="174"/>
      <x:c r="R295" s="174"/>
    </x:row>
    <x:row r="296">
      <x:c r="A296" s="174"/>
      <x:c r="B296" s="174"/>
      <x:c r="C296" s="174"/>
      <x:c r="D296" s="174"/>
      <x:c r="E296" s="174"/>
      <x:c r="F296" s="174"/>
      <x:c r="G296" s="177"/>
      <x:c r="H296" s="177"/>
      <x:c r="I296" s="174"/>
      <x:c r="J296" s="178"/>
      <x:c r="K296" s="174"/>
      <x:c r="L296" s="174"/>
      <x:c r="M296" s="174"/>
      <x:c r="N296" s="174"/>
      <x:c r="O296" s="174"/>
      <x:c r="P296" s="174"/>
      <x:c r="Q296" s="174"/>
      <x:c r="R296" s="174"/>
    </x:row>
    <x:row r="297">
      <x:c r="A297" s="174"/>
      <x:c r="B297" s="174"/>
      <x:c r="C297" s="174"/>
      <x:c r="D297" s="174"/>
      <x:c r="E297" s="174"/>
      <x:c r="F297" s="174"/>
      <x:c r="G297" s="177"/>
      <x:c r="H297" s="177"/>
      <x:c r="I297" s="174"/>
      <x:c r="J297" s="178"/>
      <x:c r="K297" s="174"/>
      <x:c r="L297" s="174"/>
      <x:c r="M297" s="174"/>
      <x:c r="N297" s="174"/>
      <x:c r="O297" s="174"/>
      <x:c r="P297" s="174"/>
      <x:c r="Q297" s="174"/>
      <x:c r="R297" s="174"/>
    </x:row>
    <x:row r="298">
      <x:c r="A298" s="174"/>
      <x:c r="B298" s="174"/>
      <x:c r="C298" s="174"/>
      <x:c r="D298" s="174"/>
      <x:c r="E298" s="174"/>
      <x:c r="F298" s="174"/>
      <x:c r="G298" s="177"/>
      <x:c r="H298" s="177"/>
      <x:c r="I298" s="174"/>
      <x:c r="J298" s="178"/>
      <x:c r="K298" s="174"/>
      <x:c r="L298" s="174"/>
      <x:c r="M298" s="174"/>
      <x:c r="N298" s="174"/>
      <x:c r="O298" s="174"/>
      <x:c r="P298" s="174"/>
      <x:c r="Q298" s="174"/>
      <x:c r="R298" s="174"/>
    </x:row>
    <x:row r="299">
      <x:c r="A299" s="174"/>
      <x:c r="B299" s="174"/>
      <x:c r="C299" s="174"/>
      <x:c r="D299" s="174"/>
      <x:c r="E299" s="174"/>
      <x:c r="F299" s="174"/>
      <x:c r="G299" s="177"/>
      <x:c r="H299" s="177"/>
      <x:c r="I299" s="174"/>
      <x:c r="J299" s="178"/>
      <x:c r="K299" s="174"/>
      <x:c r="L299" s="174"/>
      <x:c r="M299" s="174"/>
      <x:c r="N299" s="174"/>
      <x:c r="O299" s="174"/>
      <x:c r="P299" s="174"/>
      <x:c r="Q299" s="174"/>
      <x:c r="R299" s="174"/>
    </x:row>
    <x:row r="300">
      <x:c r="A300" s="174"/>
      <x:c r="B300" s="174"/>
      <x:c r="C300" s="174"/>
      <x:c r="D300" s="174"/>
      <x:c r="E300" s="174"/>
      <x:c r="F300" s="174"/>
      <x:c r="G300" s="177"/>
      <x:c r="H300" s="177"/>
      <x:c r="I300" s="174"/>
      <x:c r="J300" s="178"/>
      <x:c r="K300" s="174"/>
      <x:c r="L300" s="174"/>
      <x:c r="M300" s="174"/>
      <x:c r="N300" s="174"/>
      <x:c r="O300" s="174"/>
      <x:c r="P300" s="174"/>
      <x:c r="Q300" s="174"/>
      <x:c r="R300" s="174"/>
    </x:row>
    <x:row r="301">
      <x:c r="A301" s="174"/>
      <x:c r="B301" s="174"/>
      <x:c r="C301" s="174"/>
      <x:c r="D301" s="174"/>
      <x:c r="E301" s="174"/>
      <x:c r="F301" s="174"/>
      <x:c r="G301" s="177"/>
      <x:c r="H301" s="177"/>
      <x:c r="I301" s="174"/>
      <x:c r="J301" s="178"/>
      <x:c r="K301" s="174"/>
      <x:c r="L301" s="174"/>
      <x:c r="M301" s="174"/>
      <x:c r="N301" s="174"/>
      <x:c r="O301" s="174"/>
      <x:c r="P301" s="174"/>
      <x:c r="Q301" s="174"/>
      <x:c r="R301" s="174"/>
    </x:row>
    <x:row r="302">
      <x:c r="A302" s="174"/>
      <x:c r="B302" s="174"/>
      <x:c r="C302" s="174"/>
      <x:c r="D302" s="174"/>
      <x:c r="E302" s="174"/>
      <x:c r="F302" s="174"/>
      <x:c r="G302" s="177"/>
      <x:c r="H302" s="177"/>
      <x:c r="I302" s="174"/>
      <x:c r="J302" s="178"/>
      <x:c r="K302" s="174"/>
      <x:c r="L302" s="174"/>
      <x:c r="M302" s="174"/>
      <x:c r="N302" s="174"/>
      <x:c r="O302" s="174"/>
      <x:c r="P302" s="174"/>
      <x:c r="Q302" s="174"/>
      <x:c r="R302" s="174"/>
    </x:row>
    <x:row r="303">
      <x:c r="A303" s="174"/>
      <x:c r="B303" s="174"/>
      <x:c r="C303" s="174"/>
      <x:c r="D303" s="174"/>
      <x:c r="E303" s="174"/>
      <x:c r="F303" s="174"/>
      <x:c r="G303" s="177"/>
      <x:c r="H303" s="177"/>
      <x:c r="I303" s="174"/>
      <x:c r="J303" s="178"/>
      <x:c r="K303" s="174"/>
      <x:c r="L303" s="174"/>
      <x:c r="M303" s="174"/>
      <x:c r="N303" s="174"/>
      <x:c r="O303" s="174"/>
      <x:c r="P303" s="174"/>
      <x:c r="Q303" s="174"/>
      <x:c r="R303" s="174"/>
    </x:row>
  </x:sheetData>
  <x:mergeCells>
    <x:mergeCell ref="A1:R1"/>
    <x:mergeCell ref="A2:R2"/>
  </x:mergeCells>
  <x:dataValidations count="4">
    <x:dataValidation type="list" sqref="B4:B303">
      <x:formula1>"A — Core,B — APHT / Medical Readiness,C — Implementation Science,Regional / Official,Citation Chasing,Seed / Pilot"</x:formula1>
    </x:dataValidation>
    <x:dataValidation type="list" sqref="O4:O303">
      <x:formula1>"Pending,Internal review complete,External review complete,Not applicable"</x:formula1>
    </x:dataValidation>
    <x:dataValidation type="list" sqref="P4:P303">
      <x:formula1>"LOCKED,Pending,Imported,Verified"</x:formula1>
    </x:dataValidation>
    <x:dataValidation type="list" sqref="Q4:Q303">
      <x:formula1>"PRODUCTION,PILOT / DEVELOPMENT,SEED SET"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5d91918ad74a14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8" hidden="0" customWidth="1"/>
    <x:col min="3" max="3" width="20" hidden="0" customWidth="1"/>
    <x:col min="4" max="4" width="50" hidden="0" customWidth="1"/>
    <x:col min="5" max="5" width="4" hidden="0" customWidth="1"/>
    <x:col min="6" max="6" width="42" hidden="0" customWidth="1"/>
    <x:col min="7" max="7" width="20" hidden="0" customWidth="1"/>
    <x:col min="8" max="8" width="16" hidden="0" customWidth="1"/>
    <x:col min="9" max="9" width="4" hidden="0" customWidth="1"/>
    <x:col min="10" max="10" width="38" hidden="0" customWidth="1"/>
    <x:col min="11" max="11" width="16" hidden="0" customWidth="1"/>
    <x:col min="12" max="12" width="40" hidden="0" customWidth="1"/>
  </x:cols>
  <x:sheetData>
    <x:row r="1" ht="34" customHeight="1">
      <x:c r="A1" s="366" t="str">
        <x:v>ZOTERO RELEASE GATE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8"/>
    </x:row>
    <x:row r="2" ht="30" customHeight="1">
      <x:c r="A2" s="369" t="str">
        <x:v>Source of truth: zotero/ZOTERO_COLLECTION_PLAN.md. No PASS may be asserted without real local tests.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</x:row>
    <x:row r="4">
      <x:c r="A4" s="373" t="str">
        <x:v>Diagnostic</x:v>
      </x:c>
      <x:c r="B4" s="373" t="str">
        <x:v>Observed value</x:v>
      </x:c>
      <x:c r="C4" s="373" t="str">
        <x:v>Status</x:v>
      </x:c>
      <x:c r="D4" s="373" t="str">
        <x:v>Exact implication</x:v>
      </x:c>
      <x:c r="E4" s="370"/>
      <x:c r="F4" s="370"/>
      <x:c r="G4" s="370"/>
      <x:c r="H4" s="370"/>
      <x:c r="I4" s="370"/>
      <x:c r="J4" s="370"/>
      <x:c r="K4" s="370"/>
      <x:c r="L4" s="370"/>
    </x:row>
    <x:row r="5">
      <x:c r="A5" s="370" t="str">
        <x:v>status --json</x:v>
      </x:c>
      <x:c r="B5" s="370" t="str">
        <x:v>Executed</x:v>
      </x:c>
      <x:c r="C5" s="370" t="str">
        <x:v>BLOCKED</x:v>
      </x:c>
      <x:c r="D5" s="370" t="str">
        <x:v>No profile, prefs.js, Zotero version, API version, or schema version detected</x:v>
      </x:c>
      <x:c r="E5" s="370"/>
      <x:c r="F5" s="370"/>
      <x:c r="G5" s="370"/>
      <x:c r="H5" s="370"/>
      <x:c r="I5" s="370"/>
      <x:c r="J5" s="370"/>
      <x:c r="K5" s="370"/>
      <x:c r="L5" s="370"/>
    </x:row>
    <x:row r="6">
      <x:c r="A6" s="370" t="str">
        <x:v>Profile</x:v>
      </x:c>
      <x:c r="B6" s="370" t="str">
        <x:v>null</x:v>
      </x:c>
      <x:c r="C6" s="370" t="str">
        <x:v>BLOCKED</x:v>
      </x:c>
      <x:c r="D6" s="370" t="str">
        <x:v>Local Zotero Desktop profile not visible</x:v>
      </x:c>
      <x:c r="E6" s="370"/>
      <x:c r="F6" s="370"/>
      <x:c r="G6" s="370"/>
      <x:c r="H6" s="370"/>
      <x:c r="I6" s="370"/>
      <x:c r="J6" s="370"/>
      <x:c r="K6" s="370"/>
      <x:c r="L6" s="370"/>
    </x:row>
    <x:row r="7">
      <x:c r="A7" s="370" t="str">
        <x:v>prefs.js</x:v>
      </x:c>
      <x:c r="B7" s="370" t="str">
        <x:v>not found</x:v>
      </x:c>
      <x:c r="C7" s="370" t="str">
        <x:v>BLOCKED</x:v>
      </x:c>
      <x:c r="D7" s="370" t="str">
        <x:v>enable --restart cannot modify the local API preference</x:v>
      </x:c>
      <x:c r="E7" s="370"/>
      <x:c r="F7" s="370"/>
      <x:c r="G7" s="370"/>
      <x:c r="H7" s="370"/>
      <x:c r="I7" s="370"/>
      <x:c r="J7" s="370"/>
      <x:c r="K7" s="370"/>
      <x:c r="L7" s="370"/>
    </x:row>
    <x:row r="8">
      <x:c r="A8" s="370" t="str">
        <x:v>Local API</x:v>
      </x:c>
      <x:c r="B8" s="370" t="str">
        <x:v>api_running=false</x:v>
      </x:c>
      <x:c r="C8" s="370" t="str">
        <x:v>BLOCKED</x:v>
      </x:c>
      <x:c r="D8" s="370" t="str">
        <x:v>127.0.0.1:23119 refused connection</x:v>
      </x:c>
      <x:c r="E8" s="370"/>
      <x:c r="F8" s="370"/>
      <x:c r="G8" s="370"/>
      <x:c r="H8" s="370"/>
      <x:c r="I8" s="370"/>
      <x:c r="J8" s="370"/>
      <x:c r="K8" s="370"/>
      <x:c r="L8" s="370"/>
    </x:row>
    <x:row r="9">
      <x:c r="A9" s="370" t="str">
        <x:v>Connector</x:v>
      </x:c>
      <x:c r="B9" s="370" t="str">
        <x:v>connector_running=false</x:v>
      </x:c>
      <x:c r="C9" s="370" t="str">
        <x:v>BLOCKED</x:v>
      </x:c>
      <x:c r="D9" s="370" t="str">
        <x:v>Connector endpoint refused connection</x:v>
      </x:c>
      <x:c r="E9" s="370"/>
      <x:c r="F9" s="370"/>
      <x:c r="G9" s="370"/>
      <x:c r="H9" s="370"/>
      <x:c r="I9" s="370"/>
      <x:c r="J9" s="370"/>
      <x:c r="K9" s="370"/>
      <x:c r="L9" s="370"/>
    </x:row>
    <x:row r="10">
      <x:c r="A10" s="370" t="str">
        <x:v>Inventory</x:v>
      </x:c>
      <x:c r="B10" s="370" t="str">
        <x:v>Failed — connection refused</x:v>
      </x:c>
      <x:c r="C10" s="370" t="str">
        <x:v>BLOCKED</x:v>
      </x:c>
      <x:c r="D10" s="370" t="str">
        <x:v>Item count not known</x:v>
      </x:c>
      <x:c r="E10" s="370"/>
      <x:c r="F10" s="370"/>
      <x:c r="G10" s="370"/>
      <x:c r="H10" s="370"/>
      <x:c r="I10" s="370"/>
      <x:c r="J10" s="370"/>
      <x:c r="K10" s="370"/>
      <x:c r="L10" s="370"/>
    </x:row>
    <x:row r="11">
      <x:c r="A11" s="370" t="str">
        <x:v>Collections</x:v>
      </x:c>
      <x:c r="B11" s="370" t="str">
        <x:v>Failed — connection refused</x:v>
      </x:c>
      <x:c r="C11" s="370" t="str">
        <x:v>BLOCKED</x:v>
      </x:c>
      <x:c r="D11" s="370" t="str">
        <x:v>Actual collection structure not known</x:v>
      </x:c>
      <x:c r="E11" s="370"/>
      <x:c r="F11" s="370"/>
      <x:c r="G11" s="370"/>
      <x:c r="H11" s="370"/>
      <x:c r="I11" s="370"/>
      <x:c r="J11" s="370"/>
      <x:c r="K11" s="370"/>
      <x:c r="L11" s="370"/>
    </x:row>
    <x:row r="12">
      <x:c r="A12" s="370" t="str">
        <x:v>Tags</x:v>
      </x:c>
      <x:c r="B12" s="370" t="str">
        <x:v>Failed — connection refused</x:v>
      </x:c>
      <x:c r="C12" s="370" t="str">
        <x:v>BLOCKED</x:v>
      </x:c>
      <x:c r="D12" s="370" t="str">
        <x:v>Actual tag taxonomy not known</x:v>
      </x:c>
      <x:c r="E12" s="370"/>
      <x:c r="F12" s="370"/>
      <x:c r="G12" s="370"/>
      <x:c r="H12" s="370"/>
      <x:c r="I12" s="370"/>
      <x:c r="J12" s="370"/>
      <x:c r="K12" s="370"/>
      <x:c r="L12" s="370"/>
    </x:row>
    <x:row r="13">
      <x:c r="A13" s="370" t="str">
        <x:v>enable --restart</x:v>
      </x:c>
      <x:c r="B13" s="370" t="str">
        <x:v>Could not find Zotero prefs.js. Start Zotero once, then retry.</x:v>
      </x:c>
      <x:c r="C13" s="370" t="str">
        <x:v>BLOCKED</x:v>
      </x:c>
      <x:c r="D13" s="370" t="str">
        <x:v>Must run where Zotero Desktop profile exists</x:v>
      </x:c>
      <x:c r="E13" s="370"/>
      <x:c r="F13" s="370"/>
      <x:c r="G13" s="370"/>
      <x:c r="H13" s="370"/>
      <x:c r="I13" s="370"/>
      <x:c r="J13" s="370"/>
      <x:c r="K13" s="370"/>
      <x:c r="L13" s="370"/>
    </x:row>
    <x:row r="14">
      <x:c r="A14" s="370" t="str">
        <x:v>Audit timestamp</x:v>
      </x:c>
      <x:c r="B14" s="428" t="n">
        <x:v>46261.1080983912</x:v>
      </x:c>
      <x:c r="C14" s="370" t="str">
        <x:v>RECORDED</x:v>
      </x:c>
      <x:c r="D14" s="370" t="str">
        <x:v>Timestamp is real; Zotero version remains unavailable</x:v>
      </x:c>
      <x:c r="E14" s="370"/>
      <x:c r="F14" s="370"/>
      <x:c r="G14" s="370"/>
      <x:c r="H14" s="370"/>
      <x:c r="I14" s="370"/>
      <x:c r="J14" s="370"/>
      <x:c r="K14" s="370"/>
      <x:c r="L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</x:row>
    <x:row r="17">
      <x:c r="A17" s="371" t="str">
        <x:v>#</x:v>
      </x:c>
      <x:c r="B17" s="371" t="str">
        <x:v>Expected subcollection</x:v>
      </x:c>
      <x:c r="C17" s="371" t="str">
        <x:v>Observed</x:v>
      </x:c>
      <x:c r="D17" s="371" t="str">
        <x:v>Status</x:v>
      </x:c>
      <x:c r="E17" s="370"/>
      <x:c r="F17" s="373" t="str">
        <x:v>Required tag</x:v>
      </x:c>
      <x:c r="G17" s="373" t="str">
        <x:v>Observed</x:v>
      </x:c>
      <x:c r="H17" s="373" t="str">
        <x:v>Status</x:v>
      </x:c>
      <x:c r="I17" s="370"/>
      <x:c r="J17" s="381" t="str">
        <x:v>Release test</x:v>
      </x:c>
      <x:c r="K17" s="381" t="str">
        <x:v>Result</x:v>
      </x:c>
      <x:c r="L17" s="381" t="str">
        <x:v>Evidence</x:v>
      </x:c>
    </x:row>
    <x:row r="18">
      <x:c r="A18" s="370" t="n">
        <x:v>1</x:v>
      </x:c>
      <x:c r="B18" s="370" t="str">
        <x:v>Definitions / Concepts</x:v>
      </x:c>
      <x:c r="C18" s="370" t="str">
        <x:v>Not verifiable</x:v>
      </x:c>
      <x:c r="D18" s="370" t="str">
        <x:v>BLOCKED</x:v>
      </x:c>
      <x:c r="E18" s="370"/>
      <x:c r="F18" s="370" t="str">
        <x:v>status:seed</x:v>
      </x:c>
      <x:c r="G18" s="370" t="str">
        <x:v>Not verifiable</x:v>
      </x:c>
      <x:c r="H18" s="370" t="str">
        <x:v>BLOCKED</x:v>
      </x:c>
      <x:c r="I18" s="370"/>
      <x:c r="J18" s="370" t="str">
        <x:v>Local status and version</x:v>
      </x:c>
      <x:c r="K18" s="370" t="str">
        <x:v>BLOCKED</x:v>
      </x:c>
      <x:c r="L18" s="370" t="str">
        <x:v>Profile/version unavailable</x:v>
      </x:c>
    </x:row>
    <x:row r="19">
      <x:c r="A19" s="370" t="n">
        <x:v>2</x:v>
      </x:c>
      <x:c r="B19" s="370" t="str">
        <x:v>Tactical Athlete</x:v>
      </x:c>
      <x:c r="C19" s="370" t="str">
        <x:v>Not verifiable</x:v>
      </x:c>
      <x:c r="D19" s="370" t="str">
        <x:v>BLOCKED</x:v>
      </x:c>
      <x:c r="E19" s="370"/>
      <x:c r="F19" s="370" t="str">
        <x:v>status:core-evidence</x:v>
      </x:c>
      <x:c r="G19" s="370" t="str">
        <x:v>Not verifiable</x:v>
      </x:c>
      <x:c r="H19" s="370" t="str">
        <x:v>BLOCKED</x:v>
      </x:c>
      <x:c r="I19" s="370"/>
      <x:c r="J19" s="370" t="str">
        <x:v>API 23119</x:v>
      </x:c>
      <x:c r="K19" s="370" t="str">
        <x:v>BLOCKED</x:v>
      </x:c>
      <x:c r="L19" s="370" t="str">
        <x:v>Connection refused</x:v>
      </x:c>
    </x:row>
    <x:row r="20">
      <x:c r="A20" s="370" t="n">
        <x:v>3</x:v>
      </x:c>
      <x:c r="B20" s="370" t="str">
        <x:v>Human Performance</x:v>
      </x:c>
      <x:c r="C20" s="370" t="str">
        <x:v>Not verifiable</x:v>
      </x:c>
      <x:c r="D20" s="370" t="str">
        <x:v>BLOCKED</x:v>
      </x:c>
      <x:c r="E20" s="370"/>
      <x:c r="F20" s="370" t="str">
        <x:v>status:contextual</x:v>
      </x:c>
      <x:c r="G20" s="370" t="str">
        <x:v>Not verifiable</x:v>
      </x:c>
      <x:c r="H20" s="370" t="str">
        <x:v>BLOCKED</x:v>
      </x:c>
      <x:c r="I20" s="370"/>
      <x:c r="J20" s="370" t="str">
        <x:v>Inventory</x:v>
      </x:c>
      <x:c r="K20" s="370" t="str">
        <x:v>BLOCKED</x:v>
      </x:c>
      <x:c r="L20" s="370" t="str">
        <x:v>Inventory/collections/tags failed</x:v>
      </x:c>
    </x:row>
    <x:row r="21">
      <x:c r="A21" s="370" t="n">
        <x:v>4</x:v>
      </x:c>
      <x:c r="B21" s="370" t="str">
        <x:v>Operational Readiness</x:v>
      </x:c>
      <x:c r="C21" s="370" t="str">
        <x:v>Not verifiable</x:v>
      </x:c>
      <x:c r="D21" s="370" t="str">
        <x:v>BLOCKED</x:v>
      </x:c>
      <x:c r="E21" s="370"/>
      <x:c r="F21" s="370" t="str">
        <x:v>status:not-used</x:v>
      </x:c>
      <x:c r="G21" s="370" t="str">
        <x:v>Not verifiable</x:v>
      </x:c>
      <x:c r="H21" s="370" t="str">
        <x:v>BLOCKED</x:v>
      </x:c>
      <x:c r="I21" s="370"/>
      <x:c r="J21" s="370" t="str">
        <x:v>Root collection</x:v>
      </x:c>
      <x:c r="K21" s="370" t="str">
        <x:v>NOT RUN</x:v>
      </x:c>
      <x:c r="L21" s="370" t="str">
        <x:v>Prerequisite not met</x:v>
      </x:c>
    </x:row>
    <x:row r="22">
      <x:c r="A22" s="370" t="n">
        <x:v>5</x:v>
      </x:c>
      <x:c r="B22" s="370" t="str">
        <x:v>Law Enforcement</x:v>
      </x:c>
      <x:c r="C22" s="370" t="str">
        <x:v>Not verifiable</x:v>
      </x:c>
      <x:c r="D22" s="370" t="str">
        <x:v>BLOCKED</x:v>
      </x:c>
      <x:c r="E22" s="370"/>
      <x:c r="F22" s="370" t="str">
        <x:v>status:metadata-verified</x:v>
      </x:c>
      <x:c r="G22" s="370" t="str">
        <x:v>Not verifiable</x:v>
      </x:c>
      <x:c r="H22" s="370" t="str">
        <x:v>BLOCKED</x:v>
      </x:c>
      <x:c r="I22" s="370"/>
      <x:c r="J22" s="370" t="str">
        <x:v>Exactly 25 subcollections</x:v>
      </x:c>
      <x:c r="K22" s="370" t="str">
        <x:v>NOT RUN</x:v>
      </x:c>
      <x:c r="L22" s="370" t="str">
        <x:v>Prerequisite not met</x:v>
      </x:c>
    </x:row>
    <x:row r="23">
      <x:c r="A23" s="370" t="n">
        <x:v>6</x:v>
      </x:c>
      <x:c r="B23" s="370" t="str">
        <x:v>Military — Transferable Evidence</x:v>
      </x:c>
      <x:c r="C23" s="370" t="str">
        <x:v>Not verifiable</x:v>
      </x:c>
      <x:c r="D23" s="370" t="str">
        <x:v>BLOCKED</x:v>
      </x:c>
      <x:c r="E23" s="370"/>
      <x:c r="F23" s="370" t="str">
        <x:v>status:retraction-checked</x:v>
      </x:c>
      <x:c r="G23" s="370" t="str">
        <x:v>Not verifiable</x:v>
      </x:c>
      <x:c r="H23" s="370" t="str">
        <x:v>BLOCKED</x:v>
      </x:c>
      <x:c r="I23" s="370"/>
      <x:c r="J23" s="370" t="str">
        <x:v>Required tags</x:v>
      </x:c>
      <x:c r="K23" s="370" t="str">
        <x:v>NOT RUN</x:v>
      </x:c>
      <x:c r="L23" s="370" t="str">
        <x:v>Prerequisite not met</x:v>
      </x:c>
    </x:row>
    <x:row r="24">
      <x:c r="A24" s="370" t="n">
        <x:v>7</x:v>
      </x:c>
      <x:c r="B24" s="370" t="str">
        <x:v>Firefighters</x:v>
      </x:c>
      <x:c r="C24" s="370" t="str">
        <x:v>Not verifiable</x:v>
      </x:c>
      <x:c r="D24" s="370" t="str">
        <x:v>BLOCKED</x:v>
      </x:c>
      <x:c r="E24" s="370"/>
      <x:c r="F24" s="370" t="str">
        <x:v>domain:physical</x:v>
      </x:c>
      <x:c r="G24" s="370" t="str">
        <x:v>Not verifiable</x:v>
      </x:c>
      <x:c r="H24" s="370" t="str">
        <x:v>BLOCKED</x:v>
      </x:c>
      <x:c r="I24" s="370"/>
      <x:c r="J24" s="370" t="str">
        <x:v>Controlled RIS/BibTeX import</x:v>
      </x:c>
      <x:c r="K24" s="370" t="str">
        <x:v>NOT RUN</x:v>
      </x:c>
      <x:c r="L24" s="370" t="str">
        <x:v>Prerequisite not met</x:v>
      </x:c>
    </x:row>
    <x:row r="25">
      <x:c r="A25" s="370" t="n">
        <x:v>8</x:v>
      </x:c>
      <x:c r="B25" s="370" t="str">
        <x:v>EMS / First Responders</x:v>
      </x:c>
      <x:c r="C25" s="370" t="str">
        <x:v>Not verifiable</x:v>
      </x:c>
      <x:c r="D25" s="370" t="str">
        <x:v>BLOCKED</x:v>
      </x:c>
      <x:c r="E25" s="370"/>
      <x:c r="F25" s="370" t="str">
        <x:v>domain:occupational-performance</x:v>
      </x:c>
      <x:c r="G25" s="370" t="str">
        <x:v>Not verifiable</x:v>
      </x:c>
      <x:c r="H25" s="370" t="str">
        <x:v>BLOCKED</x:v>
      </x:c>
      <x:c r="I25" s="370"/>
      <x:c r="J25" s="370" t="str">
        <x:v>DOI normalization</x:v>
      </x:c>
      <x:c r="K25" s="370" t="str">
        <x:v>NOT RUN</x:v>
      </x:c>
      <x:c r="L25" s="370" t="str">
        <x:v>Prerequisite not met</x:v>
      </x:c>
    </x:row>
    <x:row r="26">
      <x:c r="A26" s="370" t="n">
        <x:v>9</x:v>
      </x:c>
      <x:c r="B26" s="370" t="str">
        <x:v>APHT / TEMS / TCCC / TECC</x:v>
      </x:c>
      <x:c r="C26" s="370" t="str">
        <x:v>Not verifiable</x:v>
      </x:c>
      <x:c r="D26" s="370" t="str">
        <x:v>BLOCKED</x:v>
      </x:c>
      <x:c r="E26" s="370"/>
      <x:c r="F26" s="370" t="str">
        <x:v>domain:cognitive</x:v>
      </x:c>
      <x:c r="G26" s="370" t="str">
        <x:v>Not verifiable</x:v>
      </x:c>
      <x:c r="H26" s="370" t="str">
        <x:v>BLOCKED</x:v>
      </x:c>
      <x:c r="I26" s="370"/>
      <x:c r="J26" s="370" t="str">
        <x:v>Duplicate detection</x:v>
      </x:c>
      <x:c r="K26" s="370" t="str">
        <x:v>NOT RUN</x:v>
      </x:c>
      <x:c r="L26" s="370" t="str">
        <x:v>Prerequisite not met</x:v>
      </x:c>
    </x:row>
    <x:row r="27">
      <x:c r="A27" s="370" t="n">
        <x:v>10</x:v>
      </x:c>
      <x:c r="B27" s="370" t="str">
        <x:v>Sleep / Fatigue / Recovery</x:v>
      </x:c>
      <x:c r="C27" s="370" t="str">
        <x:v>Not verifiable</x:v>
      </x:c>
      <x:c r="D27" s="370" t="str">
        <x:v>BLOCKED</x:v>
      </x:c>
      <x:c r="E27" s="370"/>
      <x:c r="F27" s="370" t="str">
        <x:v>domain:recovery</x:v>
      </x:c>
      <x:c r="G27" s="370" t="str">
        <x:v>Not verifiable</x:v>
      </x:c>
      <x:c r="H27" s="370" t="str">
        <x:v>BLOCKED</x:v>
      </x:c>
      <x:c r="I27" s="370"/>
      <x:c r="J27" s="370" t="str">
        <x:v>Controlled merge</x:v>
      </x:c>
      <x:c r="K27" s="370" t="str">
        <x:v>NOT RUN</x:v>
      </x:c>
      <x:c r="L27" s="370" t="str">
        <x:v>Prerequisite not met</x:v>
      </x:c>
    </x:row>
    <x:row r="28">
      <x:c r="A28" s="370" t="n">
        <x:v>11</x:v>
      </x:c>
      <x:c r="B28" s="370" t="str">
        <x:v>Nutrition / Hydration</x:v>
      </x:c>
      <x:c r="C28" s="370" t="str">
        <x:v>Not verifiable</x:v>
      </x:c>
      <x:c r="D28" s="370" t="str">
        <x:v>BLOCKED</x:v>
      </x:c>
      <x:c r="E28" s="370"/>
      <x:c r="F28" s="370" t="str">
        <x:v>domain:health</x:v>
      </x:c>
      <x:c r="G28" s="370" t="str">
        <x:v>Not verifiable</x:v>
      </x:c>
      <x:c r="H28" s="370" t="str">
        <x:v>BLOCKED</x:v>
      </x:c>
      <x:c r="I28" s="370"/>
      <x:c r="J28" s="370" t="str">
        <x:v>Tag/note/attachment preservation</x:v>
      </x:c>
      <x:c r="K28" s="370" t="str">
        <x:v>NOT RUN</x:v>
      </x:c>
      <x:c r="L28" s="370" t="str">
        <x:v>Prerequisite not met</x:v>
      </x:c>
    </x:row>
    <x:row r="29">
      <x:c r="A29" s="370" t="n">
        <x:v>12</x:v>
      </x:c>
      <x:c r="B29" s="370" t="str">
        <x:v>Cognition / Psychology</x:v>
      </x:c>
      <x:c r="C29" s="370" t="str">
        <x:v>Not verifiable</x:v>
      </x:c>
      <x:c r="D29" s="370" t="str">
        <x:v>BLOCKED</x:v>
      </x:c>
      <x:c r="E29" s="370"/>
      <x:c r="F29" s="370" t="str">
        <x:v>domain:load</x:v>
      </x:c>
      <x:c r="G29" s="370" t="str">
        <x:v>Not verifiable</x:v>
      </x:c>
      <x:c r="H29" s="370" t="str">
        <x:v>BLOCKED</x:v>
      </x:c>
      <x:c r="I29" s="370"/>
      <x:c r="J29" s="370" t="str">
        <x:v>BibTeX export</x:v>
      </x:c>
      <x:c r="K29" s="370" t="str">
        <x:v>NOT RUN</x:v>
      </x:c>
      <x:c r="L29" s="370" t="str">
        <x:v>Prerequisite not met</x:v>
      </x:c>
    </x:row>
    <x:row r="30">
      <x:c r="A30" s="370" t="n">
        <x:v>13</x:v>
      </x:c>
      <x:c r="B30" s="370" t="str">
        <x:v>Injuries / Musculoskeletal</x:v>
      </x:c>
      <x:c r="C30" s="370" t="str">
        <x:v>Not verifiable</x:v>
      </x:c>
      <x:c r="D30" s="370" t="str">
        <x:v>BLOCKED</x:v>
      </x:c>
      <x:c r="E30" s="370"/>
      <x:c r="F30" s="370" t="str">
        <x:v>domain:injury</x:v>
      </x:c>
      <x:c r="G30" s="370" t="str">
        <x:v>Not verifiable</x:v>
      </x:c>
      <x:c r="H30" s="370" t="str">
        <x:v>BLOCKED</x:v>
      </x:c>
      <x:c r="I30" s="370"/>
      <x:c r="J30" s="370" t="str">
        <x:v>RIS export</x:v>
      </x:c>
      <x:c r="K30" s="370" t="str">
        <x:v>NOT RUN</x:v>
      </x:c>
      <x:c r="L30" s="370" t="str">
        <x:v>Prerequisite not met</x:v>
      </x:c>
    </x:row>
    <x:row r="31">
      <x:c r="A31" s="370" t="n">
        <x:v>14</x:v>
      </x:c>
      <x:c r="B31" s="370" t="str">
        <x:v>Cardiovascular / Cardiometabolic</x:v>
      </x:c>
      <x:c r="C31" s="370" t="str">
        <x:v>Not verifiable</x:v>
      </x:c>
      <x:c r="D31" s="370" t="str">
        <x:v>BLOCKED</x:v>
      </x:c>
      <x:c r="E31" s="370"/>
      <x:c r="F31" s="370" t="str">
        <x:v>domain:nutrition</x:v>
      </x:c>
      <x:c r="G31" s="370" t="str">
        <x:v>Not verifiable</x:v>
      </x:c>
      <x:c r="H31" s="370" t="str">
        <x:v>BLOCKED</x:v>
      </x:c>
      <x:c r="I31" s="370"/>
      <x:c r="J31" s="370" t="str">
        <x:v>Version + timestamp record</x:v>
      </x:c>
      <x:c r="K31" s="370" t="str">
        <x:v>BLOCKED</x:v>
      </x:c>
      <x:c r="L31" s="370" t="str">
        <x:v>Prerequisite not met</x:v>
      </x:c>
    </x:row>
    <x:row r="32">
      <x:c r="A32" s="370" t="n">
        <x:v>15</x:v>
      </x:c>
      <x:c r="B32" s="370" t="str">
        <x:v>External Load / Equipment</x:v>
      </x:c>
      <x:c r="C32" s="370" t="str">
        <x:v>Not verifiable</x:v>
      </x:c>
      <x:c r="D32" s="370" t="str">
        <x:v>BLOCKED</x:v>
      </x:c>
      <x:c r="E32" s="370"/>
      <x:c r="F32" s="370" t="str">
        <x:v>domain:apht</x:v>
      </x:c>
      <x:c r="G32" s="370" t="str">
        <x:v>Not verifiable</x:v>
      </x:c>
      <x:c r="H32" s="370" t="str">
        <x:v>BLOCKED</x:v>
      </x:c>
      <x:c r="I32" s="370"/>
      <x:c r="J32" s="370" t="str">
        <x:v>ZOTERO PASS</x:v>
      </x:c>
      <x:c r="K32" s="370" t="str">
        <x:v>BLOCKED</x:v>
      </x:c>
      <x:c r="L32" s="370" t="str">
        <x:v>Prerequisite not met</x:v>
      </x:c>
    </x:row>
    <x:row r="33">
      <x:c r="A33" s="370" t="n">
        <x:v>16</x:v>
      </x:c>
      <x:c r="B33" s="370" t="str">
        <x:v>Wearables / Monitoring</x:v>
      </x:c>
      <x:c r="C33" s="370" t="str">
        <x:v>Not verifiable</x:v>
      </x:c>
      <x:c r="D33" s="370" t="str">
        <x:v>BLOCKED</x:v>
      </x:c>
      <x:c r="E33" s="370"/>
      <x:c r="F33" s="370" t="str">
        <x:v>domain:monitoring</x:v>
      </x:c>
      <x:c r="G33" s="370" t="str">
        <x:v>Not verifiable</x:v>
      </x:c>
      <x:c r="H33" s="370" t="str">
        <x:v>BLOCKED</x:v>
      </x:c>
      <x:c r="I33" s="370"/>
      <x:c r="J33" s="370"/>
      <x:c r="K33" s="370"/>
      <x:c r="L33" s="370"/>
    </x:row>
    <x:row r="34">
      <x:c r="A34" s="370" t="n">
        <x:v>17</x:v>
      </x:c>
      <x:c r="B34" s="370" t="str">
        <x:v>Occupational Health / Longevity</x:v>
      </x:c>
      <x:c r="C34" s="370" t="str">
        <x:v>Not verifiable</x:v>
      </x:c>
      <x:c r="D34" s="370" t="str">
        <x:v>BLOCKED</x:v>
      </x:c>
      <x:c r="E34" s="370"/>
      <x:c r="F34" s="370" t="str">
        <x:v>domain:implementation</x:v>
      </x:c>
      <x:c r="G34" s="370" t="str">
        <x:v>Not verifiable</x:v>
      </x:c>
      <x:c r="H34" s="370" t="str">
        <x:v>BLOCKED</x:v>
      </x:c>
      <x:c r="I34" s="370"/>
      <x:c r="J34" s="370"/>
      <x:c r="K34" s="370"/>
      <x:c r="L34" s="370"/>
    </x:row>
    <x:row r="35">
      <x:c r="A35" s="370" t="n">
        <x:v>18</x:v>
      </x:c>
      <x:c r="B35" s="370" t="str">
        <x:v>Brazil</x:v>
      </x:c>
      <x:c r="C35" s="370" t="str">
        <x:v>Not verifiable</x:v>
      </x:c>
      <x:c r="D35" s="370" t="str">
        <x:v>BLOCKED</x:v>
      </x:c>
      <x:c r="E35" s="370"/>
      <x:c r="F35" s="370" t="str">
        <x:v>domain:longevity</x:v>
      </x:c>
      <x:c r="G35" s="370" t="str">
        <x:v>Not verifiable</x:v>
      </x:c>
      <x:c r="H35" s="370" t="str">
        <x:v>BLOCKED</x:v>
      </x:c>
      <x:c r="I35" s="370"/>
      <x:c r="J35" s="370"/>
      <x:c r="K35" s="370"/>
      <x:c r="L35" s="370"/>
    </x:row>
    <x:row r="36">
      <x:c r="A36" s="370" t="n">
        <x:v>19</x:v>
      </x:c>
      <x:c r="B36" s="370" t="str">
        <x:v>Implementation Science — CFIR / Proctor / ERIC</x:v>
      </x:c>
      <x:c r="C36" s="370" t="str">
        <x:v>Not verifiable</x:v>
      </x:c>
      <x:c r="D36" s="370" t="str">
        <x:v>BLOCKED</x:v>
      </x:c>
      <x:c r="E36" s="370"/>
      <x:c r="F36" s="370" t="str">
        <x:v>population:police</x:v>
      </x:c>
      <x:c r="G36" s="370" t="str">
        <x:v>Not verifiable</x:v>
      </x:c>
      <x:c r="H36" s="370" t="str">
        <x:v>BLOCKED</x:v>
      </x:c>
      <x:c r="I36" s="370"/>
      <x:c r="J36" s="370"/>
      <x:c r="K36" s="370"/>
      <x:c r="L36" s="370"/>
    </x:row>
    <x:row r="37">
      <x:c r="A37" s="370" t="n">
        <x:v>20</x:v>
      </x:c>
      <x:c r="B37" s="370" t="str">
        <x:v>Frameworks / Guidelines / Consensus</x:v>
      </x:c>
      <x:c r="C37" s="370" t="str">
        <x:v>Not verifiable</x:v>
      </x:c>
      <x:c r="D37" s="370" t="str">
        <x:v>BLOCKED</x:v>
      </x:c>
      <x:c r="E37" s="370"/>
      <x:c r="F37" s="370" t="str">
        <x:v>population:firefighter</x:v>
      </x:c>
      <x:c r="G37" s="370" t="str">
        <x:v>Not verifiable</x:v>
      </x:c>
      <x:c r="H37" s="370" t="str">
        <x:v>BLOCKED</x:v>
      </x:c>
      <x:c r="I37" s="370"/>
      <x:c r="J37" s="370"/>
      <x:c r="K37" s="370"/>
      <x:c r="L37" s="370"/>
    </x:row>
    <x:row r="38">
      <x:c r="A38" s="370" t="n">
        <x:v>21</x:v>
      </x:c>
      <x:c r="B38" s="370" t="str">
        <x:v>Key Papers / Seed Studies</x:v>
      </x:c>
      <x:c r="C38" s="370" t="str">
        <x:v>Not verifiable</x:v>
      </x:c>
      <x:c r="D38" s="370" t="str">
        <x:v>BLOCKED</x:v>
      </x:c>
      <x:c r="E38" s="370"/>
      <x:c r="F38" s="370" t="str">
        <x:v>population:first-responder</x:v>
      </x:c>
      <x:c r="G38" s="370" t="str">
        <x:v>Not verifiable</x:v>
      </x:c>
      <x:c r="H38" s="370" t="str">
        <x:v>BLOCKED</x:v>
      </x:c>
      <x:c r="I38" s="370"/>
      <x:c r="J38" s="370"/>
      <x:c r="K38" s="370"/>
      <x:c r="L38" s="370"/>
    </x:row>
    <x:row r="39">
      <x:c r="A39" s="370" t="n">
        <x:v>22</x:v>
      </x:c>
      <x:c r="B39" s="370" t="str">
        <x:v>Official / Grey Literature</x:v>
      </x:c>
      <x:c r="C39" s="370" t="str">
        <x:v>Not verifiable</x:v>
      </x:c>
      <x:c r="D39" s="370" t="str">
        <x:v>BLOCKED</x:v>
      </x:c>
      <x:c r="E39" s="370"/>
      <x:c r="F39" s="370" t="str">
        <x:v>population:military</x:v>
      </x:c>
      <x:c r="G39" s="370" t="str">
        <x:v>Not verifiable</x:v>
      </x:c>
      <x:c r="H39" s="370" t="str">
        <x:v>BLOCKED</x:v>
      </x:c>
      <x:c r="I39" s="370"/>
      <x:c r="J39" s="370"/>
      <x:c r="K39" s="370"/>
      <x:c r="L39" s="370"/>
    </x:row>
    <x:row r="40">
      <x:c r="A40" s="370" t="n">
        <x:v>23</x:v>
      </x:c>
      <x:c r="B40" s="370" t="str">
        <x:v>Core Evidence — Essay</x:v>
      </x:c>
      <x:c r="C40" s="370" t="str">
        <x:v>Not verifiable</x:v>
      </x:c>
      <x:c r="D40" s="370" t="str">
        <x:v>BLOCKED</x:v>
      </x:c>
      <x:c r="E40" s="370"/>
      <x:c r="F40" s="370" t="str">
        <x:v>country:brazil</x:v>
      </x:c>
      <x:c r="G40" s="370" t="str">
        <x:v>Not verifiable</x:v>
      </x:c>
      <x:c r="H40" s="370" t="str">
        <x:v>BLOCKED</x:v>
      </x:c>
      <x:c r="I40" s="370"/>
      <x:c r="J40" s="370"/>
      <x:c r="K40" s="370"/>
      <x:c r="L40" s="370"/>
    </x:row>
    <x:row r="41">
      <x:c r="A41" s="370" t="n">
        <x:v>24</x:v>
      </x:c>
      <x:c r="B41" s="370" t="str">
        <x:v>Contextual / Supporting Evidence</x:v>
      </x:c>
      <x:c r="C41" s="370" t="str">
        <x:v>Not verifiable</x:v>
      </x:c>
      <x:c r="D41" s="370" t="str">
        <x:v>BLOCKED</x:v>
      </x:c>
      <x:c r="E41" s="370"/>
      <x:c r="F41" s="370" t="str">
        <x:v>transferability:high</x:v>
      </x:c>
      <x:c r="G41" s="370" t="str">
        <x:v>Not verifiable</x:v>
      </x:c>
      <x:c r="H41" s="370" t="str">
        <x:v>BLOCKED</x:v>
      </x:c>
      <x:c r="I41" s="370"/>
      <x:c r="J41" s="370"/>
      <x:c r="K41" s="370"/>
      <x:c r="L41" s="370"/>
    </x:row>
    <x:row r="42">
      <x:c r="A42" s="370" t="n">
        <x:v>25</x:v>
      </x:c>
      <x:c r="B42" s="370" t="str">
        <x:v>Not Used / Out of Scope</x:v>
      </x:c>
      <x:c r="C42" s="370" t="str">
        <x:v>Not verifiable</x:v>
      </x:c>
      <x:c r="D42" s="370" t="str">
        <x:v>BLOCKED</x:v>
      </x:c>
      <x:c r="E42" s="370"/>
      <x:c r="F42" s="370" t="str">
        <x:v>transferability:conditional</x:v>
      </x:c>
      <x:c r="G42" s="370" t="str">
        <x:v>Not verifiable</x:v>
      </x:c>
      <x:c r="H42" s="370" t="str">
        <x:v>BLOCKED</x:v>
      </x:c>
      <x:c r="I42" s="370"/>
      <x:c r="J42" s="370"/>
      <x:c r="K42" s="370"/>
      <x:c r="L42" s="370"/>
    </x:row>
    <x:row r="43">
      <x:c r="A43" s="370"/>
      <x:c r="B43" s="370"/>
      <x:c r="C43" s="370"/>
      <x:c r="D43" s="370"/>
      <x:c r="E43" s="370"/>
      <x:c r="F43" s="370" t="str">
        <x:v>transferability:low</x:v>
      </x:c>
      <x:c r="G43" s="370" t="str">
        <x:v>Not verifiable</x:v>
      </x:c>
      <x:c r="H43" s="370" t="str">
        <x:v>BLOCKED</x:v>
      </x:c>
      <x:c r="I43" s="370"/>
      <x:c r="J43" s="370"/>
      <x:c r="K43" s="370"/>
      <x:c r="L43" s="370"/>
    </x:row>
    <x:row r="44">
      <x:c r="A44" s="370"/>
      <x:c r="B44" s="370"/>
      <x:c r="C44" s="370"/>
      <x:c r="D44" s="370"/>
      <x:c r="E44" s="370"/>
      <x:c r="F44" s="370" t="str">
        <x:v>role:definition</x:v>
      </x:c>
      <x:c r="G44" s="370" t="str">
        <x:v>Not verifiable</x:v>
      </x:c>
      <x:c r="H44" s="370" t="str">
        <x:v>BLOCKED</x:v>
      </x:c>
      <x:c r="I44" s="370"/>
      <x:c r="J44" s="370"/>
      <x:c r="K44" s="370"/>
      <x:c r="L44" s="370"/>
    </x:row>
    <x:row r="45">
      <x:c r="A45" s="370"/>
      <x:c r="B45" s="370"/>
      <x:c r="C45" s="370"/>
      <x:c r="D45" s="370"/>
      <x:c r="E45" s="370"/>
      <x:c r="F45" s="370" t="str">
        <x:v>role:framework</x:v>
      </x:c>
      <x:c r="G45" s="370" t="str">
        <x:v>Not verifiable</x:v>
      </x:c>
      <x:c r="H45" s="370" t="str">
        <x:v>BLOCKED</x:v>
      </x:c>
      <x:c r="I45" s="370"/>
      <x:c r="J45" s="370"/>
      <x:c r="K45" s="370"/>
      <x:c r="L45" s="370"/>
    </x:row>
    <x:row r="46">
      <x:c r="A46" s="370"/>
      <x:c r="B46" s="370"/>
      <x:c r="C46" s="370"/>
      <x:c r="D46" s="370"/>
      <x:c r="E46" s="370"/>
      <x:c r="F46" s="370" t="str">
        <x:v>role:indicator</x:v>
      </x:c>
      <x:c r="G46" s="370" t="str">
        <x:v>Not verifiable</x:v>
      </x:c>
      <x:c r="H46" s="370" t="str">
        <x:v>BLOCKED</x:v>
      </x:c>
      <x:c r="I46" s="370"/>
      <x:c r="J46" s="370"/>
      <x:c r="K46" s="370"/>
      <x:c r="L46" s="370"/>
    </x:row>
    <x:row r="47">
      <x:c r="A47" s="370"/>
      <x:c r="B47" s="370"/>
      <x:c r="C47" s="370"/>
      <x:c r="D47" s="370"/>
      <x:c r="E47" s="370"/>
      <x:c r="F47" s="370" t="str">
        <x:v>role:implementation</x:v>
      </x:c>
      <x:c r="G47" s="370" t="str">
        <x:v>Not verifiable</x:v>
      </x:c>
      <x:c r="H47" s="370" t="str">
        <x:v>BLOCKED</x:v>
      </x:c>
      <x:c r="I47" s="370"/>
      <x:c r="J47" s="370"/>
      <x:c r="K47" s="370"/>
      <x:c r="L47" s="370"/>
    </x:row>
    <x:row r="48">
      <x:c r="A48" s="370"/>
      <x:c r="B48" s="370"/>
      <x:c r="C48" s="370"/>
      <x:c r="D48" s="370"/>
      <x:c r="E48" s="370"/>
      <x:c r="F48" s="370" t="str">
        <x:v>role:brazil-context</x:v>
      </x:c>
      <x:c r="G48" s="370" t="str">
        <x:v>Not verifiable</x:v>
      </x:c>
      <x:c r="H48" s="370" t="str">
        <x:v>BLOCKED</x:v>
      </x:c>
      <x:c r="I48" s="370"/>
      <x:c r="J48" s="370"/>
      <x:c r="K48" s="370"/>
      <x:c r="L48" s="370"/>
    </x:row>
    <x:row r="49">
      <x:c r="A49" s="370"/>
      <x:c r="B49" s="370"/>
      <x:c r="C49" s="370"/>
      <x:c r="D49" s="370"/>
      <x:c r="E49" s="370"/>
      <x:c r="F49" s="370" t="str">
        <x:v>role:paradigm-shift</x:v>
      </x:c>
      <x:c r="G49" s="370" t="str">
        <x:v>Not verifiable</x:v>
      </x:c>
      <x:c r="H49" s="370" t="str">
        <x:v>BLOCKED</x:v>
      </x:c>
      <x:c r="I49" s="370"/>
      <x:c r="J49" s="370"/>
      <x:c r="K49" s="370"/>
      <x:c r="L49" s="370"/>
    </x:row>
  </x:sheetData>
  <x:mergeCells>
    <x:mergeCell ref="A1:L1"/>
    <x:mergeCell ref="A2:L2"/>
  </x:mergeCells>
  <x:conditionalFormatting sqref="C5:C14">
    <x:cfRule type="containsText" dxfId="48" priority="1" operator="containsText" text="BLOCKED"/>
    <x:cfRule type="containsText" dxfId="49" priority="2" operator="containsText" text="RECORDED"/>
  </x:conditionalFormatting>
  <x:conditionalFormatting sqref="D18:D42">
    <x:cfRule type="containsText" dxfId="50" priority="3" operator="containsText" text="BLOCKED"/>
  </x:conditionalFormatting>
  <x:conditionalFormatting sqref="H18:H49">
    <x:cfRule type="containsText" dxfId="51" priority="4" operator="containsText" text="BLOCKED"/>
  </x:conditionalFormatting>
  <x:conditionalFormatting sqref="K18:K32">
    <x:cfRule type="containsText" dxfId="52" priority="5" operator="containsText" text="BLOCKED"/>
    <x:cfRule type="containsText" dxfId="53" priority="6" operator="containsText" text="NOT RUN"/>
  </x:conditionalFormatting>
  <x:pageMargins left="0.7" right="0.7" top="0.75" bottom="0.75" header="0.3" footer="0.3"/>
  <x:tableParts count="3">
    <x:tablePart xmlns:r="http://schemas.openxmlformats.org/officeDocument/2006/relationships" r:id="R657f0932f8a047fa"/>
    <x:tablePart xmlns:r="http://schemas.openxmlformats.org/officeDocument/2006/relationships" r:id="Ra2d9fb747fbe46fb"/>
    <x:tablePart xmlns:r="http://schemas.openxmlformats.org/officeDocument/2006/relationships" r:id="R67eb4ff9baf34de6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0" hidden="0" customWidth="1"/>
    <x:col min="3" max="3" width="20" hidden="0" customWidth="1"/>
    <x:col min="4" max="4" width="20" hidden="0" customWidth="1"/>
    <x:col min="5" max="5" width="24" hidden="0" customWidth="1"/>
    <x:col min="6" max="6" width="40" hidden="0" customWidth="1"/>
    <x:col min="7" max="7" width="28" hidden="0" customWidth="1"/>
    <x:col min="8" max="8" width="34" hidden="0" customWidth="1"/>
    <x:col min="9" max="9" width="32" hidden="0" customWidth="1"/>
    <x:col min="10" max="10" width="16" hidden="0" customWidth="1"/>
    <x:col min="11" max="11" width="24" hidden="0" customWidth="1"/>
    <x:col min="12" max="12" width="20" hidden="0" customWidth="1"/>
    <x:col min="13" max="13" width="36" hidden="0" customWidth="1"/>
  </x:cols>
  <x:sheetData>
    <x:row r="1" ht="34" customHeight="1">
      <x:c r="A1" s="366" t="str">
        <x:v>LAWFUL FULL-TEXT CONTROL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8"/>
    </x:row>
    <x:row r="2" ht="30" customHeight="1">
      <x:c r="A2" s="369" t="str">
        <x:v>PDFs and licensed full text belong in Zotero/Drive, never GitHub. Evidence ID resolves title automatically.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</x:row>
    <x:row r="3">
      <x:c r="A3" s="371" t="str">
        <x:v>Evidence ID</x:v>
      </x:c>
      <x:c r="B3" s="371" t="str">
        <x:v>Source Title</x:v>
      </x:c>
      <x:c r="C3" s="371" t="str">
        <x:v>Lawful Availability</x:v>
      </x:c>
      <x:c r="D3" s="371" t="str">
        <x:v>Full-Text Status</x:v>
      </x:c>
      <x:c r="E3" s="371" t="str">
        <x:v>Storage System</x:v>
      </x:c>
      <x:c r="F3" s="371" t="str">
        <x:v>Lawful Location</x:v>
      </x:c>
      <x:c r="G3" s="371" t="str">
        <x:v>Filename</x:v>
      </x:c>
      <x:c r="H3" s="371" t="str">
        <x:v>File Checksum</x:v>
      </x:c>
      <x:c r="I3" s="371" t="str">
        <x:v>Access Rights / License</x:v>
      </x:c>
      <x:c r="J3" s="371" t="str">
        <x:v>Acquisition Date</x:v>
      </x:c>
      <x:c r="K3" s="371" t="str">
        <x:v>Zotero Attachment Key</x:v>
      </x:c>
      <x:c r="L3" s="371" t="str">
        <x:v>Reviewer</x:v>
      </x:c>
      <x:c r="M3" s="371" t="str">
        <x:v>Notes</x:v>
      </x:c>
    </x:row>
    <x:row r="4">
      <x:c r="A4" s="174"/>
      <x:c r="B4" s="174" t="str">
        <x:f>IF(A4="","",IFERROR(INDEX('Master Evidence'!$L$4:$L$503,MATCH(A4,'Master Evidence'!$A$4:$A$503,0)),""))</x:f>
      </x:c>
      <x:c r="C4" s="174"/>
      <x:c r="D4" s="174"/>
      <x:c r="E4" s="174"/>
      <x:c r="F4" s="174"/>
      <x:c r="G4" s="174"/>
      <x:c r="H4" s="174"/>
      <x:c r="I4" s="174"/>
      <x:c r="J4" s="177"/>
      <x:c r="K4" s="174"/>
      <x:c r="L4" s="174"/>
      <x:c r="M4" s="174"/>
    </x:row>
    <x:row r="5">
      <x:c r="A5" s="174"/>
      <x:c r="B5" s="174" t="str">
        <x:f>IF(A5="","",IFERROR(INDEX('Master Evidence'!$L$4:$L$503,MATCH(A5,'Master Evidence'!$A$4:$A$503,0)),""))</x:f>
      </x:c>
      <x:c r="C5" s="174"/>
      <x:c r="D5" s="174"/>
      <x:c r="E5" s="174"/>
      <x:c r="F5" s="174"/>
      <x:c r="G5" s="174"/>
      <x:c r="H5" s="174"/>
      <x:c r="I5" s="174"/>
      <x:c r="J5" s="177"/>
      <x:c r="K5" s="174"/>
      <x:c r="L5" s="174"/>
      <x:c r="M5" s="174"/>
    </x:row>
    <x:row r="6">
      <x:c r="A6" s="174"/>
      <x:c r="B6" s="174" t="str">
        <x:f>IF(A6="","",IFERROR(INDEX('Master Evidence'!$L$4:$L$503,MATCH(A6,'Master Evidence'!$A$4:$A$503,0)),""))</x:f>
      </x:c>
      <x:c r="C6" s="174"/>
      <x:c r="D6" s="174"/>
      <x:c r="E6" s="174"/>
      <x:c r="F6" s="174"/>
      <x:c r="G6" s="174"/>
      <x:c r="H6" s="174"/>
      <x:c r="I6" s="174"/>
      <x:c r="J6" s="177"/>
      <x:c r="K6" s="174"/>
      <x:c r="L6" s="174"/>
      <x:c r="M6" s="174"/>
    </x:row>
    <x:row r="7">
      <x:c r="A7" s="174"/>
      <x:c r="B7" s="174" t="str">
        <x:f>IF(A7="","",IFERROR(INDEX('Master Evidence'!$L$4:$L$503,MATCH(A7,'Master Evidence'!$A$4:$A$503,0)),""))</x:f>
      </x:c>
      <x:c r="C7" s="174"/>
      <x:c r="D7" s="174"/>
      <x:c r="E7" s="174"/>
      <x:c r="F7" s="174"/>
      <x:c r="G7" s="174"/>
      <x:c r="H7" s="174"/>
      <x:c r="I7" s="174"/>
      <x:c r="J7" s="177"/>
      <x:c r="K7" s="174"/>
      <x:c r="L7" s="174"/>
      <x:c r="M7" s="174"/>
    </x:row>
    <x:row r="8">
      <x:c r="A8" s="174"/>
      <x:c r="B8" s="174" t="str">
        <x:f>IF(A8="","",IFERROR(INDEX('Master Evidence'!$L$4:$L$503,MATCH(A8,'Master Evidence'!$A$4:$A$503,0)),""))</x:f>
      </x:c>
      <x:c r="C8" s="174"/>
      <x:c r="D8" s="174"/>
      <x:c r="E8" s="174"/>
      <x:c r="F8" s="174"/>
      <x:c r="G8" s="174"/>
      <x:c r="H8" s="174"/>
      <x:c r="I8" s="174"/>
      <x:c r="J8" s="177"/>
      <x:c r="K8" s="174"/>
      <x:c r="L8" s="174"/>
      <x:c r="M8" s="174"/>
    </x:row>
    <x:row r="9">
      <x:c r="A9" s="174"/>
      <x:c r="B9" s="174" t="str">
        <x:f>IF(A9="","",IFERROR(INDEX('Master Evidence'!$L$4:$L$503,MATCH(A9,'Master Evidence'!$A$4:$A$503,0)),""))</x:f>
      </x:c>
      <x:c r="C9" s="174"/>
      <x:c r="D9" s="174"/>
      <x:c r="E9" s="174"/>
      <x:c r="F9" s="174"/>
      <x:c r="G9" s="174"/>
      <x:c r="H9" s="174"/>
      <x:c r="I9" s="174"/>
      <x:c r="J9" s="177"/>
      <x:c r="K9" s="174"/>
      <x:c r="L9" s="174"/>
      <x:c r="M9" s="174"/>
    </x:row>
    <x:row r="10">
      <x:c r="A10" s="174"/>
      <x:c r="B10" s="174" t="str">
        <x:f>IF(A10="","",IFERROR(INDEX('Master Evidence'!$L$4:$L$503,MATCH(A10,'Master Evidence'!$A$4:$A$503,0)),""))</x:f>
      </x:c>
      <x:c r="C10" s="174"/>
      <x:c r="D10" s="174"/>
      <x:c r="E10" s="174"/>
      <x:c r="F10" s="174"/>
      <x:c r="G10" s="174"/>
      <x:c r="H10" s="174"/>
      <x:c r="I10" s="174"/>
      <x:c r="J10" s="177"/>
      <x:c r="K10" s="174"/>
      <x:c r="L10" s="174"/>
      <x:c r="M10" s="174"/>
    </x:row>
    <x:row r="11">
      <x:c r="A11" s="174"/>
      <x:c r="B11" s="174" t="str">
        <x:f>IF(A11="","",IFERROR(INDEX('Master Evidence'!$L$4:$L$503,MATCH(A11,'Master Evidence'!$A$4:$A$503,0)),""))</x:f>
      </x:c>
      <x:c r="C11" s="174"/>
      <x:c r="D11" s="174"/>
      <x:c r="E11" s="174"/>
      <x:c r="F11" s="174"/>
      <x:c r="G11" s="174"/>
      <x:c r="H11" s="174"/>
      <x:c r="I11" s="174"/>
      <x:c r="J11" s="177"/>
      <x:c r="K11" s="174"/>
      <x:c r="L11" s="174"/>
      <x:c r="M11" s="174"/>
    </x:row>
    <x:row r="12">
      <x:c r="A12" s="174"/>
      <x:c r="B12" s="174" t="str">
        <x:f>IF(A12="","",IFERROR(INDEX('Master Evidence'!$L$4:$L$503,MATCH(A12,'Master Evidence'!$A$4:$A$503,0)),""))</x:f>
      </x:c>
      <x:c r="C12" s="174"/>
      <x:c r="D12" s="174"/>
      <x:c r="E12" s="174"/>
      <x:c r="F12" s="174"/>
      <x:c r="G12" s="174"/>
      <x:c r="H12" s="174"/>
      <x:c r="I12" s="174"/>
      <x:c r="J12" s="177"/>
      <x:c r="K12" s="174"/>
      <x:c r="L12" s="174"/>
      <x:c r="M12" s="174"/>
    </x:row>
    <x:row r="13">
      <x:c r="A13" s="174"/>
      <x:c r="B13" s="174" t="str">
        <x:f>IF(A13="","",IFERROR(INDEX('Master Evidence'!$L$4:$L$503,MATCH(A13,'Master Evidence'!$A$4:$A$503,0)),""))</x:f>
      </x:c>
      <x:c r="C13" s="174"/>
      <x:c r="D13" s="174"/>
      <x:c r="E13" s="174"/>
      <x:c r="F13" s="174"/>
      <x:c r="G13" s="174"/>
      <x:c r="H13" s="174"/>
      <x:c r="I13" s="174"/>
      <x:c r="J13" s="177"/>
      <x:c r="K13" s="174"/>
      <x:c r="L13" s="174"/>
      <x:c r="M13" s="174"/>
    </x:row>
    <x:row r="14">
      <x:c r="A14" s="174"/>
      <x:c r="B14" s="174" t="str">
        <x:f>IF(A14="","",IFERROR(INDEX('Master Evidence'!$L$4:$L$503,MATCH(A14,'Master Evidence'!$A$4:$A$503,0)),""))</x:f>
      </x:c>
      <x:c r="C14" s="174"/>
      <x:c r="D14" s="174"/>
      <x:c r="E14" s="174"/>
      <x:c r="F14" s="174"/>
      <x:c r="G14" s="174"/>
      <x:c r="H14" s="174"/>
      <x:c r="I14" s="174"/>
      <x:c r="J14" s="177"/>
      <x:c r="K14" s="174"/>
      <x:c r="L14" s="174"/>
      <x:c r="M14" s="174"/>
    </x:row>
    <x:row r="15">
      <x:c r="A15" s="174"/>
      <x:c r="B15" s="174" t="str">
        <x:f>IF(A15="","",IFERROR(INDEX('Master Evidence'!$L$4:$L$503,MATCH(A15,'Master Evidence'!$A$4:$A$503,0)),""))</x:f>
      </x:c>
      <x:c r="C15" s="174"/>
      <x:c r="D15" s="174"/>
      <x:c r="E15" s="174"/>
      <x:c r="F15" s="174"/>
      <x:c r="G15" s="174"/>
      <x:c r="H15" s="174"/>
      <x:c r="I15" s="174"/>
      <x:c r="J15" s="177"/>
      <x:c r="K15" s="174"/>
      <x:c r="L15" s="174"/>
      <x:c r="M15" s="174"/>
    </x:row>
    <x:row r="16">
      <x:c r="A16" s="174"/>
      <x:c r="B16" s="174" t="str">
        <x:f>IF(A16="","",IFERROR(INDEX('Master Evidence'!$L$4:$L$503,MATCH(A16,'Master Evidence'!$A$4:$A$503,0)),""))</x:f>
      </x:c>
      <x:c r="C16" s="174"/>
      <x:c r="D16" s="174"/>
      <x:c r="E16" s="174"/>
      <x:c r="F16" s="174"/>
      <x:c r="G16" s="174"/>
      <x:c r="H16" s="174"/>
      <x:c r="I16" s="174"/>
      <x:c r="J16" s="177"/>
      <x:c r="K16" s="174"/>
      <x:c r="L16" s="174"/>
      <x:c r="M16" s="174"/>
    </x:row>
    <x:row r="17">
      <x:c r="A17" s="174"/>
      <x:c r="B17" s="174" t="str">
        <x:f>IF(A17="","",IFERROR(INDEX('Master Evidence'!$L$4:$L$503,MATCH(A17,'Master Evidence'!$A$4:$A$503,0)),""))</x:f>
      </x:c>
      <x:c r="C17" s="174"/>
      <x:c r="D17" s="174"/>
      <x:c r="E17" s="174"/>
      <x:c r="F17" s="174"/>
      <x:c r="G17" s="174"/>
      <x:c r="H17" s="174"/>
      <x:c r="I17" s="174"/>
      <x:c r="J17" s="177"/>
      <x:c r="K17" s="174"/>
      <x:c r="L17" s="174"/>
      <x:c r="M17" s="174"/>
    </x:row>
    <x:row r="18">
      <x:c r="A18" s="174"/>
      <x:c r="B18" s="174" t="str">
        <x:f>IF(A18="","",IFERROR(INDEX('Master Evidence'!$L$4:$L$503,MATCH(A18,'Master Evidence'!$A$4:$A$503,0)),""))</x:f>
      </x:c>
      <x:c r="C18" s="174"/>
      <x:c r="D18" s="174"/>
      <x:c r="E18" s="174"/>
      <x:c r="F18" s="174"/>
      <x:c r="G18" s="174"/>
      <x:c r="H18" s="174"/>
      <x:c r="I18" s="174"/>
      <x:c r="J18" s="177"/>
      <x:c r="K18" s="174"/>
      <x:c r="L18" s="174"/>
      <x:c r="M18" s="174"/>
    </x:row>
    <x:row r="19">
      <x:c r="A19" s="174"/>
      <x:c r="B19" s="174" t="str">
        <x:f>IF(A19="","",IFERROR(INDEX('Master Evidence'!$L$4:$L$503,MATCH(A19,'Master Evidence'!$A$4:$A$503,0)),""))</x:f>
      </x:c>
      <x:c r="C19" s="174"/>
      <x:c r="D19" s="174"/>
      <x:c r="E19" s="174"/>
      <x:c r="F19" s="174"/>
      <x:c r="G19" s="174"/>
      <x:c r="H19" s="174"/>
      <x:c r="I19" s="174"/>
      <x:c r="J19" s="177"/>
      <x:c r="K19" s="174"/>
      <x:c r="L19" s="174"/>
      <x:c r="M19" s="174"/>
    </x:row>
    <x:row r="20">
      <x:c r="A20" s="174"/>
      <x:c r="B20" s="174" t="str">
        <x:f>IF(A20="","",IFERROR(INDEX('Master Evidence'!$L$4:$L$503,MATCH(A20,'Master Evidence'!$A$4:$A$503,0)),""))</x:f>
      </x:c>
      <x:c r="C20" s="174"/>
      <x:c r="D20" s="174"/>
      <x:c r="E20" s="174"/>
      <x:c r="F20" s="174"/>
      <x:c r="G20" s="174"/>
      <x:c r="H20" s="174"/>
      <x:c r="I20" s="174"/>
      <x:c r="J20" s="177"/>
      <x:c r="K20" s="174"/>
      <x:c r="L20" s="174"/>
      <x:c r="M20" s="174"/>
    </x:row>
    <x:row r="21">
      <x:c r="A21" s="174"/>
      <x:c r="B21" s="174" t="str">
        <x:f>IF(A21="","",IFERROR(INDEX('Master Evidence'!$L$4:$L$503,MATCH(A21,'Master Evidence'!$A$4:$A$503,0)),""))</x:f>
      </x:c>
      <x:c r="C21" s="174"/>
      <x:c r="D21" s="174"/>
      <x:c r="E21" s="174"/>
      <x:c r="F21" s="174"/>
      <x:c r="G21" s="174"/>
      <x:c r="H21" s="174"/>
      <x:c r="I21" s="174"/>
      <x:c r="J21" s="177"/>
      <x:c r="K21" s="174"/>
      <x:c r="L21" s="174"/>
      <x:c r="M21" s="174"/>
    </x:row>
    <x:row r="22">
      <x:c r="A22" s="174"/>
      <x:c r="B22" s="174" t="str">
        <x:f>IF(A22="","",IFERROR(INDEX('Master Evidence'!$L$4:$L$503,MATCH(A22,'Master Evidence'!$A$4:$A$503,0)),""))</x:f>
      </x:c>
      <x:c r="C22" s="174"/>
      <x:c r="D22" s="174"/>
      <x:c r="E22" s="174"/>
      <x:c r="F22" s="174"/>
      <x:c r="G22" s="174"/>
      <x:c r="H22" s="174"/>
      <x:c r="I22" s="174"/>
      <x:c r="J22" s="177"/>
      <x:c r="K22" s="174"/>
      <x:c r="L22" s="174"/>
      <x:c r="M22" s="174"/>
    </x:row>
    <x:row r="23">
      <x:c r="A23" s="174"/>
      <x:c r="B23" s="174" t="str">
        <x:f>IF(A23="","",IFERROR(INDEX('Master Evidence'!$L$4:$L$503,MATCH(A23,'Master Evidence'!$A$4:$A$503,0)),""))</x:f>
      </x:c>
      <x:c r="C23" s="174"/>
      <x:c r="D23" s="174"/>
      <x:c r="E23" s="174"/>
      <x:c r="F23" s="174"/>
      <x:c r="G23" s="174"/>
      <x:c r="H23" s="174"/>
      <x:c r="I23" s="174"/>
      <x:c r="J23" s="177"/>
      <x:c r="K23" s="174"/>
      <x:c r="L23" s="174"/>
      <x:c r="M23" s="174"/>
    </x:row>
    <x:row r="24">
      <x:c r="A24" s="174"/>
      <x:c r="B24" s="174" t="str">
        <x:f>IF(A24="","",IFERROR(INDEX('Master Evidence'!$L$4:$L$503,MATCH(A24,'Master Evidence'!$A$4:$A$503,0)),""))</x:f>
      </x:c>
      <x:c r="C24" s="174"/>
      <x:c r="D24" s="174"/>
      <x:c r="E24" s="174"/>
      <x:c r="F24" s="174"/>
      <x:c r="G24" s="174"/>
      <x:c r="H24" s="174"/>
      <x:c r="I24" s="174"/>
      <x:c r="J24" s="177"/>
      <x:c r="K24" s="174"/>
      <x:c r="L24" s="174"/>
      <x:c r="M24" s="174"/>
    </x:row>
    <x:row r="25">
      <x:c r="A25" s="174"/>
      <x:c r="B25" s="174" t="str">
        <x:f>IF(A25="","",IFERROR(INDEX('Master Evidence'!$L$4:$L$503,MATCH(A25,'Master Evidence'!$A$4:$A$503,0)),""))</x:f>
      </x:c>
      <x:c r="C25" s="174"/>
      <x:c r="D25" s="174"/>
      <x:c r="E25" s="174"/>
      <x:c r="F25" s="174"/>
      <x:c r="G25" s="174"/>
      <x:c r="H25" s="174"/>
      <x:c r="I25" s="174"/>
      <x:c r="J25" s="177"/>
      <x:c r="K25" s="174"/>
      <x:c r="L25" s="174"/>
      <x:c r="M25" s="174"/>
    </x:row>
    <x:row r="26">
      <x:c r="A26" s="174"/>
      <x:c r="B26" s="174" t="str">
        <x:f>IF(A26="","",IFERROR(INDEX('Master Evidence'!$L$4:$L$503,MATCH(A26,'Master Evidence'!$A$4:$A$503,0)),""))</x:f>
      </x:c>
      <x:c r="C26" s="174"/>
      <x:c r="D26" s="174"/>
      <x:c r="E26" s="174"/>
      <x:c r="F26" s="174"/>
      <x:c r="G26" s="174"/>
      <x:c r="H26" s="174"/>
      <x:c r="I26" s="174"/>
      <x:c r="J26" s="177"/>
      <x:c r="K26" s="174"/>
      <x:c r="L26" s="174"/>
      <x:c r="M26" s="174"/>
    </x:row>
    <x:row r="27">
      <x:c r="A27" s="174"/>
      <x:c r="B27" s="174" t="str">
        <x:f>IF(A27="","",IFERROR(INDEX('Master Evidence'!$L$4:$L$503,MATCH(A27,'Master Evidence'!$A$4:$A$503,0)),""))</x:f>
      </x:c>
      <x:c r="C27" s="174"/>
      <x:c r="D27" s="174"/>
      <x:c r="E27" s="174"/>
      <x:c r="F27" s="174"/>
      <x:c r="G27" s="174"/>
      <x:c r="H27" s="174"/>
      <x:c r="I27" s="174"/>
      <x:c r="J27" s="177"/>
      <x:c r="K27" s="174"/>
      <x:c r="L27" s="174"/>
      <x:c r="M27" s="174"/>
    </x:row>
    <x:row r="28">
      <x:c r="A28" s="174"/>
      <x:c r="B28" s="174" t="str">
        <x:f>IF(A28="","",IFERROR(INDEX('Master Evidence'!$L$4:$L$503,MATCH(A28,'Master Evidence'!$A$4:$A$503,0)),""))</x:f>
      </x:c>
      <x:c r="C28" s="174"/>
      <x:c r="D28" s="174"/>
      <x:c r="E28" s="174"/>
      <x:c r="F28" s="174"/>
      <x:c r="G28" s="174"/>
      <x:c r="H28" s="174"/>
      <x:c r="I28" s="174"/>
      <x:c r="J28" s="177"/>
      <x:c r="K28" s="174"/>
      <x:c r="L28" s="174"/>
      <x:c r="M28" s="174"/>
    </x:row>
    <x:row r="29">
      <x:c r="A29" s="174"/>
      <x:c r="B29" s="174" t="str">
        <x:f>IF(A29="","",IFERROR(INDEX('Master Evidence'!$L$4:$L$503,MATCH(A29,'Master Evidence'!$A$4:$A$503,0)),""))</x:f>
      </x:c>
      <x:c r="C29" s="174"/>
      <x:c r="D29" s="174"/>
      <x:c r="E29" s="174"/>
      <x:c r="F29" s="174"/>
      <x:c r="G29" s="174"/>
      <x:c r="H29" s="174"/>
      <x:c r="I29" s="174"/>
      <x:c r="J29" s="177"/>
      <x:c r="K29" s="174"/>
      <x:c r="L29" s="174"/>
      <x:c r="M29" s="174"/>
    </x:row>
    <x:row r="30">
      <x:c r="A30" s="174"/>
      <x:c r="B30" s="174" t="str">
        <x:f>IF(A30="","",IFERROR(INDEX('Master Evidence'!$L$4:$L$503,MATCH(A30,'Master Evidence'!$A$4:$A$503,0)),""))</x:f>
      </x:c>
      <x:c r="C30" s="174"/>
      <x:c r="D30" s="174"/>
      <x:c r="E30" s="174"/>
      <x:c r="F30" s="174"/>
      <x:c r="G30" s="174"/>
      <x:c r="H30" s="174"/>
      <x:c r="I30" s="174"/>
      <x:c r="J30" s="177"/>
      <x:c r="K30" s="174"/>
      <x:c r="L30" s="174"/>
      <x:c r="M30" s="174"/>
    </x:row>
    <x:row r="31">
      <x:c r="A31" s="174"/>
      <x:c r="B31" s="174" t="str">
        <x:f>IF(A31="","",IFERROR(INDEX('Master Evidence'!$L$4:$L$503,MATCH(A31,'Master Evidence'!$A$4:$A$503,0)),""))</x:f>
      </x:c>
      <x:c r="C31" s="174"/>
      <x:c r="D31" s="174"/>
      <x:c r="E31" s="174"/>
      <x:c r="F31" s="174"/>
      <x:c r="G31" s="174"/>
      <x:c r="H31" s="174"/>
      <x:c r="I31" s="174"/>
      <x:c r="J31" s="177"/>
      <x:c r="K31" s="174"/>
      <x:c r="L31" s="174"/>
      <x:c r="M31" s="174"/>
    </x:row>
    <x:row r="32">
      <x:c r="A32" s="174"/>
      <x:c r="B32" s="174" t="str">
        <x:f>IF(A32="","",IFERROR(INDEX('Master Evidence'!$L$4:$L$503,MATCH(A32,'Master Evidence'!$A$4:$A$503,0)),""))</x:f>
      </x:c>
      <x:c r="C32" s="174"/>
      <x:c r="D32" s="174"/>
      <x:c r="E32" s="174"/>
      <x:c r="F32" s="174"/>
      <x:c r="G32" s="174"/>
      <x:c r="H32" s="174"/>
      <x:c r="I32" s="174"/>
      <x:c r="J32" s="177"/>
      <x:c r="K32" s="174"/>
      <x:c r="L32" s="174"/>
      <x:c r="M32" s="174"/>
    </x:row>
    <x:row r="33">
      <x:c r="A33" s="174"/>
      <x:c r="B33" s="174" t="str">
        <x:f>IF(A33="","",IFERROR(INDEX('Master Evidence'!$L$4:$L$503,MATCH(A33,'Master Evidence'!$A$4:$A$503,0)),""))</x:f>
      </x:c>
      <x:c r="C33" s="174"/>
      <x:c r="D33" s="174"/>
      <x:c r="E33" s="174"/>
      <x:c r="F33" s="174"/>
      <x:c r="G33" s="174"/>
      <x:c r="H33" s="174"/>
      <x:c r="I33" s="174"/>
      <x:c r="J33" s="177"/>
      <x:c r="K33" s="174"/>
      <x:c r="L33" s="174"/>
      <x:c r="M33" s="174"/>
    </x:row>
    <x:row r="34">
      <x:c r="A34" s="174"/>
      <x:c r="B34" s="174" t="str">
        <x:f>IF(A34="","",IFERROR(INDEX('Master Evidence'!$L$4:$L$503,MATCH(A34,'Master Evidence'!$A$4:$A$503,0)),""))</x:f>
      </x:c>
      <x:c r="C34" s="174"/>
      <x:c r="D34" s="174"/>
      <x:c r="E34" s="174"/>
      <x:c r="F34" s="174"/>
      <x:c r="G34" s="174"/>
      <x:c r="H34" s="174"/>
      <x:c r="I34" s="174"/>
      <x:c r="J34" s="177"/>
      <x:c r="K34" s="174"/>
      <x:c r="L34" s="174"/>
      <x:c r="M34" s="174"/>
    </x:row>
    <x:row r="35">
      <x:c r="A35" s="174"/>
      <x:c r="B35" s="174" t="str">
        <x:f>IF(A35="","",IFERROR(INDEX('Master Evidence'!$L$4:$L$503,MATCH(A35,'Master Evidence'!$A$4:$A$503,0)),""))</x:f>
      </x:c>
      <x:c r="C35" s="174"/>
      <x:c r="D35" s="174"/>
      <x:c r="E35" s="174"/>
      <x:c r="F35" s="174"/>
      <x:c r="G35" s="174"/>
      <x:c r="H35" s="174"/>
      <x:c r="I35" s="174"/>
      <x:c r="J35" s="177"/>
      <x:c r="K35" s="174"/>
      <x:c r="L35" s="174"/>
      <x:c r="M35" s="174"/>
    </x:row>
    <x:row r="36">
      <x:c r="A36" s="174"/>
      <x:c r="B36" s="174" t="str">
        <x:f>IF(A36="","",IFERROR(INDEX('Master Evidence'!$L$4:$L$503,MATCH(A36,'Master Evidence'!$A$4:$A$503,0)),""))</x:f>
      </x:c>
      <x:c r="C36" s="174"/>
      <x:c r="D36" s="174"/>
      <x:c r="E36" s="174"/>
      <x:c r="F36" s="174"/>
      <x:c r="G36" s="174"/>
      <x:c r="H36" s="174"/>
      <x:c r="I36" s="174"/>
      <x:c r="J36" s="177"/>
      <x:c r="K36" s="174"/>
      <x:c r="L36" s="174"/>
      <x:c r="M36" s="174"/>
    </x:row>
    <x:row r="37">
      <x:c r="A37" s="174"/>
      <x:c r="B37" s="174" t="str">
        <x:f>IF(A37="","",IFERROR(INDEX('Master Evidence'!$L$4:$L$503,MATCH(A37,'Master Evidence'!$A$4:$A$503,0)),""))</x:f>
      </x:c>
      <x:c r="C37" s="174"/>
      <x:c r="D37" s="174"/>
      <x:c r="E37" s="174"/>
      <x:c r="F37" s="174"/>
      <x:c r="G37" s="174"/>
      <x:c r="H37" s="174"/>
      <x:c r="I37" s="174"/>
      <x:c r="J37" s="177"/>
      <x:c r="K37" s="174"/>
      <x:c r="L37" s="174"/>
      <x:c r="M37" s="174"/>
    </x:row>
    <x:row r="38">
      <x:c r="A38" s="174"/>
      <x:c r="B38" s="174" t="str">
        <x:f>IF(A38="","",IFERROR(INDEX('Master Evidence'!$L$4:$L$503,MATCH(A38,'Master Evidence'!$A$4:$A$503,0)),""))</x:f>
      </x:c>
      <x:c r="C38" s="174"/>
      <x:c r="D38" s="174"/>
      <x:c r="E38" s="174"/>
      <x:c r="F38" s="174"/>
      <x:c r="G38" s="174"/>
      <x:c r="H38" s="174"/>
      <x:c r="I38" s="174"/>
      <x:c r="J38" s="177"/>
      <x:c r="K38" s="174"/>
      <x:c r="L38" s="174"/>
      <x:c r="M38" s="174"/>
    </x:row>
    <x:row r="39">
      <x:c r="A39" s="174"/>
      <x:c r="B39" s="174" t="str">
        <x:f>IF(A39="","",IFERROR(INDEX('Master Evidence'!$L$4:$L$503,MATCH(A39,'Master Evidence'!$A$4:$A$503,0)),""))</x:f>
      </x:c>
      <x:c r="C39" s="174"/>
      <x:c r="D39" s="174"/>
      <x:c r="E39" s="174"/>
      <x:c r="F39" s="174"/>
      <x:c r="G39" s="174"/>
      <x:c r="H39" s="174"/>
      <x:c r="I39" s="174"/>
      <x:c r="J39" s="177"/>
      <x:c r="K39" s="174"/>
      <x:c r="L39" s="174"/>
      <x:c r="M39" s="174"/>
    </x:row>
    <x:row r="40">
      <x:c r="A40" s="174"/>
      <x:c r="B40" s="174" t="str">
        <x:f>IF(A40="","",IFERROR(INDEX('Master Evidence'!$L$4:$L$503,MATCH(A40,'Master Evidence'!$A$4:$A$503,0)),""))</x:f>
      </x:c>
      <x:c r="C40" s="174"/>
      <x:c r="D40" s="174"/>
      <x:c r="E40" s="174"/>
      <x:c r="F40" s="174"/>
      <x:c r="G40" s="174"/>
      <x:c r="H40" s="174"/>
      <x:c r="I40" s="174"/>
      <x:c r="J40" s="177"/>
      <x:c r="K40" s="174"/>
      <x:c r="L40" s="174"/>
      <x:c r="M40" s="174"/>
    </x:row>
    <x:row r="41">
      <x:c r="A41" s="174"/>
      <x:c r="B41" s="174" t="str">
        <x:f>IF(A41="","",IFERROR(INDEX('Master Evidence'!$L$4:$L$503,MATCH(A41,'Master Evidence'!$A$4:$A$503,0)),""))</x:f>
      </x:c>
      <x:c r="C41" s="174"/>
      <x:c r="D41" s="174"/>
      <x:c r="E41" s="174"/>
      <x:c r="F41" s="174"/>
      <x:c r="G41" s="174"/>
      <x:c r="H41" s="174"/>
      <x:c r="I41" s="174"/>
      <x:c r="J41" s="177"/>
      <x:c r="K41" s="174"/>
      <x:c r="L41" s="174"/>
      <x:c r="M41" s="174"/>
    </x:row>
    <x:row r="42">
      <x:c r="A42" s="174"/>
      <x:c r="B42" s="174" t="str">
        <x:f>IF(A42="","",IFERROR(INDEX('Master Evidence'!$L$4:$L$503,MATCH(A42,'Master Evidence'!$A$4:$A$503,0)),""))</x:f>
      </x:c>
      <x:c r="C42" s="174"/>
      <x:c r="D42" s="174"/>
      <x:c r="E42" s="174"/>
      <x:c r="F42" s="174"/>
      <x:c r="G42" s="174"/>
      <x:c r="H42" s="174"/>
      <x:c r="I42" s="174"/>
      <x:c r="J42" s="177"/>
      <x:c r="K42" s="174"/>
      <x:c r="L42" s="174"/>
      <x:c r="M42" s="174"/>
    </x:row>
    <x:row r="43">
      <x:c r="A43" s="174"/>
      <x:c r="B43" s="174" t="str">
        <x:f>IF(A43="","",IFERROR(INDEX('Master Evidence'!$L$4:$L$503,MATCH(A43,'Master Evidence'!$A$4:$A$503,0)),""))</x:f>
      </x:c>
      <x:c r="C43" s="174"/>
      <x:c r="D43" s="174"/>
      <x:c r="E43" s="174"/>
      <x:c r="F43" s="174"/>
      <x:c r="G43" s="174"/>
      <x:c r="H43" s="174"/>
      <x:c r="I43" s="174"/>
      <x:c r="J43" s="177"/>
      <x:c r="K43" s="174"/>
      <x:c r="L43" s="174"/>
      <x:c r="M43" s="174"/>
    </x:row>
    <x:row r="44">
      <x:c r="A44" s="174"/>
      <x:c r="B44" s="174" t="str">
        <x:f>IF(A44="","",IFERROR(INDEX('Master Evidence'!$L$4:$L$503,MATCH(A44,'Master Evidence'!$A$4:$A$503,0)),""))</x:f>
      </x:c>
      <x:c r="C44" s="174"/>
      <x:c r="D44" s="174"/>
      <x:c r="E44" s="174"/>
      <x:c r="F44" s="174"/>
      <x:c r="G44" s="174"/>
      <x:c r="H44" s="174"/>
      <x:c r="I44" s="174"/>
      <x:c r="J44" s="177"/>
      <x:c r="K44" s="174"/>
      <x:c r="L44" s="174"/>
      <x:c r="M44" s="174"/>
    </x:row>
    <x:row r="45">
      <x:c r="A45" s="174"/>
      <x:c r="B45" s="174" t="str">
        <x:f>IF(A45="","",IFERROR(INDEX('Master Evidence'!$L$4:$L$503,MATCH(A45,'Master Evidence'!$A$4:$A$503,0)),""))</x:f>
      </x:c>
      <x:c r="C45" s="174"/>
      <x:c r="D45" s="174"/>
      <x:c r="E45" s="174"/>
      <x:c r="F45" s="174"/>
      <x:c r="G45" s="174"/>
      <x:c r="H45" s="174"/>
      <x:c r="I45" s="174"/>
      <x:c r="J45" s="177"/>
      <x:c r="K45" s="174"/>
      <x:c r="L45" s="174"/>
      <x:c r="M45" s="174"/>
    </x:row>
    <x:row r="46">
      <x:c r="A46" s="174"/>
      <x:c r="B46" s="174" t="str">
        <x:f>IF(A46="","",IFERROR(INDEX('Master Evidence'!$L$4:$L$503,MATCH(A46,'Master Evidence'!$A$4:$A$503,0)),""))</x:f>
      </x:c>
      <x:c r="C46" s="174"/>
      <x:c r="D46" s="174"/>
      <x:c r="E46" s="174"/>
      <x:c r="F46" s="174"/>
      <x:c r="G46" s="174"/>
      <x:c r="H46" s="174"/>
      <x:c r="I46" s="174"/>
      <x:c r="J46" s="177"/>
      <x:c r="K46" s="174"/>
      <x:c r="L46" s="174"/>
      <x:c r="M46" s="174"/>
    </x:row>
    <x:row r="47">
      <x:c r="A47" s="174"/>
      <x:c r="B47" s="174" t="str">
        <x:f>IF(A47="","",IFERROR(INDEX('Master Evidence'!$L$4:$L$503,MATCH(A47,'Master Evidence'!$A$4:$A$503,0)),""))</x:f>
      </x:c>
      <x:c r="C47" s="174"/>
      <x:c r="D47" s="174"/>
      <x:c r="E47" s="174"/>
      <x:c r="F47" s="174"/>
      <x:c r="G47" s="174"/>
      <x:c r="H47" s="174"/>
      <x:c r="I47" s="174"/>
      <x:c r="J47" s="177"/>
      <x:c r="K47" s="174"/>
      <x:c r="L47" s="174"/>
      <x:c r="M47" s="174"/>
    </x:row>
    <x:row r="48">
      <x:c r="A48" s="174"/>
      <x:c r="B48" s="174" t="str">
        <x:f>IF(A48="","",IFERROR(INDEX('Master Evidence'!$L$4:$L$503,MATCH(A48,'Master Evidence'!$A$4:$A$503,0)),""))</x:f>
      </x:c>
      <x:c r="C48" s="174"/>
      <x:c r="D48" s="174"/>
      <x:c r="E48" s="174"/>
      <x:c r="F48" s="174"/>
      <x:c r="G48" s="174"/>
      <x:c r="H48" s="174"/>
      <x:c r="I48" s="174"/>
      <x:c r="J48" s="177"/>
      <x:c r="K48" s="174"/>
      <x:c r="L48" s="174"/>
      <x:c r="M48" s="174"/>
    </x:row>
    <x:row r="49">
      <x:c r="A49" s="174"/>
      <x:c r="B49" s="174" t="str">
        <x:f>IF(A49="","",IFERROR(INDEX('Master Evidence'!$L$4:$L$503,MATCH(A49,'Master Evidence'!$A$4:$A$503,0)),""))</x:f>
      </x:c>
      <x:c r="C49" s="174"/>
      <x:c r="D49" s="174"/>
      <x:c r="E49" s="174"/>
      <x:c r="F49" s="174"/>
      <x:c r="G49" s="174"/>
      <x:c r="H49" s="174"/>
      <x:c r="I49" s="174"/>
      <x:c r="J49" s="177"/>
      <x:c r="K49" s="174"/>
      <x:c r="L49" s="174"/>
      <x:c r="M49" s="174"/>
    </x:row>
    <x:row r="50">
      <x:c r="A50" s="174"/>
      <x:c r="B50" s="174" t="str">
        <x:f>IF(A50="","",IFERROR(INDEX('Master Evidence'!$L$4:$L$503,MATCH(A50,'Master Evidence'!$A$4:$A$503,0)),""))</x:f>
      </x:c>
      <x:c r="C50" s="174"/>
      <x:c r="D50" s="174"/>
      <x:c r="E50" s="174"/>
      <x:c r="F50" s="174"/>
      <x:c r="G50" s="174"/>
      <x:c r="H50" s="174"/>
      <x:c r="I50" s="174"/>
      <x:c r="J50" s="177"/>
      <x:c r="K50" s="174"/>
      <x:c r="L50" s="174"/>
      <x:c r="M50" s="174"/>
    </x:row>
    <x:row r="51">
      <x:c r="A51" s="174"/>
      <x:c r="B51" s="174" t="str">
        <x:f>IF(A51="","",IFERROR(INDEX('Master Evidence'!$L$4:$L$503,MATCH(A51,'Master Evidence'!$A$4:$A$503,0)),""))</x:f>
      </x:c>
      <x:c r="C51" s="174"/>
      <x:c r="D51" s="174"/>
      <x:c r="E51" s="174"/>
      <x:c r="F51" s="174"/>
      <x:c r="G51" s="174"/>
      <x:c r="H51" s="174"/>
      <x:c r="I51" s="174"/>
      <x:c r="J51" s="177"/>
      <x:c r="K51" s="174"/>
      <x:c r="L51" s="174"/>
      <x:c r="M51" s="174"/>
    </x:row>
    <x:row r="52">
      <x:c r="A52" s="174"/>
      <x:c r="B52" s="174" t="str">
        <x:f>IF(A52="","",IFERROR(INDEX('Master Evidence'!$L$4:$L$503,MATCH(A52,'Master Evidence'!$A$4:$A$503,0)),""))</x:f>
      </x:c>
      <x:c r="C52" s="174"/>
      <x:c r="D52" s="174"/>
      <x:c r="E52" s="174"/>
      <x:c r="F52" s="174"/>
      <x:c r="G52" s="174"/>
      <x:c r="H52" s="174"/>
      <x:c r="I52" s="174"/>
      <x:c r="J52" s="177"/>
      <x:c r="K52" s="174"/>
      <x:c r="L52" s="174"/>
      <x:c r="M52" s="174"/>
    </x:row>
    <x:row r="53">
      <x:c r="A53" s="174"/>
      <x:c r="B53" s="174" t="str">
        <x:f>IF(A53="","",IFERROR(INDEX('Master Evidence'!$L$4:$L$503,MATCH(A53,'Master Evidence'!$A$4:$A$503,0)),""))</x:f>
      </x:c>
      <x:c r="C53" s="174"/>
      <x:c r="D53" s="174"/>
      <x:c r="E53" s="174"/>
      <x:c r="F53" s="174"/>
      <x:c r="G53" s="174"/>
      <x:c r="H53" s="174"/>
      <x:c r="I53" s="174"/>
      <x:c r="J53" s="177"/>
      <x:c r="K53" s="174"/>
      <x:c r="L53" s="174"/>
      <x:c r="M53" s="174"/>
    </x:row>
    <x:row r="54">
      <x:c r="A54" s="174"/>
      <x:c r="B54" s="174" t="str">
        <x:f>IF(A54="","",IFERROR(INDEX('Master Evidence'!$L$4:$L$503,MATCH(A54,'Master Evidence'!$A$4:$A$503,0)),""))</x:f>
      </x:c>
      <x:c r="C54" s="174"/>
      <x:c r="D54" s="174"/>
      <x:c r="E54" s="174"/>
      <x:c r="F54" s="174"/>
      <x:c r="G54" s="174"/>
      <x:c r="H54" s="174"/>
      <x:c r="I54" s="174"/>
      <x:c r="J54" s="177"/>
      <x:c r="K54" s="174"/>
      <x:c r="L54" s="174"/>
      <x:c r="M54" s="174"/>
    </x:row>
    <x:row r="55">
      <x:c r="A55" s="174"/>
      <x:c r="B55" s="174" t="str">
        <x:f>IF(A55="","",IFERROR(INDEX('Master Evidence'!$L$4:$L$503,MATCH(A55,'Master Evidence'!$A$4:$A$503,0)),""))</x:f>
      </x:c>
      <x:c r="C55" s="174"/>
      <x:c r="D55" s="174"/>
      <x:c r="E55" s="174"/>
      <x:c r="F55" s="174"/>
      <x:c r="G55" s="174"/>
      <x:c r="H55" s="174"/>
      <x:c r="I55" s="174"/>
      <x:c r="J55" s="177"/>
      <x:c r="K55" s="174"/>
      <x:c r="L55" s="174"/>
      <x:c r="M55" s="174"/>
    </x:row>
    <x:row r="56">
      <x:c r="A56" s="174"/>
      <x:c r="B56" s="174" t="str">
        <x:f>IF(A56="","",IFERROR(INDEX('Master Evidence'!$L$4:$L$503,MATCH(A56,'Master Evidence'!$A$4:$A$503,0)),""))</x:f>
      </x:c>
      <x:c r="C56" s="174"/>
      <x:c r="D56" s="174"/>
      <x:c r="E56" s="174"/>
      <x:c r="F56" s="174"/>
      <x:c r="G56" s="174"/>
      <x:c r="H56" s="174"/>
      <x:c r="I56" s="174"/>
      <x:c r="J56" s="177"/>
      <x:c r="K56" s="174"/>
      <x:c r="L56" s="174"/>
      <x:c r="M56" s="174"/>
    </x:row>
    <x:row r="57">
      <x:c r="A57" s="174"/>
      <x:c r="B57" s="174" t="str">
        <x:f>IF(A57="","",IFERROR(INDEX('Master Evidence'!$L$4:$L$503,MATCH(A57,'Master Evidence'!$A$4:$A$503,0)),""))</x:f>
      </x:c>
      <x:c r="C57" s="174"/>
      <x:c r="D57" s="174"/>
      <x:c r="E57" s="174"/>
      <x:c r="F57" s="174"/>
      <x:c r="G57" s="174"/>
      <x:c r="H57" s="174"/>
      <x:c r="I57" s="174"/>
      <x:c r="J57" s="177"/>
      <x:c r="K57" s="174"/>
      <x:c r="L57" s="174"/>
      <x:c r="M57" s="174"/>
    </x:row>
    <x:row r="58">
      <x:c r="A58" s="174"/>
      <x:c r="B58" s="174" t="str">
        <x:f>IF(A58="","",IFERROR(INDEX('Master Evidence'!$L$4:$L$503,MATCH(A58,'Master Evidence'!$A$4:$A$503,0)),""))</x:f>
      </x:c>
      <x:c r="C58" s="174"/>
      <x:c r="D58" s="174"/>
      <x:c r="E58" s="174"/>
      <x:c r="F58" s="174"/>
      <x:c r="G58" s="174"/>
      <x:c r="H58" s="174"/>
      <x:c r="I58" s="174"/>
      <x:c r="J58" s="177"/>
      <x:c r="K58" s="174"/>
      <x:c r="L58" s="174"/>
      <x:c r="M58" s="174"/>
    </x:row>
    <x:row r="59">
      <x:c r="A59" s="174"/>
      <x:c r="B59" s="174" t="str">
        <x:f>IF(A59="","",IFERROR(INDEX('Master Evidence'!$L$4:$L$503,MATCH(A59,'Master Evidence'!$A$4:$A$503,0)),""))</x:f>
      </x:c>
      <x:c r="C59" s="174"/>
      <x:c r="D59" s="174"/>
      <x:c r="E59" s="174"/>
      <x:c r="F59" s="174"/>
      <x:c r="G59" s="174"/>
      <x:c r="H59" s="174"/>
      <x:c r="I59" s="174"/>
      <x:c r="J59" s="177"/>
      <x:c r="K59" s="174"/>
      <x:c r="L59" s="174"/>
      <x:c r="M59" s="174"/>
    </x:row>
    <x:row r="60">
      <x:c r="A60" s="174"/>
      <x:c r="B60" s="174" t="str">
        <x:f>IF(A60="","",IFERROR(INDEX('Master Evidence'!$L$4:$L$503,MATCH(A60,'Master Evidence'!$A$4:$A$503,0)),""))</x:f>
      </x:c>
      <x:c r="C60" s="174"/>
      <x:c r="D60" s="174"/>
      <x:c r="E60" s="174"/>
      <x:c r="F60" s="174"/>
      <x:c r="G60" s="174"/>
      <x:c r="H60" s="174"/>
      <x:c r="I60" s="174"/>
      <x:c r="J60" s="177"/>
      <x:c r="K60" s="174"/>
      <x:c r="L60" s="174"/>
      <x:c r="M60" s="174"/>
    </x:row>
    <x:row r="61">
      <x:c r="A61" s="174"/>
      <x:c r="B61" s="174" t="str">
        <x:f>IF(A61="","",IFERROR(INDEX('Master Evidence'!$L$4:$L$503,MATCH(A61,'Master Evidence'!$A$4:$A$503,0)),""))</x:f>
      </x:c>
      <x:c r="C61" s="174"/>
      <x:c r="D61" s="174"/>
      <x:c r="E61" s="174"/>
      <x:c r="F61" s="174"/>
      <x:c r="G61" s="174"/>
      <x:c r="H61" s="174"/>
      <x:c r="I61" s="174"/>
      <x:c r="J61" s="177"/>
      <x:c r="K61" s="174"/>
      <x:c r="L61" s="174"/>
      <x:c r="M61" s="174"/>
    </x:row>
    <x:row r="62">
      <x:c r="A62" s="174"/>
      <x:c r="B62" s="174" t="str">
        <x:f>IF(A62="","",IFERROR(INDEX('Master Evidence'!$L$4:$L$503,MATCH(A62,'Master Evidence'!$A$4:$A$503,0)),""))</x:f>
      </x:c>
      <x:c r="C62" s="174"/>
      <x:c r="D62" s="174"/>
      <x:c r="E62" s="174"/>
      <x:c r="F62" s="174"/>
      <x:c r="G62" s="174"/>
      <x:c r="H62" s="174"/>
      <x:c r="I62" s="174"/>
      <x:c r="J62" s="177"/>
      <x:c r="K62" s="174"/>
      <x:c r="L62" s="174"/>
      <x:c r="M62" s="174"/>
    </x:row>
    <x:row r="63">
      <x:c r="A63" s="174"/>
      <x:c r="B63" s="174" t="str">
        <x:f>IF(A63="","",IFERROR(INDEX('Master Evidence'!$L$4:$L$503,MATCH(A63,'Master Evidence'!$A$4:$A$503,0)),""))</x:f>
      </x:c>
      <x:c r="C63" s="174"/>
      <x:c r="D63" s="174"/>
      <x:c r="E63" s="174"/>
      <x:c r="F63" s="174"/>
      <x:c r="G63" s="174"/>
      <x:c r="H63" s="174"/>
      <x:c r="I63" s="174"/>
      <x:c r="J63" s="177"/>
      <x:c r="K63" s="174"/>
      <x:c r="L63" s="174"/>
      <x:c r="M63" s="174"/>
    </x:row>
    <x:row r="64">
      <x:c r="A64" s="174"/>
      <x:c r="B64" s="174" t="str">
        <x:f>IF(A64="","",IFERROR(INDEX('Master Evidence'!$L$4:$L$503,MATCH(A64,'Master Evidence'!$A$4:$A$503,0)),""))</x:f>
      </x:c>
      <x:c r="C64" s="174"/>
      <x:c r="D64" s="174"/>
      <x:c r="E64" s="174"/>
      <x:c r="F64" s="174"/>
      <x:c r="G64" s="174"/>
      <x:c r="H64" s="174"/>
      <x:c r="I64" s="174"/>
      <x:c r="J64" s="177"/>
      <x:c r="K64" s="174"/>
      <x:c r="L64" s="174"/>
      <x:c r="M64" s="174"/>
    </x:row>
    <x:row r="65">
      <x:c r="A65" s="174"/>
      <x:c r="B65" s="174" t="str">
        <x:f>IF(A65="","",IFERROR(INDEX('Master Evidence'!$L$4:$L$503,MATCH(A65,'Master Evidence'!$A$4:$A$503,0)),""))</x:f>
      </x:c>
      <x:c r="C65" s="174"/>
      <x:c r="D65" s="174"/>
      <x:c r="E65" s="174"/>
      <x:c r="F65" s="174"/>
      <x:c r="G65" s="174"/>
      <x:c r="H65" s="174"/>
      <x:c r="I65" s="174"/>
      <x:c r="J65" s="177"/>
      <x:c r="K65" s="174"/>
      <x:c r="L65" s="174"/>
      <x:c r="M65" s="174"/>
    </x:row>
    <x:row r="66">
      <x:c r="A66" s="174"/>
      <x:c r="B66" s="174" t="str">
        <x:f>IF(A66="","",IFERROR(INDEX('Master Evidence'!$L$4:$L$503,MATCH(A66,'Master Evidence'!$A$4:$A$503,0)),""))</x:f>
      </x:c>
      <x:c r="C66" s="174"/>
      <x:c r="D66" s="174"/>
      <x:c r="E66" s="174"/>
      <x:c r="F66" s="174"/>
      <x:c r="G66" s="174"/>
      <x:c r="H66" s="174"/>
      <x:c r="I66" s="174"/>
      <x:c r="J66" s="177"/>
      <x:c r="K66" s="174"/>
      <x:c r="L66" s="174"/>
      <x:c r="M66" s="174"/>
    </x:row>
    <x:row r="67">
      <x:c r="A67" s="174"/>
      <x:c r="B67" s="174" t="str">
        <x:f>IF(A67="","",IFERROR(INDEX('Master Evidence'!$L$4:$L$503,MATCH(A67,'Master Evidence'!$A$4:$A$503,0)),""))</x:f>
      </x:c>
      <x:c r="C67" s="174"/>
      <x:c r="D67" s="174"/>
      <x:c r="E67" s="174"/>
      <x:c r="F67" s="174"/>
      <x:c r="G67" s="174"/>
      <x:c r="H67" s="174"/>
      <x:c r="I67" s="174"/>
      <x:c r="J67" s="177"/>
      <x:c r="K67" s="174"/>
      <x:c r="L67" s="174"/>
      <x:c r="M67" s="174"/>
    </x:row>
    <x:row r="68">
      <x:c r="A68" s="174"/>
      <x:c r="B68" s="174" t="str">
        <x:f>IF(A68="","",IFERROR(INDEX('Master Evidence'!$L$4:$L$503,MATCH(A68,'Master Evidence'!$A$4:$A$503,0)),""))</x:f>
      </x:c>
      <x:c r="C68" s="174"/>
      <x:c r="D68" s="174"/>
      <x:c r="E68" s="174"/>
      <x:c r="F68" s="174"/>
      <x:c r="G68" s="174"/>
      <x:c r="H68" s="174"/>
      <x:c r="I68" s="174"/>
      <x:c r="J68" s="177"/>
      <x:c r="K68" s="174"/>
      <x:c r="L68" s="174"/>
      <x:c r="M68" s="174"/>
    </x:row>
    <x:row r="69">
      <x:c r="A69" s="174"/>
      <x:c r="B69" s="174" t="str">
        <x:f>IF(A69="","",IFERROR(INDEX('Master Evidence'!$L$4:$L$503,MATCH(A69,'Master Evidence'!$A$4:$A$503,0)),""))</x:f>
      </x:c>
      <x:c r="C69" s="174"/>
      <x:c r="D69" s="174"/>
      <x:c r="E69" s="174"/>
      <x:c r="F69" s="174"/>
      <x:c r="G69" s="174"/>
      <x:c r="H69" s="174"/>
      <x:c r="I69" s="174"/>
      <x:c r="J69" s="177"/>
      <x:c r="K69" s="174"/>
      <x:c r="L69" s="174"/>
      <x:c r="M69" s="174"/>
    </x:row>
    <x:row r="70">
      <x:c r="A70" s="174"/>
      <x:c r="B70" s="174" t="str">
        <x:f>IF(A70="","",IFERROR(INDEX('Master Evidence'!$L$4:$L$503,MATCH(A70,'Master Evidence'!$A$4:$A$503,0)),""))</x:f>
      </x:c>
      <x:c r="C70" s="174"/>
      <x:c r="D70" s="174"/>
      <x:c r="E70" s="174"/>
      <x:c r="F70" s="174"/>
      <x:c r="G70" s="174"/>
      <x:c r="H70" s="174"/>
      <x:c r="I70" s="174"/>
      <x:c r="J70" s="177"/>
      <x:c r="K70" s="174"/>
      <x:c r="L70" s="174"/>
      <x:c r="M70" s="174"/>
    </x:row>
    <x:row r="71">
      <x:c r="A71" s="174"/>
      <x:c r="B71" s="174" t="str">
        <x:f>IF(A71="","",IFERROR(INDEX('Master Evidence'!$L$4:$L$503,MATCH(A71,'Master Evidence'!$A$4:$A$503,0)),""))</x:f>
      </x:c>
      <x:c r="C71" s="174"/>
      <x:c r="D71" s="174"/>
      <x:c r="E71" s="174"/>
      <x:c r="F71" s="174"/>
      <x:c r="G71" s="174"/>
      <x:c r="H71" s="174"/>
      <x:c r="I71" s="174"/>
      <x:c r="J71" s="177"/>
      <x:c r="K71" s="174"/>
      <x:c r="L71" s="174"/>
      <x:c r="M71" s="174"/>
    </x:row>
    <x:row r="72">
      <x:c r="A72" s="174"/>
      <x:c r="B72" s="174" t="str">
        <x:f>IF(A72="","",IFERROR(INDEX('Master Evidence'!$L$4:$L$503,MATCH(A72,'Master Evidence'!$A$4:$A$503,0)),""))</x:f>
      </x:c>
      <x:c r="C72" s="174"/>
      <x:c r="D72" s="174"/>
      <x:c r="E72" s="174"/>
      <x:c r="F72" s="174"/>
      <x:c r="G72" s="174"/>
      <x:c r="H72" s="174"/>
      <x:c r="I72" s="174"/>
      <x:c r="J72" s="177"/>
      <x:c r="K72" s="174"/>
      <x:c r="L72" s="174"/>
      <x:c r="M72" s="174"/>
    </x:row>
    <x:row r="73">
      <x:c r="A73" s="174"/>
      <x:c r="B73" s="174" t="str">
        <x:f>IF(A73="","",IFERROR(INDEX('Master Evidence'!$L$4:$L$503,MATCH(A73,'Master Evidence'!$A$4:$A$503,0)),""))</x:f>
      </x:c>
      <x:c r="C73" s="174"/>
      <x:c r="D73" s="174"/>
      <x:c r="E73" s="174"/>
      <x:c r="F73" s="174"/>
      <x:c r="G73" s="174"/>
      <x:c r="H73" s="174"/>
      <x:c r="I73" s="174"/>
      <x:c r="J73" s="177"/>
      <x:c r="K73" s="174"/>
      <x:c r="L73" s="174"/>
      <x:c r="M73" s="174"/>
    </x:row>
    <x:row r="74">
      <x:c r="A74" s="174"/>
      <x:c r="B74" s="174" t="str">
        <x:f>IF(A74="","",IFERROR(INDEX('Master Evidence'!$L$4:$L$503,MATCH(A74,'Master Evidence'!$A$4:$A$503,0)),""))</x:f>
      </x:c>
      <x:c r="C74" s="174"/>
      <x:c r="D74" s="174"/>
      <x:c r="E74" s="174"/>
      <x:c r="F74" s="174"/>
      <x:c r="G74" s="174"/>
      <x:c r="H74" s="174"/>
      <x:c r="I74" s="174"/>
      <x:c r="J74" s="177"/>
      <x:c r="K74" s="174"/>
      <x:c r="L74" s="174"/>
      <x:c r="M74" s="174"/>
    </x:row>
    <x:row r="75">
      <x:c r="A75" s="174"/>
      <x:c r="B75" s="174" t="str">
        <x:f>IF(A75="","",IFERROR(INDEX('Master Evidence'!$L$4:$L$503,MATCH(A75,'Master Evidence'!$A$4:$A$503,0)),""))</x:f>
      </x:c>
      <x:c r="C75" s="174"/>
      <x:c r="D75" s="174"/>
      <x:c r="E75" s="174"/>
      <x:c r="F75" s="174"/>
      <x:c r="G75" s="174"/>
      <x:c r="H75" s="174"/>
      <x:c r="I75" s="174"/>
      <x:c r="J75" s="177"/>
      <x:c r="K75" s="174"/>
      <x:c r="L75" s="174"/>
      <x:c r="M75" s="174"/>
    </x:row>
    <x:row r="76">
      <x:c r="A76" s="174"/>
      <x:c r="B76" s="174" t="str">
        <x:f>IF(A76="","",IFERROR(INDEX('Master Evidence'!$L$4:$L$503,MATCH(A76,'Master Evidence'!$A$4:$A$503,0)),""))</x:f>
      </x:c>
      <x:c r="C76" s="174"/>
      <x:c r="D76" s="174"/>
      <x:c r="E76" s="174"/>
      <x:c r="F76" s="174"/>
      <x:c r="G76" s="174"/>
      <x:c r="H76" s="174"/>
      <x:c r="I76" s="174"/>
      <x:c r="J76" s="177"/>
      <x:c r="K76" s="174"/>
      <x:c r="L76" s="174"/>
      <x:c r="M76" s="174"/>
    </x:row>
    <x:row r="77">
      <x:c r="A77" s="174"/>
      <x:c r="B77" s="174" t="str">
        <x:f>IF(A77="","",IFERROR(INDEX('Master Evidence'!$L$4:$L$503,MATCH(A77,'Master Evidence'!$A$4:$A$503,0)),""))</x:f>
      </x:c>
      <x:c r="C77" s="174"/>
      <x:c r="D77" s="174"/>
      <x:c r="E77" s="174"/>
      <x:c r="F77" s="174"/>
      <x:c r="G77" s="174"/>
      <x:c r="H77" s="174"/>
      <x:c r="I77" s="174"/>
      <x:c r="J77" s="177"/>
      <x:c r="K77" s="174"/>
      <x:c r="L77" s="174"/>
      <x:c r="M77" s="174"/>
    </x:row>
    <x:row r="78">
      <x:c r="A78" s="174"/>
      <x:c r="B78" s="174" t="str">
        <x:f>IF(A78="","",IFERROR(INDEX('Master Evidence'!$L$4:$L$503,MATCH(A78,'Master Evidence'!$A$4:$A$503,0)),""))</x:f>
      </x:c>
      <x:c r="C78" s="174"/>
      <x:c r="D78" s="174"/>
      <x:c r="E78" s="174"/>
      <x:c r="F78" s="174"/>
      <x:c r="G78" s="174"/>
      <x:c r="H78" s="174"/>
      <x:c r="I78" s="174"/>
      <x:c r="J78" s="177"/>
      <x:c r="K78" s="174"/>
      <x:c r="L78" s="174"/>
      <x:c r="M78" s="174"/>
    </x:row>
    <x:row r="79">
      <x:c r="A79" s="174"/>
      <x:c r="B79" s="174" t="str">
        <x:f>IF(A79="","",IFERROR(INDEX('Master Evidence'!$L$4:$L$503,MATCH(A79,'Master Evidence'!$A$4:$A$503,0)),""))</x:f>
      </x:c>
      <x:c r="C79" s="174"/>
      <x:c r="D79" s="174"/>
      <x:c r="E79" s="174"/>
      <x:c r="F79" s="174"/>
      <x:c r="G79" s="174"/>
      <x:c r="H79" s="174"/>
      <x:c r="I79" s="174"/>
      <x:c r="J79" s="177"/>
      <x:c r="K79" s="174"/>
      <x:c r="L79" s="174"/>
      <x:c r="M79" s="174"/>
    </x:row>
    <x:row r="80">
      <x:c r="A80" s="174"/>
      <x:c r="B80" s="174" t="str">
        <x:f>IF(A80="","",IFERROR(INDEX('Master Evidence'!$L$4:$L$503,MATCH(A80,'Master Evidence'!$A$4:$A$503,0)),""))</x:f>
      </x:c>
      <x:c r="C80" s="174"/>
      <x:c r="D80" s="174"/>
      <x:c r="E80" s="174"/>
      <x:c r="F80" s="174"/>
      <x:c r="G80" s="174"/>
      <x:c r="H80" s="174"/>
      <x:c r="I80" s="174"/>
      <x:c r="J80" s="177"/>
      <x:c r="K80" s="174"/>
      <x:c r="L80" s="174"/>
      <x:c r="M80" s="174"/>
    </x:row>
    <x:row r="81">
      <x:c r="A81" s="174"/>
      <x:c r="B81" s="174" t="str">
        <x:f>IF(A81="","",IFERROR(INDEX('Master Evidence'!$L$4:$L$503,MATCH(A81,'Master Evidence'!$A$4:$A$503,0)),""))</x:f>
      </x:c>
      <x:c r="C81" s="174"/>
      <x:c r="D81" s="174"/>
      <x:c r="E81" s="174"/>
      <x:c r="F81" s="174"/>
      <x:c r="G81" s="174"/>
      <x:c r="H81" s="174"/>
      <x:c r="I81" s="174"/>
      <x:c r="J81" s="177"/>
      <x:c r="K81" s="174"/>
      <x:c r="L81" s="174"/>
      <x:c r="M81" s="174"/>
    </x:row>
    <x:row r="82">
      <x:c r="A82" s="174"/>
      <x:c r="B82" s="174" t="str">
        <x:f>IF(A82="","",IFERROR(INDEX('Master Evidence'!$L$4:$L$503,MATCH(A82,'Master Evidence'!$A$4:$A$503,0)),""))</x:f>
      </x:c>
      <x:c r="C82" s="174"/>
      <x:c r="D82" s="174"/>
      <x:c r="E82" s="174"/>
      <x:c r="F82" s="174"/>
      <x:c r="G82" s="174"/>
      <x:c r="H82" s="174"/>
      <x:c r="I82" s="174"/>
      <x:c r="J82" s="177"/>
      <x:c r="K82" s="174"/>
      <x:c r="L82" s="174"/>
      <x:c r="M82" s="174"/>
    </x:row>
    <x:row r="83">
      <x:c r="A83" s="174"/>
      <x:c r="B83" s="174" t="str">
        <x:f>IF(A83="","",IFERROR(INDEX('Master Evidence'!$L$4:$L$503,MATCH(A83,'Master Evidence'!$A$4:$A$503,0)),""))</x:f>
      </x:c>
      <x:c r="C83" s="174"/>
      <x:c r="D83" s="174"/>
      <x:c r="E83" s="174"/>
      <x:c r="F83" s="174"/>
      <x:c r="G83" s="174"/>
      <x:c r="H83" s="174"/>
      <x:c r="I83" s="174"/>
      <x:c r="J83" s="177"/>
      <x:c r="K83" s="174"/>
      <x:c r="L83" s="174"/>
      <x:c r="M83" s="174"/>
    </x:row>
    <x:row r="84">
      <x:c r="A84" s="174"/>
      <x:c r="B84" s="174" t="str">
        <x:f>IF(A84="","",IFERROR(INDEX('Master Evidence'!$L$4:$L$503,MATCH(A84,'Master Evidence'!$A$4:$A$503,0)),""))</x:f>
      </x:c>
      <x:c r="C84" s="174"/>
      <x:c r="D84" s="174"/>
      <x:c r="E84" s="174"/>
      <x:c r="F84" s="174"/>
      <x:c r="G84" s="174"/>
      <x:c r="H84" s="174"/>
      <x:c r="I84" s="174"/>
      <x:c r="J84" s="177"/>
      <x:c r="K84" s="174"/>
      <x:c r="L84" s="174"/>
      <x:c r="M84" s="174"/>
    </x:row>
    <x:row r="85">
      <x:c r="A85" s="174"/>
      <x:c r="B85" s="174" t="str">
        <x:f>IF(A85="","",IFERROR(INDEX('Master Evidence'!$L$4:$L$503,MATCH(A85,'Master Evidence'!$A$4:$A$503,0)),""))</x:f>
      </x:c>
      <x:c r="C85" s="174"/>
      <x:c r="D85" s="174"/>
      <x:c r="E85" s="174"/>
      <x:c r="F85" s="174"/>
      <x:c r="G85" s="174"/>
      <x:c r="H85" s="174"/>
      <x:c r="I85" s="174"/>
      <x:c r="J85" s="177"/>
      <x:c r="K85" s="174"/>
      <x:c r="L85" s="174"/>
      <x:c r="M85" s="174"/>
    </x:row>
    <x:row r="86">
      <x:c r="A86" s="174"/>
      <x:c r="B86" s="174" t="str">
        <x:f>IF(A86="","",IFERROR(INDEX('Master Evidence'!$L$4:$L$503,MATCH(A86,'Master Evidence'!$A$4:$A$503,0)),""))</x:f>
      </x:c>
      <x:c r="C86" s="174"/>
      <x:c r="D86" s="174"/>
      <x:c r="E86" s="174"/>
      <x:c r="F86" s="174"/>
      <x:c r="G86" s="174"/>
      <x:c r="H86" s="174"/>
      <x:c r="I86" s="174"/>
      <x:c r="J86" s="177"/>
      <x:c r="K86" s="174"/>
      <x:c r="L86" s="174"/>
      <x:c r="M86" s="174"/>
    </x:row>
    <x:row r="87">
      <x:c r="A87" s="174"/>
      <x:c r="B87" s="174" t="str">
        <x:f>IF(A87="","",IFERROR(INDEX('Master Evidence'!$L$4:$L$503,MATCH(A87,'Master Evidence'!$A$4:$A$503,0)),""))</x:f>
      </x:c>
      <x:c r="C87" s="174"/>
      <x:c r="D87" s="174"/>
      <x:c r="E87" s="174"/>
      <x:c r="F87" s="174"/>
      <x:c r="G87" s="174"/>
      <x:c r="H87" s="174"/>
      <x:c r="I87" s="174"/>
      <x:c r="J87" s="177"/>
      <x:c r="K87" s="174"/>
      <x:c r="L87" s="174"/>
      <x:c r="M87" s="174"/>
    </x:row>
    <x:row r="88">
      <x:c r="A88" s="174"/>
      <x:c r="B88" s="174" t="str">
        <x:f>IF(A88="","",IFERROR(INDEX('Master Evidence'!$L$4:$L$503,MATCH(A88,'Master Evidence'!$A$4:$A$503,0)),""))</x:f>
      </x:c>
      <x:c r="C88" s="174"/>
      <x:c r="D88" s="174"/>
      <x:c r="E88" s="174"/>
      <x:c r="F88" s="174"/>
      <x:c r="G88" s="174"/>
      <x:c r="H88" s="174"/>
      <x:c r="I88" s="174"/>
      <x:c r="J88" s="177"/>
      <x:c r="K88" s="174"/>
      <x:c r="L88" s="174"/>
      <x:c r="M88" s="174"/>
    </x:row>
    <x:row r="89">
      <x:c r="A89" s="174"/>
      <x:c r="B89" s="174" t="str">
        <x:f>IF(A89="","",IFERROR(INDEX('Master Evidence'!$L$4:$L$503,MATCH(A89,'Master Evidence'!$A$4:$A$503,0)),""))</x:f>
      </x:c>
      <x:c r="C89" s="174"/>
      <x:c r="D89" s="174"/>
      <x:c r="E89" s="174"/>
      <x:c r="F89" s="174"/>
      <x:c r="G89" s="174"/>
      <x:c r="H89" s="174"/>
      <x:c r="I89" s="174"/>
      <x:c r="J89" s="177"/>
      <x:c r="K89" s="174"/>
      <x:c r="L89" s="174"/>
      <x:c r="M89" s="174"/>
    </x:row>
    <x:row r="90">
      <x:c r="A90" s="174"/>
      <x:c r="B90" s="174" t="str">
        <x:f>IF(A90="","",IFERROR(INDEX('Master Evidence'!$L$4:$L$503,MATCH(A90,'Master Evidence'!$A$4:$A$503,0)),""))</x:f>
      </x:c>
      <x:c r="C90" s="174"/>
      <x:c r="D90" s="174"/>
      <x:c r="E90" s="174"/>
      <x:c r="F90" s="174"/>
      <x:c r="G90" s="174"/>
      <x:c r="H90" s="174"/>
      <x:c r="I90" s="174"/>
      <x:c r="J90" s="177"/>
      <x:c r="K90" s="174"/>
      <x:c r="L90" s="174"/>
      <x:c r="M90" s="174"/>
    </x:row>
    <x:row r="91">
      <x:c r="A91" s="174"/>
      <x:c r="B91" s="174" t="str">
        <x:f>IF(A91="","",IFERROR(INDEX('Master Evidence'!$L$4:$L$503,MATCH(A91,'Master Evidence'!$A$4:$A$503,0)),""))</x:f>
      </x:c>
      <x:c r="C91" s="174"/>
      <x:c r="D91" s="174"/>
      <x:c r="E91" s="174"/>
      <x:c r="F91" s="174"/>
      <x:c r="G91" s="174"/>
      <x:c r="H91" s="174"/>
      <x:c r="I91" s="174"/>
      <x:c r="J91" s="177"/>
      <x:c r="K91" s="174"/>
      <x:c r="L91" s="174"/>
      <x:c r="M91" s="174"/>
    </x:row>
    <x:row r="92">
      <x:c r="A92" s="174"/>
      <x:c r="B92" s="174" t="str">
        <x:f>IF(A92="","",IFERROR(INDEX('Master Evidence'!$L$4:$L$503,MATCH(A92,'Master Evidence'!$A$4:$A$503,0)),""))</x:f>
      </x:c>
      <x:c r="C92" s="174"/>
      <x:c r="D92" s="174"/>
      <x:c r="E92" s="174"/>
      <x:c r="F92" s="174"/>
      <x:c r="G92" s="174"/>
      <x:c r="H92" s="174"/>
      <x:c r="I92" s="174"/>
      <x:c r="J92" s="177"/>
      <x:c r="K92" s="174"/>
      <x:c r="L92" s="174"/>
      <x:c r="M92" s="174"/>
    </x:row>
    <x:row r="93">
      <x:c r="A93" s="174"/>
      <x:c r="B93" s="174" t="str">
        <x:f>IF(A93="","",IFERROR(INDEX('Master Evidence'!$L$4:$L$503,MATCH(A93,'Master Evidence'!$A$4:$A$503,0)),""))</x:f>
      </x:c>
      <x:c r="C93" s="174"/>
      <x:c r="D93" s="174"/>
      <x:c r="E93" s="174"/>
      <x:c r="F93" s="174"/>
      <x:c r="G93" s="174"/>
      <x:c r="H93" s="174"/>
      <x:c r="I93" s="174"/>
      <x:c r="J93" s="177"/>
      <x:c r="K93" s="174"/>
      <x:c r="L93" s="174"/>
      <x:c r="M93" s="174"/>
    </x:row>
    <x:row r="94">
      <x:c r="A94" s="174"/>
      <x:c r="B94" s="174" t="str">
        <x:f>IF(A94="","",IFERROR(INDEX('Master Evidence'!$L$4:$L$503,MATCH(A94,'Master Evidence'!$A$4:$A$503,0)),""))</x:f>
      </x:c>
      <x:c r="C94" s="174"/>
      <x:c r="D94" s="174"/>
      <x:c r="E94" s="174"/>
      <x:c r="F94" s="174"/>
      <x:c r="G94" s="174"/>
      <x:c r="H94" s="174"/>
      <x:c r="I94" s="174"/>
      <x:c r="J94" s="177"/>
      <x:c r="K94" s="174"/>
      <x:c r="L94" s="174"/>
      <x:c r="M94" s="174"/>
    </x:row>
    <x:row r="95">
      <x:c r="A95" s="174"/>
      <x:c r="B95" s="174" t="str">
        <x:f>IF(A95="","",IFERROR(INDEX('Master Evidence'!$L$4:$L$503,MATCH(A95,'Master Evidence'!$A$4:$A$503,0)),""))</x:f>
      </x:c>
      <x:c r="C95" s="174"/>
      <x:c r="D95" s="174"/>
      <x:c r="E95" s="174"/>
      <x:c r="F95" s="174"/>
      <x:c r="G95" s="174"/>
      <x:c r="H95" s="174"/>
      <x:c r="I95" s="174"/>
      <x:c r="J95" s="177"/>
      <x:c r="K95" s="174"/>
      <x:c r="L95" s="174"/>
      <x:c r="M95" s="174"/>
    </x:row>
    <x:row r="96">
      <x:c r="A96" s="174"/>
      <x:c r="B96" s="174" t="str">
        <x:f>IF(A96="","",IFERROR(INDEX('Master Evidence'!$L$4:$L$503,MATCH(A96,'Master Evidence'!$A$4:$A$503,0)),""))</x:f>
      </x:c>
      <x:c r="C96" s="174"/>
      <x:c r="D96" s="174"/>
      <x:c r="E96" s="174"/>
      <x:c r="F96" s="174"/>
      <x:c r="G96" s="174"/>
      <x:c r="H96" s="174"/>
      <x:c r="I96" s="174"/>
      <x:c r="J96" s="177"/>
      <x:c r="K96" s="174"/>
      <x:c r="L96" s="174"/>
      <x:c r="M96" s="174"/>
    </x:row>
    <x:row r="97">
      <x:c r="A97" s="174"/>
      <x:c r="B97" s="174" t="str">
        <x:f>IF(A97="","",IFERROR(INDEX('Master Evidence'!$L$4:$L$503,MATCH(A97,'Master Evidence'!$A$4:$A$503,0)),""))</x:f>
      </x:c>
      <x:c r="C97" s="174"/>
      <x:c r="D97" s="174"/>
      <x:c r="E97" s="174"/>
      <x:c r="F97" s="174"/>
      <x:c r="G97" s="174"/>
      <x:c r="H97" s="174"/>
      <x:c r="I97" s="174"/>
      <x:c r="J97" s="177"/>
      <x:c r="K97" s="174"/>
      <x:c r="L97" s="174"/>
      <x:c r="M97" s="174"/>
    </x:row>
    <x:row r="98">
      <x:c r="A98" s="174"/>
      <x:c r="B98" s="174" t="str">
        <x:f>IF(A98="","",IFERROR(INDEX('Master Evidence'!$L$4:$L$503,MATCH(A98,'Master Evidence'!$A$4:$A$503,0)),""))</x:f>
      </x:c>
      <x:c r="C98" s="174"/>
      <x:c r="D98" s="174"/>
      <x:c r="E98" s="174"/>
      <x:c r="F98" s="174"/>
      <x:c r="G98" s="174"/>
      <x:c r="H98" s="174"/>
      <x:c r="I98" s="174"/>
      <x:c r="J98" s="177"/>
      <x:c r="K98" s="174"/>
      <x:c r="L98" s="174"/>
      <x:c r="M98" s="174"/>
    </x:row>
    <x:row r="99">
      <x:c r="A99" s="174"/>
      <x:c r="B99" s="174" t="str">
        <x:f>IF(A99="","",IFERROR(INDEX('Master Evidence'!$L$4:$L$503,MATCH(A99,'Master Evidence'!$A$4:$A$503,0)),""))</x:f>
      </x:c>
      <x:c r="C99" s="174"/>
      <x:c r="D99" s="174"/>
      <x:c r="E99" s="174"/>
      <x:c r="F99" s="174"/>
      <x:c r="G99" s="174"/>
      <x:c r="H99" s="174"/>
      <x:c r="I99" s="174"/>
      <x:c r="J99" s="177"/>
      <x:c r="K99" s="174"/>
      <x:c r="L99" s="174"/>
      <x:c r="M99" s="174"/>
    </x:row>
    <x:row r="100">
      <x:c r="A100" s="174"/>
      <x:c r="B100" s="174" t="str">
        <x:f>IF(A100="","",IFERROR(INDEX('Master Evidence'!$L$4:$L$503,MATCH(A100,'Master Evidence'!$A$4:$A$503,0)),""))</x:f>
      </x:c>
      <x:c r="C100" s="174"/>
      <x:c r="D100" s="174"/>
      <x:c r="E100" s="174"/>
      <x:c r="F100" s="174"/>
      <x:c r="G100" s="174"/>
      <x:c r="H100" s="174"/>
      <x:c r="I100" s="174"/>
      <x:c r="J100" s="177"/>
      <x:c r="K100" s="174"/>
      <x:c r="L100" s="174"/>
      <x:c r="M100" s="174"/>
    </x:row>
    <x:row r="101">
      <x:c r="A101" s="174"/>
      <x:c r="B101" s="174" t="str">
        <x:f>IF(A101="","",IFERROR(INDEX('Master Evidence'!$L$4:$L$503,MATCH(A101,'Master Evidence'!$A$4:$A$503,0)),""))</x:f>
      </x:c>
      <x:c r="C101" s="174"/>
      <x:c r="D101" s="174"/>
      <x:c r="E101" s="174"/>
      <x:c r="F101" s="174"/>
      <x:c r="G101" s="174"/>
      <x:c r="H101" s="174"/>
      <x:c r="I101" s="174"/>
      <x:c r="J101" s="177"/>
      <x:c r="K101" s="174"/>
      <x:c r="L101" s="174"/>
      <x:c r="M101" s="174"/>
    </x:row>
    <x:row r="102">
      <x:c r="A102" s="174"/>
      <x:c r="B102" s="174" t="str">
        <x:f>IF(A102="","",IFERROR(INDEX('Master Evidence'!$L$4:$L$503,MATCH(A102,'Master Evidence'!$A$4:$A$503,0)),""))</x:f>
      </x:c>
      <x:c r="C102" s="174"/>
      <x:c r="D102" s="174"/>
      <x:c r="E102" s="174"/>
      <x:c r="F102" s="174"/>
      <x:c r="G102" s="174"/>
      <x:c r="H102" s="174"/>
      <x:c r="I102" s="174"/>
      <x:c r="J102" s="177"/>
      <x:c r="K102" s="174"/>
      <x:c r="L102" s="174"/>
      <x:c r="M102" s="174"/>
    </x:row>
    <x:row r="103">
      <x:c r="A103" s="174"/>
      <x:c r="B103" s="174" t="str">
        <x:f>IF(A103="","",IFERROR(INDEX('Master Evidence'!$L$4:$L$503,MATCH(A103,'Master Evidence'!$A$4:$A$503,0)),""))</x:f>
      </x:c>
      <x:c r="C103" s="174"/>
      <x:c r="D103" s="174"/>
      <x:c r="E103" s="174"/>
      <x:c r="F103" s="174"/>
      <x:c r="G103" s="174"/>
      <x:c r="H103" s="174"/>
      <x:c r="I103" s="174"/>
      <x:c r="J103" s="177"/>
      <x:c r="K103" s="174"/>
      <x:c r="L103" s="174"/>
      <x:c r="M103" s="174"/>
    </x:row>
    <x:row r="104">
      <x:c r="A104" s="174"/>
      <x:c r="B104" s="174" t="str">
        <x:f>IF(A104="","",IFERROR(INDEX('Master Evidence'!$L$4:$L$503,MATCH(A104,'Master Evidence'!$A$4:$A$503,0)),""))</x:f>
      </x:c>
      <x:c r="C104" s="174"/>
      <x:c r="D104" s="174"/>
      <x:c r="E104" s="174"/>
      <x:c r="F104" s="174"/>
      <x:c r="G104" s="174"/>
      <x:c r="H104" s="174"/>
      <x:c r="I104" s="174"/>
      <x:c r="J104" s="177"/>
      <x:c r="K104" s="174"/>
      <x:c r="L104" s="174"/>
      <x:c r="M104" s="174"/>
    </x:row>
    <x:row r="105">
      <x:c r="A105" s="174"/>
      <x:c r="B105" s="174" t="str">
        <x:f>IF(A105="","",IFERROR(INDEX('Master Evidence'!$L$4:$L$503,MATCH(A105,'Master Evidence'!$A$4:$A$503,0)),""))</x:f>
      </x:c>
      <x:c r="C105" s="174"/>
      <x:c r="D105" s="174"/>
      <x:c r="E105" s="174"/>
      <x:c r="F105" s="174"/>
      <x:c r="G105" s="174"/>
      <x:c r="H105" s="174"/>
      <x:c r="I105" s="174"/>
      <x:c r="J105" s="177"/>
      <x:c r="K105" s="174"/>
      <x:c r="L105" s="174"/>
      <x:c r="M105" s="174"/>
    </x:row>
    <x:row r="106">
      <x:c r="A106" s="174"/>
      <x:c r="B106" s="174" t="str">
        <x:f>IF(A106="","",IFERROR(INDEX('Master Evidence'!$L$4:$L$503,MATCH(A106,'Master Evidence'!$A$4:$A$503,0)),""))</x:f>
      </x:c>
      <x:c r="C106" s="174"/>
      <x:c r="D106" s="174"/>
      <x:c r="E106" s="174"/>
      <x:c r="F106" s="174"/>
      <x:c r="G106" s="174"/>
      <x:c r="H106" s="174"/>
      <x:c r="I106" s="174"/>
      <x:c r="J106" s="177"/>
      <x:c r="K106" s="174"/>
      <x:c r="L106" s="174"/>
      <x:c r="M106" s="174"/>
    </x:row>
    <x:row r="107">
      <x:c r="A107" s="174"/>
      <x:c r="B107" s="174" t="str">
        <x:f>IF(A107="","",IFERROR(INDEX('Master Evidence'!$L$4:$L$503,MATCH(A107,'Master Evidence'!$A$4:$A$503,0)),""))</x:f>
      </x:c>
      <x:c r="C107" s="174"/>
      <x:c r="D107" s="174"/>
      <x:c r="E107" s="174"/>
      <x:c r="F107" s="174"/>
      <x:c r="G107" s="174"/>
      <x:c r="H107" s="174"/>
      <x:c r="I107" s="174"/>
      <x:c r="J107" s="177"/>
      <x:c r="K107" s="174"/>
      <x:c r="L107" s="174"/>
      <x:c r="M107" s="174"/>
    </x:row>
    <x:row r="108">
      <x:c r="A108" s="174"/>
      <x:c r="B108" s="174" t="str">
        <x:f>IF(A108="","",IFERROR(INDEX('Master Evidence'!$L$4:$L$503,MATCH(A108,'Master Evidence'!$A$4:$A$503,0)),""))</x:f>
      </x:c>
      <x:c r="C108" s="174"/>
      <x:c r="D108" s="174"/>
      <x:c r="E108" s="174"/>
      <x:c r="F108" s="174"/>
      <x:c r="G108" s="174"/>
      <x:c r="H108" s="174"/>
      <x:c r="I108" s="174"/>
      <x:c r="J108" s="177"/>
      <x:c r="K108" s="174"/>
      <x:c r="L108" s="174"/>
      <x:c r="M108" s="174"/>
    </x:row>
    <x:row r="109">
      <x:c r="A109" s="174"/>
      <x:c r="B109" s="174" t="str">
        <x:f>IF(A109="","",IFERROR(INDEX('Master Evidence'!$L$4:$L$503,MATCH(A109,'Master Evidence'!$A$4:$A$503,0)),""))</x:f>
      </x:c>
      <x:c r="C109" s="174"/>
      <x:c r="D109" s="174"/>
      <x:c r="E109" s="174"/>
      <x:c r="F109" s="174"/>
      <x:c r="G109" s="174"/>
      <x:c r="H109" s="174"/>
      <x:c r="I109" s="174"/>
      <x:c r="J109" s="177"/>
      <x:c r="K109" s="174"/>
      <x:c r="L109" s="174"/>
      <x:c r="M109" s="174"/>
    </x:row>
    <x:row r="110">
      <x:c r="A110" s="174"/>
      <x:c r="B110" s="174" t="str">
        <x:f>IF(A110="","",IFERROR(INDEX('Master Evidence'!$L$4:$L$503,MATCH(A110,'Master Evidence'!$A$4:$A$503,0)),""))</x:f>
      </x:c>
      <x:c r="C110" s="174"/>
      <x:c r="D110" s="174"/>
      <x:c r="E110" s="174"/>
      <x:c r="F110" s="174"/>
      <x:c r="G110" s="174"/>
      <x:c r="H110" s="174"/>
      <x:c r="I110" s="174"/>
      <x:c r="J110" s="177"/>
      <x:c r="K110" s="174"/>
      <x:c r="L110" s="174"/>
      <x:c r="M110" s="174"/>
    </x:row>
    <x:row r="111">
      <x:c r="A111" s="174"/>
      <x:c r="B111" s="174" t="str">
        <x:f>IF(A111="","",IFERROR(INDEX('Master Evidence'!$L$4:$L$503,MATCH(A111,'Master Evidence'!$A$4:$A$503,0)),""))</x:f>
      </x:c>
      <x:c r="C111" s="174"/>
      <x:c r="D111" s="174"/>
      <x:c r="E111" s="174"/>
      <x:c r="F111" s="174"/>
      <x:c r="G111" s="174"/>
      <x:c r="H111" s="174"/>
      <x:c r="I111" s="174"/>
      <x:c r="J111" s="177"/>
      <x:c r="K111" s="174"/>
      <x:c r="L111" s="174"/>
      <x:c r="M111" s="174"/>
    </x:row>
    <x:row r="112">
      <x:c r="A112" s="174"/>
      <x:c r="B112" s="174" t="str">
        <x:f>IF(A112="","",IFERROR(INDEX('Master Evidence'!$L$4:$L$503,MATCH(A112,'Master Evidence'!$A$4:$A$503,0)),""))</x:f>
      </x:c>
      <x:c r="C112" s="174"/>
      <x:c r="D112" s="174"/>
      <x:c r="E112" s="174"/>
      <x:c r="F112" s="174"/>
      <x:c r="G112" s="174"/>
      <x:c r="H112" s="174"/>
      <x:c r="I112" s="174"/>
      <x:c r="J112" s="177"/>
      <x:c r="K112" s="174"/>
      <x:c r="L112" s="174"/>
      <x:c r="M112" s="174"/>
    </x:row>
    <x:row r="113">
      <x:c r="A113" s="174"/>
      <x:c r="B113" s="174" t="str">
        <x:f>IF(A113="","",IFERROR(INDEX('Master Evidence'!$L$4:$L$503,MATCH(A113,'Master Evidence'!$A$4:$A$503,0)),""))</x:f>
      </x:c>
      <x:c r="C113" s="174"/>
      <x:c r="D113" s="174"/>
      <x:c r="E113" s="174"/>
      <x:c r="F113" s="174"/>
      <x:c r="G113" s="174"/>
      <x:c r="H113" s="174"/>
      <x:c r="I113" s="174"/>
      <x:c r="J113" s="177"/>
      <x:c r="K113" s="174"/>
      <x:c r="L113" s="174"/>
      <x:c r="M113" s="174"/>
    </x:row>
    <x:row r="114">
      <x:c r="A114" s="174"/>
      <x:c r="B114" s="174" t="str">
        <x:f>IF(A114="","",IFERROR(INDEX('Master Evidence'!$L$4:$L$503,MATCH(A114,'Master Evidence'!$A$4:$A$503,0)),""))</x:f>
      </x:c>
      <x:c r="C114" s="174"/>
      <x:c r="D114" s="174"/>
      <x:c r="E114" s="174"/>
      <x:c r="F114" s="174"/>
      <x:c r="G114" s="174"/>
      <x:c r="H114" s="174"/>
      <x:c r="I114" s="174"/>
      <x:c r="J114" s="177"/>
      <x:c r="K114" s="174"/>
      <x:c r="L114" s="174"/>
      <x:c r="M114" s="174"/>
    </x:row>
    <x:row r="115">
      <x:c r="A115" s="174"/>
      <x:c r="B115" s="174" t="str">
        <x:f>IF(A115="","",IFERROR(INDEX('Master Evidence'!$L$4:$L$503,MATCH(A115,'Master Evidence'!$A$4:$A$503,0)),""))</x:f>
      </x:c>
      <x:c r="C115" s="174"/>
      <x:c r="D115" s="174"/>
      <x:c r="E115" s="174"/>
      <x:c r="F115" s="174"/>
      <x:c r="G115" s="174"/>
      <x:c r="H115" s="174"/>
      <x:c r="I115" s="174"/>
      <x:c r="J115" s="177"/>
      <x:c r="K115" s="174"/>
      <x:c r="L115" s="174"/>
      <x:c r="M115" s="174"/>
    </x:row>
    <x:row r="116">
      <x:c r="A116" s="174"/>
      <x:c r="B116" s="174" t="str">
        <x:f>IF(A116="","",IFERROR(INDEX('Master Evidence'!$L$4:$L$503,MATCH(A116,'Master Evidence'!$A$4:$A$503,0)),""))</x:f>
      </x:c>
      <x:c r="C116" s="174"/>
      <x:c r="D116" s="174"/>
      <x:c r="E116" s="174"/>
      <x:c r="F116" s="174"/>
      <x:c r="G116" s="174"/>
      <x:c r="H116" s="174"/>
      <x:c r="I116" s="174"/>
      <x:c r="J116" s="177"/>
      <x:c r="K116" s="174"/>
      <x:c r="L116" s="174"/>
      <x:c r="M116" s="174"/>
    </x:row>
    <x:row r="117">
      <x:c r="A117" s="174"/>
      <x:c r="B117" s="174" t="str">
        <x:f>IF(A117="","",IFERROR(INDEX('Master Evidence'!$L$4:$L$503,MATCH(A117,'Master Evidence'!$A$4:$A$503,0)),""))</x:f>
      </x:c>
      <x:c r="C117" s="174"/>
      <x:c r="D117" s="174"/>
      <x:c r="E117" s="174"/>
      <x:c r="F117" s="174"/>
      <x:c r="G117" s="174"/>
      <x:c r="H117" s="174"/>
      <x:c r="I117" s="174"/>
      <x:c r="J117" s="177"/>
      <x:c r="K117" s="174"/>
      <x:c r="L117" s="174"/>
      <x:c r="M117" s="174"/>
    </x:row>
    <x:row r="118">
      <x:c r="A118" s="174"/>
      <x:c r="B118" s="174" t="str">
        <x:f>IF(A118="","",IFERROR(INDEX('Master Evidence'!$L$4:$L$503,MATCH(A118,'Master Evidence'!$A$4:$A$503,0)),""))</x:f>
      </x:c>
      <x:c r="C118" s="174"/>
      <x:c r="D118" s="174"/>
      <x:c r="E118" s="174"/>
      <x:c r="F118" s="174"/>
      <x:c r="G118" s="174"/>
      <x:c r="H118" s="174"/>
      <x:c r="I118" s="174"/>
      <x:c r="J118" s="177"/>
      <x:c r="K118" s="174"/>
      <x:c r="L118" s="174"/>
      <x:c r="M118" s="174"/>
    </x:row>
    <x:row r="119">
      <x:c r="A119" s="174"/>
      <x:c r="B119" s="174" t="str">
        <x:f>IF(A119="","",IFERROR(INDEX('Master Evidence'!$L$4:$L$503,MATCH(A119,'Master Evidence'!$A$4:$A$503,0)),""))</x:f>
      </x:c>
      <x:c r="C119" s="174"/>
      <x:c r="D119" s="174"/>
      <x:c r="E119" s="174"/>
      <x:c r="F119" s="174"/>
      <x:c r="G119" s="174"/>
      <x:c r="H119" s="174"/>
      <x:c r="I119" s="174"/>
      <x:c r="J119" s="177"/>
      <x:c r="K119" s="174"/>
      <x:c r="L119" s="174"/>
      <x:c r="M119" s="174"/>
    </x:row>
    <x:row r="120">
      <x:c r="A120" s="174"/>
      <x:c r="B120" s="174" t="str">
        <x:f>IF(A120="","",IFERROR(INDEX('Master Evidence'!$L$4:$L$503,MATCH(A120,'Master Evidence'!$A$4:$A$503,0)),""))</x:f>
      </x:c>
      <x:c r="C120" s="174"/>
      <x:c r="D120" s="174"/>
      <x:c r="E120" s="174"/>
      <x:c r="F120" s="174"/>
      <x:c r="G120" s="174"/>
      <x:c r="H120" s="174"/>
      <x:c r="I120" s="174"/>
      <x:c r="J120" s="177"/>
      <x:c r="K120" s="174"/>
      <x:c r="L120" s="174"/>
      <x:c r="M120" s="174"/>
    </x:row>
    <x:row r="121">
      <x:c r="A121" s="174"/>
      <x:c r="B121" s="174" t="str">
        <x:f>IF(A121="","",IFERROR(INDEX('Master Evidence'!$L$4:$L$503,MATCH(A121,'Master Evidence'!$A$4:$A$503,0)),""))</x:f>
      </x:c>
      <x:c r="C121" s="174"/>
      <x:c r="D121" s="174"/>
      <x:c r="E121" s="174"/>
      <x:c r="F121" s="174"/>
      <x:c r="G121" s="174"/>
      <x:c r="H121" s="174"/>
      <x:c r="I121" s="174"/>
      <x:c r="J121" s="177"/>
      <x:c r="K121" s="174"/>
      <x:c r="L121" s="174"/>
      <x:c r="M121" s="174"/>
    </x:row>
    <x:row r="122">
      <x:c r="A122" s="174"/>
      <x:c r="B122" s="174" t="str">
        <x:f>IF(A122="","",IFERROR(INDEX('Master Evidence'!$L$4:$L$503,MATCH(A122,'Master Evidence'!$A$4:$A$503,0)),""))</x:f>
      </x:c>
      <x:c r="C122" s="174"/>
      <x:c r="D122" s="174"/>
      <x:c r="E122" s="174"/>
      <x:c r="F122" s="174"/>
      <x:c r="G122" s="174"/>
      <x:c r="H122" s="174"/>
      <x:c r="I122" s="174"/>
      <x:c r="J122" s="177"/>
      <x:c r="K122" s="174"/>
      <x:c r="L122" s="174"/>
      <x:c r="M122" s="174"/>
    </x:row>
    <x:row r="123">
      <x:c r="A123" s="174"/>
      <x:c r="B123" s="174" t="str">
        <x:f>IF(A123="","",IFERROR(INDEX('Master Evidence'!$L$4:$L$503,MATCH(A123,'Master Evidence'!$A$4:$A$503,0)),""))</x:f>
      </x:c>
      <x:c r="C123" s="174"/>
      <x:c r="D123" s="174"/>
      <x:c r="E123" s="174"/>
      <x:c r="F123" s="174"/>
      <x:c r="G123" s="174"/>
      <x:c r="H123" s="174"/>
      <x:c r="I123" s="174"/>
      <x:c r="J123" s="177"/>
      <x:c r="K123" s="174"/>
      <x:c r="L123" s="174"/>
      <x:c r="M123" s="174"/>
    </x:row>
    <x:row r="124">
      <x:c r="A124" s="174"/>
      <x:c r="B124" s="174" t="str">
        <x:f>IF(A124="","",IFERROR(INDEX('Master Evidence'!$L$4:$L$503,MATCH(A124,'Master Evidence'!$A$4:$A$503,0)),""))</x:f>
      </x:c>
      <x:c r="C124" s="174"/>
      <x:c r="D124" s="174"/>
      <x:c r="E124" s="174"/>
      <x:c r="F124" s="174"/>
      <x:c r="G124" s="174"/>
      <x:c r="H124" s="174"/>
      <x:c r="I124" s="174"/>
      <x:c r="J124" s="177"/>
      <x:c r="K124" s="174"/>
      <x:c r="L124" s="174"/>
      <x:c r="M124" s="174"/>
    </x:row>
    <x:row r="125">
      <x:c r="A125" s="174"/>
      <x:c r="B125" s="174" t="str">
        <x:f>IF(A125="","",IFERROR(INDEX('Master Evidence'!$L$4:$L$503,MATCH(A125,'Master Evidence'!$A$4:$A$503,0)),""))</x:f>
      </x:c>
      <x:c r="C125" s="174"/>
      <x:c r="D125" s="174"/>
      <x:c r="E125" s="174"/>
      <x:c r="F125" s="174"/>
      <x:c r="G125" s="174"/>
      <x:c r="H125" s="174"/>
      <x:c r="I125" s="174"/>
      <x:c r="J125" s="177"/>
      <x:c r="K125" s="174"/>
      <x:c r="L125" s="174"/>
      <x:c r="M125" s="174"/>
    </x:row>
    <x:row r="126">
      <x:c r="A126" s="174"/>
      <x:c r="B126" s="174" t="str">
        <x:f>IF(A126="","",IFERROR(INDEX('Master Evidence'!$L$4:$L$503,MATCH(A126,'Master Evidence'!$A$4:$A$503,0)),""))</x:f>
      </x:c>
      <x:c r="C126" s="174"/>
      <x:c r="D126" s="174"/>
      <x:c r="E126" s="174"/>
      <x:c r="F126" s="174"/>
      <x:c r="G126" s="174"/>
      <x:c r="H126" s="174"/>
      <x:c r="I126" s="174"/>
      <x:c r="J126" s="177"/>
      <x:c r="K126" s="174"/>
      <x:c r="L126" s="174"/>
      <x:c r="M126" s="174"/>
    </x:row>
    <x:row r="127">
      <x:c r="A127" s="174"/>
      <x:c r="B127" s="174" t="str">
        <x:f>IF(A127="","",IFERROR(INDEX('Master Evidence'!$L$4:$L$503,MATCH(A127,'Master Evidence'!$A$4:$A$503,0)),""))</x:f>
      </x:c>
      <x:c r="C127" s="174"/>
      <x:c r="D127" s="174"/>
      <x:c r="E127" s="174"/>
      <x:c r="F127" s="174"/>
      <x:c r="G127" s="174"/>
      <x:c r="H127" s="174"/>
      <x:c r="I127" s="174"/>
      <x:c r="J127" s="177"/>
      <x:c r="K127" s="174"/>
      <x:c r="L127" s="174"/>
      <x:c r="M127" s="174"/>
    </x:row>
    <x:row r="128">
      <x:c r="A128" s="174"/>
      <x:c r="B128" s="174" t="str">
        <x:f>IF(A128="","",IFERROR(INDEX('Master Evidence'!$L$4:$L$503,MATCH(A128,'Master Evidence'!$A$4:$A$503,0)),""))</x:f>
      </x:c>
      <x:c r="C128" s="174"/>
      <x:c r="D128" s="174"/>
      <x:c r="E128" s="174"/>
      <x:c r="F128" s="174"/>
      <x:c r="G128" s="174"/>
      <x:c r="H128" s="174"/>
      <x:c r="I128" s="174"/>
      <x:c r="J128" s="177"/>
      <x:c r="K128" s="174"/>
      <x:c r="L128" s="174"/>
      <x:c r="M128" s="174"/>
    </x:row>
    <x:row r="129">
      <x:c r="A129" s="174"/>
      <x:c r="B129" s="174" t="str">
        <x:f>IF(A129="","",IFERROR(INDEX('Master Evidence'!$L$4:$L$503,MATCH(A129,'Master Evidence'!$A$4:$A$503,0)),""))</x:f>
      </x:c>
      <x:c r="C129" s="174"/>
      <x:c r="D129" s="174"/>
      <x:c r="E129" s="174"/>
      <x:c r="F129" s="174"/>
      <x:c r="G129" s="174"/>
      <x:c r="H129" s="174"/>
      <x:c r="I129" s="174"/>
      <x:c r="J129" s="177"/>
      <x:c r="K129" s="174"/>
      <x:c r="L129" s="174"/>
      <x:c r="M129" s="174"/>
    </x:row>
    <x:row r="130">
      <x:c r="A130" s="174"/>
      <x:c r="B130" s="174" t="str">
        <x:f>IF(A130="","",IFERROR(INDEX('Master Evidence'!$L$4:$L$503,MATCH(A130,'Master Evidence'!$A$4:$A$503,0)),""))</x:f>
      </x:c>
      <x:c r="C130" s="174"/>
      <x:c r="D130" s="174"/>
      <x:c r="E130" s="174"/>
      <x:c r="F130" s="174"/>
      <x:c r="G130" s="174"/>
      <x:c r="H130" s="174"/>
      <x:c r="I130" s="174"/>
      <x:c r="J130" s="177"/>
      <x:c r="K130" s="174"/>
      <x:c r="L130" s="174"/>
      <x:c r="M130" s="174"/>
    </x:row>
    <x:row r="131">
      <x:c r="A131" s="174"/>
      <x:c r="B131" s="174" t="str">
        <x:f>IF(A131="","",IFERROR(INDEX('Master Evidence'!$L$4:$L$503,MATCH(A131,'Master Evidence'!$A$4:$A$503,0)),""))</x:f>
      </x:c>
      <x:c r="C131" s="174"/>
      <x:c r="D131" s="174"/>
      <x:c r="E131" s="174"/>
      <x:c r="F131" s="174"/>
      <x:c r="G131" s="174"/>
      <x:c r="H131" s="174"/>
      <x:c r="I131" s="174"/>
      <x:c r="J131" s="177"/>
      <x:c r="K131" s="174"/>
      <x:c r="L131" s="174"/>
      <x:c r="M131" s="174"/>
    </x:row>
    <x:row r="132">
      <x:c r="A132" s="174"/>
      <x:c r="B132" s="174" t="str">
        <x:f>IF(A132="","",IFERROR(INDEX('Master Evidence'!$L$4:$L$503,MATCH(A132,'Master Evidence'!$A$4:$A$503,0)),""))</x:f>
      </x:c>
      <x:c r="C132" s="174"/>
      <x:c r="D132" s="174"/>
      <x:c r="E132" s="174"/>
      <x:c r="F132" s="174"/>
      <x:c r="G132" s="174"/>
      <x:c r="H132" s="174"/>
      <x:c r="I132" s="174"/>
      <x:c r="J132" s="177"/>
      <x:c r="K132" s="174"/>
      <x:c r="L132" s="174"/>
      <x:c r="M132" s="174"/>
    </x:row>
    <x:row r="133">
      <x:c r="A133" s="174"/>
      <x:c r="B133" s="174" t="str">
        <x:f>IF(A133="","",IFERROR(INDEX('Master Evidence'!$L$4:$L$503,MATCH(A133,'Master Evidence'!$A$4:$A$503,0)),""))</x:f>
      </x:c>
      <x:c r="C133" s="174"/>
      <x:c r="D133" s="174"/>
      <x:c r="E133" s="174"/>
      <x:c r="F133" s="174"/>
      <x:c r="G133" s="174"/>
      <x:c r="H133" s="174"/>
      <x:c r="I133" s="174"/>
      <x:c r="J133" s="177"/>
      <x:c r="K133" s="174"/>
      <x:c r="L133" s="174"/>
      <x:c r="M133" s="174"/>
    </x:row>
    <x:row r="134">
      <x:c r="A134" s="174"/>
      <x:c r="B134" s="174" t="str">
        <x:f>IF(A134="","",IFERROR(INDEX('Master Evidence'!$L$4:$L$503,MATCH(A134,'Master Evidence'!$A$4:$A$503,0)),""))</x:f>
      </x:c>
      <x:c r="C134" s="174"/>
      <x:c r="D134" s="174"/>
      <x:c r="E134" s="174"/>
      <x:c r="F134" s="174"/>
      <x:c r="G134" s="174"/>
      <x:c r="H134" s="174"/>
      <x:c r="I134" s="174"/>
      <x:c r="J134" s="177"/>
      <x:c r="K134" s="174"/>
      <x:c r="L134" s="174"/>
      <x:c r="M134" s="174"/>
    </x:row>
    <x:row r="135">
      <x:c r="A135" s="174"/>
      <x:c r="B135" s="174" t="str">
        <x:f>IF(A135="","",IFERROR(INDEX('Master Evidence'!$L$4:$L$503,MATCH(A135,'Master Evidence'!$A$4:$A$503,0)),""))</x:f>
      </x:c>
      <x:c r="C135" s="174"/>
      <x:c r="D135" s="174"/>
      <x:c r="E135" s="174"/>
      <x:c r="F135" s="174"/>
      <x:c r="G135" s="174"/>
      <x:c r="H135" s="174"/>
      <x:c r="I135" s="174"/>
      <x:c r="J135" s="177"/>
      <x:c r="K135" s="174"/>
      <x:c r="L135" s="174"/>
      <x:c r="M135" s="174"/>
    </x:row>
    <x:row r="136">
      <x:c r="A136" s="174"/>
      <x:c r="B136" s="174" t="str">
        <x:f>IF(A136="","",IFERROR(INDEX('Master Evidence'!$L$4:$L$503,MATCH(A136,'Master Evidence'!$A$4:$A$503,0)),""))</x:f>
      </x:c>
      <x:c r="C136" s="174"/>
      <x:c r="D136" s="174"/>
      <x:c r="E136" s="174"/>
      <x:c r="F136" s="174"/>
      <x:c r="G136" s="174"/>
      <x:c r="H136" s="174"/>
      <x:c r="I136" s="174"/>
      <x:c r="J136" s="177"/>
      <x:c r="K136" s="174"/>
      <x:c r="L136" s="174"/>
      <x:c r="M136" s="174"/>
    </x:row>
    <x:row r="137">
      <x:c r="A137" s="174"/>
      <x:c r="B137" s="174" t="str">
        <x:f>IF(A137="","",IFERROR(INDEX('Master Evidence'!$L$4:$L$503,MATCH(A137,'Master Evidence'!$A$4:$A$503,0)),""))</x:f>
      </x:c>
      <x:c r="C137" s="174"/>
      <x:c r="D137" s="174"/>
      <x:c r="E137" s="174"/>
      <x:c r="F137" s="174"/>
      <x:c r="G137" s="174"/>
      <x:c r="H137" s="174"/>
      <x:c r="I137" s="174"/>
      <x:c r="J137" s="177"/>
      <x:c r="K137" s="174"/>
      <x:c r="L137" s="174"/>
      <x:c r="M137" s="174"/>
    </x:row>
    <x:row r="138">
      <x:c r="A138" s="174"/>
      <x:c r="B138" s="174" t="str">
        <x:f>IF(A138="","",IFERROR(INDEX('Master Evidence'!$L$4:$L$503,MATCH(A138,'Master Evidence'!$A$4:$A$503,0)),""))</x:f>
      </x:c>
      <x:c r="C138" s="174"/>
      <x:c r="D138" s="174"/>
      <x:c r="E138" s="174"/>
      <x:c r="F138" s="174"/>
      <x:c r="G138" s="174"/>
      <x:c r="H138" s="174"/>
      <x:c r="I138" s="174"/>
      <x:c r="J138" s="177"/>
      <x:c r="K138" s="174"/>
      <x:c r="L138" s="174"/>
      <x:c r="M138" s="174"/>
    </x:row>
    <x:row r="139">
      <x:c r="A139" s="174"/>
      <x:c r="B139" s="174" t="str">
        <x:f>IF(A139="","",IFERROR(INDEX('Master Evidence'!$L$4:$L$503,MATCH(A139,'Master Evidence'!$A$4:$A$503,0)),""))</x:f>
      </x:c>
      <x:c r="C139" s="174"/>
      <x:c r="D139" s="174"/>
      <x:c r="E139" s="174"/>
      <x:c r="F139" s="174"/>
      <x:c r="G139" s="174"/>
      <x:c r="H139" s="174"/>
      <x:c r="I139" s="174"/>
      <x:c r="J139" s="177"/>
      <x:c r="K139" s="174"/>
      <x:c r="L139" s="174"/>
      <x:c r="M139" s="174"/>
    </x:row>
    <x:row r="140">
      <x:c r="A140" s="174"/>
      <x:c r="B140" s="174" t="str">
        <x:f>IF(A140="","",IFERROR(INDEX('Master Evidence'!$L$4:$L$503,MATCH(A140,'Master Evidence'!$A$4:$A$503,0)),""))</x:f>
      </x:c>
      <x:c r="C140" s="174"/>
      <x:c r="D140" s="174"/>
      <x:c r="E140" s="174"/>
      <x:c r="F140" s="174"/>
      <x:c r="G140" s="174"/>
      <x:c r="H140" s="174"/>
      <x:c r="I140" s="174"/>
      <x:c r="J140" s="177"/>
      <x:c r="K140" s="174"/>
      <x:c r="L140" s="174"/>
      <x:c r="M140" s="174"/>
    </x:row>
    <x:row r="141">
      <x:c r="A141" s="174"/>
      <x:c r="B141" s="174" t="str">
        <x:f>IF(A141="","",IFERROR(INDEX('Master Evidence'!$L$4:$L$503,MATCH(A141,'Master Evidence'!$A$4:$A$503,0)),""))</x:f>
      </x:c>
      <x:c r="C141" s="174"/>
      <x:c r="D141" s="174"/>
      <x:c r="E141" s="174"/>
      <x:c r="F141" s="174"/>
      <x:c r="G141" s="174"/>
      <x:c r="H141" s="174"/>
      <x:c r="I141" s="174"/>
      <x:c r="J141" s="177"/>
      <x:c r="K141" s="174"/>
      <x:c r="L141" s="174"/>
      <x:c r="M141" s="174"/>
    </x:row>
    <x:row r="142">
      <x:c r="A142" s="174"/>
      <x:c r="B142" s="174" t="str">
        <x:f>IF(A142="","",IFERROR(INDEX('Master Evidence'!$L$4:$L$503,MATCH(A142,'Master Evidence'!$A$4:$A$503,0)),""))</x:f>
      </x:c>
      <x:c r="C142" s="174"/>
      <x:c r="D142" s="174"/>
      <x:c r="E142" s="174"/>
      <x:c r="F142" s="174"/>
      <x:c r="G142" s="174"/>
      <x:c r="H142" s="174"/>
      <x:c r="I142" s="174"/>
      <x:c r="J142" s="177"/>
      <x:c r="K142" s="174"/>
      <x:c r="L142" s="174"/>
      <x:c r="M142" s="174"/>
    </x:row>
    <x:row r="143">
      <x:c r="A143" s="174"/>
      <x:c r="B143" s="174" t="str">
        <x:f>IF(A143="","",IFERROR(INDEX('Master Evidence'!$L$4:$L$503,MATCH(A143,'Master Evidence'!$A$4:$A$503,0)),""))</x:f>
      </x:c>
      <x:c r="C143" s="174"/>
      <x:c r="D143" s="174"/>
      <x:c r="E143" s="174"/>
      <x:c r="F143" s="174"/>
      <x:c r="G143" s="174"/>
      <x:c r="H143" s="174"/>
      <x:c r="I143" s="174"/>
      <x:c r="J143" s="177"/>
      <x:c r="K143" s="174"/>
      <x:c r="L143" s="174"/>
      <x:c r="M143" s="174"/>
    </x:row>
    <x:row r="144">
      <x:c r="A144" s="174"/>
      <x:c r="B144" s="174" t="str">
        <x:f>IF(A144="","",IFERROR(INDEX('Master Evidence'!$L$4:$L$503,MATCH(A144,'Master Evidence'!$A$4:$A$503,0)),""))</x:f>
      </x:c>
      <x:c r="C144" s="174"/>
      <x:c r="D144" s="174"/>
      <x:c r="E144" s="174"/>
      <x:c r="F144" s="174"/>
      <x:c r="G144" s="174"/>
      <x:c r="H144" s="174"/>
      <x:c r="I144" s="174"/>
      <x:c r="J144" s="177"/>
      <x:c r="K144" s="174"/>
      <x:c r="L144" s="174"/>
      <x:c r="M144" s="174"/>
    </x:row>
    <x:row r="145">
      <x:c r="A145" s="174"/>
      <x:c r="B145" s="174" t="str">
        <x:f>IF(A145="","",IFERROR(INDEX('Master Evidence'!$L$4:$L$503,MATCH(A145,'Master Evidence'!$A$4:$A$503,0)),""))</x:f>
      </x:c>
      <x:c r="C145" s="174"/>
      <x:c r="D145" s="174"/>
      <x:c r="E145" s="174"/>
      <x:c r="F145" s="174"/>
      <x:c r="G145" s="174"/>
      <x:c r="H145" s="174"/>
      <x:c r="I145" s="174"/>
      <x:c r="J145" s="177"/>
      <x:c r="K145" s="174"/>
      <x:c r="L145" s="174"/>
      <x:c r="M145" s="174"/>
    </x:row>
    <x:row r="146">
      <x:c r="A146" s="174"/>
      <x:c r="B146" s="174" t="str">
        <x:f>IF(A146="","",IFERROR(INDEX('Master Evidence'!$L$4:$L$503,MATCH(A146,'Master Evidence'!$A$4:$A$503,0)),""))</x:f>
      </x:c>
      <x:c r="C146" s="174"/>
      <x:c r="D146" s="174"/>
      <x:c r="E146" s="174"/>
      <x:c r="F146" s="174"/>
      <x:c r="G146" s="174"/>
      <x:c r="H146" s="174"/>
      <x:c r="I146" s="174"/>
      <x:c r="J146" s="177"/>
      <x:c r="K146" s="174"/>
      <x:c r="L146" s="174"/>
      <x:c r="M146" s="174"/>
    </x:row>
    <x:row r="147">
      <x:c r="A147" s="174"/>
      <x:c r="B147" s="174" t="str">
        <x:f>IF(A147="","",IFERROR(INDEX('Master Evidence'!$L$4:$L$503,MATCH(A147,'Master Evidence'!$A$4:$A$503,0)),""))</x:f>
      </x:c>
      <x:c r="C147" s="174"/>
      <x:c r="D147" s="174"/>
      <x:c r="E147" s="174"/>
      <x:c r="F147" s="174"/>
      <x:c r="G147" s="174"/>
      <x:c r="H147" s="174"/>
      <x:c r="I147" s="174"/>
      <x:c r="J147" s="177"/>
      <x:c r="K147" s="174"/>
      <x:c r="L147" s="174"/>
      <x:c r="M147" s="174"/>
    </x:row>
    <x:row r="148">
      <x:c r="A148" s="174"/>
      <x:c r="B148" s="174" t="str">
        <x:f>IF(A148="","",IFERROR(INDEX('Master Evidence'!$L$4:$L$503,MATCH(A148,'Master Evidence'!$A$4:$A$503,0)),""))</x:f>
      </x:c>
      <x:c r="C148" s="174"/>
      <x:c r="D148" s="174"/>
      <x:c r="E148" s="174"/>
      <x:c r="F148" s="174"/>
      <x:c r="G148" s="174"/>
      <x:c r="H148" s="174"/>
      <x:c r="I148" s="174"/>
      <x:c r="J148" s="177"/>
      <x:c r="K148" s="174"/>
      <x:c r="L148" s="174"/>
      <x:c r="M148" s="174"/>
    </x:row>
    <x:row r="149">
      <x:c r="A149" s="174"/>
      <x:c r="B149" s="174" t="str">
        <x:f>IF(A149="","",IFERROR(INDEX('Master Evidence'!$L$4:$L$503,MATCH(A149,'Master Evidence'!$A$4:$A$503,0)),""))</x:f>
      </x:c>
      <x:c r="C149" s="174"/>
      <x:c r="D149" s="174"/>
      <x:c r="E149" s="174"/>
      <x:c r="F149" s="174"/>
      <x:c r="G149" s="174"/>
      <x:c r="H149" s="174"/>
      <x:c r="I149" s="174"/>
      <x:c r="J149" s="177"/>
      <x:c r="K149" s="174"/>
      <x:c r="L149" s="174"/>
      <x:c r="M149" s="174"/>
    </x:row>
    <x:row r="150">
      <x:c r="A150" s="174"/>
      <x:c r="B150" s="174" t="str">
        <x:f>IF(A150="","",IFERROR(INDEX('Master Evidence'!$L$4:$L$503,MATCH(A150,'Master Evidence'!$A$4:$A$503,0)),""))</x:f>
      </x:c>
      <x:c r="C150" s="174"/>
      <x:c r="D150" s="174"/>
      <x:c r="E150" s="174"/>
      <x:c r="F150" s="174"/>
      <x:c r="G150" s="174"/>
      <x:c r="H150" s="174"/>
      <x:c r="I150" s="174"/>
      <x:c r="J150" s="177"/>
      <x:c r="K150" s="174"/>
      <x:c r="L150" s="174"/>
      <x:c r="M150" s="174"/>
    </x:row>
    <x:row r="151">
      <x:c r="A151" s="174"/>
      <x:c r="B151" s="174" t="str">
        <x:f>IF(A151="","",IFERROR(INDEX('Master Evidence'!$L$4:$L$503,MATCH(A151,'Master Evidence'!$A$4:$A$503,0)),""))</x:f>
      </x:c>
      <x:c r="C151" s="174"/>
      <x:c r="D151" s="174"/>
      <x:c r="E151" s="174"/>
      <x:c r="F151" s="174"/>
      <x:c r="G151" s="174"/>
      <x:c r="H151" s="174"/>
      <x:c r="I151" s="174"/>
      <x:c r="J151" s="177"/>
      <x:c r="K151" s="174"/>
      <x:c r="L151" s="174"/>
      <x:c r="M151" s="174"/>
    </x:row>
    <x:row r="152">
      <x:c r="A152" s="174"/>
      <x:c r="B152" s="174" t="str">
        <x:f>IF(A152="","",IFERROR(INDEX('Master Evidence'!$L$4:$L$503,MATCH(A152,'Master Evidence'!$A$4:$A$503,0)),""))</x:f>
      </x:c>
      <x:c r="C152" s="174"/>
      <x:c r="D152" s="174"/>
      <x:c r="E152" s="174"/>
      <x:c r="F152" s="174"/>
      <x:c r="G152" s="174"/>
      <x:c r="H152" s="174"/>
      <x:c r="I152" s="174"/>
      <x:c r="J152" s="177"/>
      <x:c r="K152" s="174"/>
      <x:c r="L152" s="174"/>
      <x:c r="M152" s="174"/>
    </x:row>
    <x:row r="153">
      <x:c r="A153" s="174"/>
      <x:c r="B153" s="174" t="str">
        <x:f>IF(A153="","",IFERROR(INDEX('Master Evidence'!$L$4:$L$503,MATCH(A153,'Master Evidence'!$A$4:$A$503,0)),""))</x:f>
      </x:c>
      <x:c r="C153" s="174"/>
      <x:c r="D153" s="174"/>
      <x:c r="E153" s="174"/>
      <x:c r="F153" s="174"/>
      <x:c r="G153" s="174"/>
      <x:c r="H153" s="174"/>
      <x:c r="I153" s="174"/>
      <x:c r="J153" s="177"/>
      <x:c r="K153" s="174"/>
      <x:c r="L153" s="174"/>
      <x:c r="M153" s="174"/>
    </x:row>
    <x:row r="154">
      <x:c r="A154" s="174"/>
      <x:c r="B154" s="174" t="str">
        <x:f>IF(A154="","",IFERROR(INDEX('Master Evidence'!$L$4:$L$503,MATCH(A154,'Master Evidence'!$A$4:$A$503,0)),""))</x:f>
      </x:c>
      <x:c r="C154" s="174"/>
      <x:c r="D154" s="174"/>
      <x:c r="E154" s="174"/>
      <x:c r="F154" s="174"/>
      <x:c r="G154" s="174"/>
      <x:c r="H154" s="174"/>
      <x:c r="I154" s="174"/>
      <x:c r="J154" s="177"/>
      <x:c r="K154" s="174"/>
      <x:c r="L154" s="174"/>
      <x:c r="M154" s="174"/>
    </x:row>
    <x:row r="155">
      <x:c r="A155" s="174"/>
      <x:c r="B155" s="174" t="str">
        <x:f>IF(A155="","",IFERROR(INDEX('Master Evidence'!$L$4:$L$503,MATCH(A155,'Master Evidence'!$A$4:$A$503,0)),""))</x:f>
      </x:c>
      <x:c r="C155" s="174"/>
      <x:c r="D155" s="174"/>
      <x:c r="E155" s="174"/>
      <x:c r="F155" s="174"/>
      <x:c r="G155" s="174"/>
      <x:c r="H155" s="174"/>
      <x:c r="I155" s="174"/>
      <x:c r="J155" s="177"/>
      <x:c r="K155" s="174"/>
      <x:c r="L155" s="174"/>
      <x:c r="M155" s="174"/>
    </x:row>
    <x:row r="156">
      <x:c r="A156" s="174"/>
      <x:c r="B156" s="174" t="str">
        <x:f>IF(A156="","",IFERROR(INDEX('Master Evidence'!$L$4:$L$503,MATCH(A156,'Master Evidence'!$A$4:$A$503,0)),""))</x:f>
      </x:c>
      <x:c r="C156" s="174"/>
      <x:c r="D156" s="174"/>
      <x:c r="E156" s="174"/>
      <x:c r="F156" s="174"/>
      <x:c r="G156" s="174"/>
      <x:c r="H156" s="174"/>
      <x:c r="I156" s="174"/>
      <x:c r="J156" s="177"/>
      <x:c r="K156" s="174"/>
      <x:c r="L156" s="174"/>
      <x:c r="M156" s="174"/>
    </x:row>
    <x:row r="157">
      <x:c r="A157" s="174"/>
      <x:c r="B157" s="174" t="str">
        <x:f>IF(A157="","",IFERROR(INDEX('Master Evidence'!$L$4:$L$503,MATCH(A157,'Master Evidence'!$A$4:$A$503,0)),""))</x:f>
      </x:c>
      <x:c r="C157" s="174"/>
      <x:c r="D157" s="174"/>
      <x:c r="E157" s="174"/>
      <x:c r="F157" s="174"/>
      <x:c r="G157" s="174"/>
      <x:c r="H157" s="174"/>
      <x:c r="I157" s="174"/>
      <x:c r="J157" s="177"/>
      <x:c r="K157" s="174"/>
      <x:c r="L157" s="174"/>
      <x:c r="M157" s="174"/>
    </x:row>
    <x:row r="158">
      <x:c r="A158" s="174"/>
      <x:c r="B158" s="174" t="str">
        <x:f>IF(A158="","",IFERROR(INDEX('Master Evidence'!$L$4:$L$503,MATCH(A158,'Master Evidence'!$A$4:$A$503,0)),""))</x:f>
      </x:c>
      <x:c r="C158" s="174"/>
      <x:c r="D158" s="174"/>
      <x:c r="E158" s="174"/>
      <x:c r="F158" s="174"/>
      <x:c r="G158" s="174"/>
      <x:c r="H158" s="174"/>
      <x:c r="I158" s="174"/>
      <x:c r="J158" s="177"/>
      <x:c r="K158" s="174"/>
      <x:c r="L158" s="174"/>
      <x:c r="M158" s="174"/>
    </x:row>
    <x:row r="159">
      <x:c r="A159" s="174"/>
      <x:c r="B159" s="174" t="str">
        <x:f>IF(A159="","",IFERROR(INDEX('Master Evidence'!$L$4:$L$503,MATCH(A159,'Master Evidence'!$A$4:$A$503,0)),""))</x:f>
      </x:c>
      <x:c r="C159" s="174"/>
      <x:c r="D159" s="174"/>
      <x:c r="E159" s="174"/>
      <x:c r="F159" s="174"/>
      <x:c r="G159" s="174"/>
      <x:c r="H159" s="174"/>
      <x:c r="I159" s="174"/>
      <x:c r="J159" s="177"/>
      <x:c r="K159" s="174"/>
      <x:c r="L159" s="174"/>
      <x:c r="M159" s="174"/>
    </x:row>
    <x:row r="160">
      <x:c r="A160" s="174"/>
      <x:c r="B160" s="174" t="str">
        <x:f>IF(A160="","",IFERROR(INDEX('Master Evidence'!$L$4:$L$503,MATCH(A160,'Master Evidence'!$A$4:$A$503,0)),""))</x:f>
      </x:c>
      <x:c r="C160" s="174"/>
      <x:c r="D160" s="174"/>
      <x:c r="E160" s="174"/>
      <x:c r="F160" s="174"/>
      <x:c r="G160" s="174"/>
      <x:c r="H160" s="174"/>
      <x:c r="I160" s="174"/>
      <x:c r="J160" s="177"/>
      <x:c r="K160" s="174"/>
      <x:c r="L160" s="174"/>
      <x:c r="M160" s="174"/>
    </x:row>
    <x:row r="161">
      <x:c r="A161" s="174"/>
      <x:c r="B161" s="174" t="str">
        <x:f>IF(A161="","",IFERROR(INDEX('Master Evidence'!$L$4:$L$503,MATCH(A161,'Master Evidence'!$A$4:$A$503,0)),""))</x:f>
      </x:c>
      <x:c r="C161" s="174"/>
      <x:c r="D161" s="174"/>
      <x:c r="E161" s="174"/>
      <x:c r="F161" s="174"/>
      <x:c r="G161" s="174"/>
      <x:c r="H161" s="174"/>
      <x:c r="I161" s="174"/>
      <x:c r="J161" s="177"/>
      <x:c r="K161" s="174"/>
      <x:c r="L161" s="174"/>
      <x:c r="M161" s="174"/>
    </x:row>
    <x:row r="162">
      <x:c r="A162" s="174"/>
      <x:c r="B162" s="174" t="str">
        <x:f>IF(A162="","",IFERROR(INDEX('Master Evidence'!$L$4:$L$503,MATCH(A162,'Master Evidence'!$A$4:$A$503,0)),""))</x:f>
      </x:c>
      <x:c r="C162" s="174"/>
      <x:c r="D162" s="174"/>
      <x:c r="E162" s="174"/>
      <x:c r="F162" s="174"/>
      <x:c r="G162" s="174"/>
      <x:c r="H162" s="174"/>
      <x:c r="I162" s="174"/>
      <x:c r="J162" s="177"/>
      <x:c r="K162" s="174"/>
      <x:c r="L162" s="174"/>
      <x:c r="M162" s="174"/>
    </x:row>
    <x:row r="163">
      <x:c r="A163" s="174"/>
      <x:c r="B163" s="174" t="str">
        <x:f>IF(A163="","",IFERROR(INDEX('Master Evidence'!$L$4:$L$503,MATCH(A163,'Master Evidence'!$A$4:$A$503,0)),""))</x:f>
      </x:c>
      <x:c r="C163" s="174"/>
      <x:c r="D163" s="174"/>
      <x:c r="E163" s="174"/>
      <x:c r="F163" s="174"/>
      <x:c r="G163" s="174"/>
      <x:c r="H163" s="174"/>
      <x:c r="I163" s="174"/>
      <x:c r="J163" s="177"/>
      <x:c r="K163" s="174"/>
      <x:c r="L163" s="174"/>
      <x:c r="M163" s="174"/>
    </x:row>
    <x:row r="164">
      <x:c r="A164" s="174"/>
      <x:c r="B164" s="174" t="str">
        <x:f>IF(A164="","",IFERROR(INDEX('Master Evidence'!$L$4:$L$503,MATCH(A164,'Master Evidence'!$A$4:$A$503,0)),""))</x:f>
      </x:c>
      <x:c r="C164" s="174"/>
      <x:c r="D164" s="174"/>
      <x:c r="E164" s="174"/>
      <x:c r="F164" s="174"/>
      <x:c r="G164" s="174"/>
      <x:c r="H164" s="174"/>
      <x:c r="I164" s="174"/>
      <x:c r="J164" s="177"/>
      <x:c r="K164" s="174"/>
      <x:c r="L164" s="174"/>
      <x:c r="M164" s="174"/>
    </x:row>
    <x:row r="165">
      <x:c r="A165" s="174"/>
      <x:c r="B165" s="174" t="str">
        <x:f>IF(A165="","",IFERROR(INDEX('Master Evidence'!$L$4:$L$503,MATCH(A165,'Master Evidence'!$A$4:$A$503,0)),""))</x:f>
      </x:c>
      <x:c r="C165" s="174"/>
      <x:c r="D165" s="174"/>
      <x:c r="E165" s="174"/>
      <x:c r="F165" s="174"/>
      <x:c r="G165" s="174"/>
      <x:c r="H165" s="174"/>
      <x:c r="I165" s="174"/>
      <x:c r="J165" s="177"/>
      <x:c r="K165" s="174"/>
      <x:c r="L165" s="174"/>
      <x:c r="M165" s="174"/>
    </x:row>
    <x:row r="166">
      <x:c r="A166" s="174"/>
      <x:c r="B166" s="174" t="str">
        <x:f>IF(A166="","",IFERROR(INDEX('Master Evidence'!$L$4:$L$503,MATCH(A166,'Master Evidence'!$A$4:$A$503,0)),""))</x:f>
      </x:c>
      <x:c r="C166" s="174"/>
      <x:c r="D166" s="174"/>
      <x:c r="E166" s="174"/>
      <x:c r="F166" s="174"/>
      <x:c r="G166" s="174"/>
      <x:c r="H166" s="174"/>
      <x:c r="I166" s="174"/>
      <x:c r="J166" s="177"/>
      <x:c r="K166" s="174"/>
      <x:c r="L166" s="174"/>
      <x:c r="M166" s="174"/>
    </x:row>
    <x:row r="167">
      <x:c r="A167" s="174"/>
      <x:c r="B167" s="174" t="str">
        <x:f>IF(A167="","",IFERROR(INDEX('Master Evidence'!$L$4:$L$503,MATCH(A167,'Master Evidence'!$A$4:$A$503,0)),""))</x:f>
      </x:c>
      <x:c r="C167" s="174"/>
      <x:c r="D167" s="174"/>
      <x:c r="E167" s="174"/>
      <x:c r="F167" s="174"/>
      <x:c r="G167" s="174"/>
      <x:c r="H167" s="174"/>
      <x:c r="I167" s="174"/>
      <x:c r="J167" s="177"/>
      <x:c r="K167" s="174"/>
      <x:c r="L167" s="174"/>
      <x:c r="M167" s="174"/>
    </x:row>
    <x:row r="168">
      <x:c r="A168" s="174"/>
      <x:c r="B168" s="174" t="str">
        <x:f>IF(A168="","",IFERROR(INDEX('Master Evidence'!$L$4:$L$503,MATCH(A168,'Master Evidence'!$A$4:$A$503,0)),""))</x:f>
      </x:c>
      <x:c r="C168" s="174"/>
      <x:c r="D168" s="174"/>
      <x:c r="E168" s="174"/>
      <x:c r="F168" s="174"/>
      <x:c r="G168" s="174"/>
      <x:c r="H168" s="174"/>
      <x:c r="I168" s="174"/>
      <x:c r="J168" s="177"/>
      <x:c r="K168" s="174"/>
      <x:c r="L168" s="174"/>
      <x:c r="M168" s="174"/>
    </x:row>
    <x:row r="169">
      <x:c r="A169" s="174"/>
      <x:c r="B169" s="174" t="str">
        <x:f>IF(A169="","",IFERROR(INDEX('Master Evidence'!$L$4:$L$503,MATCH(A169,'Master Evidence'!$A$4:$A$503,0)),""))</x:f>
      </x:c>
      <x:c r="C169" s="174"/>
      <x:c r="D169" s="174"/>
      <x:c r="E169" s="174"/>
      <x:c r="F169" s="174"/>
      <x:c r="G169" s="174"/>
      <x:c r="H169" s="174"/>
      <x:c r="I169" s="174"/>
      <x:c r="J169" s="177"/>
      <x:c r="K169" s="174"/>
      <x:c r="L169" s="174"/>
      <x:c r="M169" s="174"/>
    </x:row>
    <x:row r="170">
      <x:c r="A170" s="174"/>
      <x:c r="B170" s="174" t="str">
        <x:f>IF(A170="","",IFERROR(INDEX('Master Evidence'!$L$4:$L$503,MATCH(A170,'Master Evidence'!$A$4:$A$503,0)),""))</x:f>
      </x:c>
      <x:c r="C170" s="174"/>
      <x:c r="D170" s="174"/>
      <x:c r="E170" s="174"/>
      <x:c r="F170" s="174"/>
      <x:c r="G170" s="174"/>
      <x:c r="H170" s="174"/>
      <x:c r="I170" s="174"/>
      <x:c r="J170" s="177"/>
      <x:c r="K170" s="174"/>
      <x:c r="L170" s="174"/>
      <x:c r="M170" s="174"/>
    </x:row>
    <x:row r="171">
      <x:c r="A171" s="174"/>
      <x:c r="B171" s="174" t="str">
        <x:f>IF(A171="","",IFERROR(INDEX('Master Evidence'!$L$4:$L$503,MATCH(A171,'Master Evidence'!$A$4:$A$503,0)),""))</x:f>
      </x:c>
      <x:c r="C171" s="174"/>
      <x:c r="D171" s="174"/>
      <x:c r="E171" s="174"/>
      <x:c r="F171" s="174"/>
      <x:c r="G171" s="174"/>
      <x:c r="H171" s="174"/>
      <x:c r="I171" s="174"/>
      <x:c r="J171" s="177"/>
      <x:c r="K171" s="174"/>
      <x:c r="L171" s="174"/>
      <x:c r="M171" s="174"/>
    </x:row>
    <x:row r="172">
      <x:c r="A172" s="174"/>
      <x:c r="B172" s="174" t="str">
        <x:f>IF(A172="","",IFERROR(INDEX('Master Evidence'!$L$4:$L$503,MATCH(A172,'Master Evidence'!$A$4:$A$503,0)),""))</x:f>
      </x:c>
      <x:c r="C172" s="174"/>
      <x:c r="D172" s="174"/>
      <x:c r="E172" s="174"/>
      <x:c r="F172" s="174"/>
      <x:c r="G172" s="174"/>
      <x:c r="H172" s="174"/>
      <x:c r="I172" s="174"/>
      <x:c r="J172" s="177"/>
      <x:c r="K172" s="174"/>
      <x:c r="L172" s="174"/>
      <x:c r="M172" s="174"/>
    </x:row>
    <x:row r="173">
      <x:c r="A173" s="174"/>
      <x:c r="B173" s="174" t="str">
        <x:f>IF(A173="","",IFERROR(INDEX('Master Evidence'!$L$4:$L$503,MATCH(A173,'Master Evidence'!$A$4:$A$503,0)),""))</x:f>
      </x:c>
      <x:c r="C173" s="174"/>
      <x:c r="D173" s="174"/>
      <x:c r="E173" s="174"/>
      <x:c r="F173" s="174"/>
      <x:c r="G173" s="174"/>
      <x:c r="H173" s="174"/>
      <x:c r="I173" s="174"/>
      <x:c r="J173" s="177"/>
      <x:c r="K173" s="174"/>
      <x:c r="L173" s="174"/>
      <x:c r="M173" s="174"/>
    </x:row>
    <x:row r="174">
      <x:c r="A174" s="174"/>
      <x:c r="B174" s="174" t="str">
        <x:f>IF(A174="","",IFERROR(INDEX('Master Evidence'!$L$4:$L$503,MATCH(A174,'Master Evidence'!$A$4:$A$503,0)),""))</x:f>
      </x:c>
      <x:c r="C174" s="174"/>
      <x:c r="D174" s="174"/>
      <x:c r="E174" s="174"/>
      <x:c r="F174" s="174"/>
      <x:c r="G174" s="174"/>
      <x:c r="H174" s="174"/>
      <x:c r="I174" s="174"/>
      <x:c r="J174" s="177"/>
      <x:c r="K174" s="174"/>
      <x:c r="L174" s="174"/>
      <x:c r="M174" s="174"/>
    </x:row>
    <x:row r="175">
      <x:c r="A175" s="174"/>
      <x:c r="B175" s="174" t="str">
        <x:f>IF(A175="","",IFERROR(INDEX('Master Evidence'!$L$4:$L$503,MATCH(A175,'Master Evidence'!$A$4:$A$503,0)),""))</x:f>
      </x:c>
      <x:c r="C175" s="174"/>
      <x:c r="D175" s="174"/>
      <x:c r="E175" s="174"/>
      <x:c r="F175" s="174"/>
      <x:c r="G175" s="174"/>
      <x:c r="H175" s="174"/>
      <x:c r="I175" s="174"/>
      <x:c r="J175" s="177"/>
      <x:c r="K175" s="174"/>
      <x:c r="L175" s="174"/>
      <x:c r="M175" s="174"/>
    </x:row>
    <x:row r="176">
      <x:c r="A176" s="174"/>
      <x:c r="B176" s="174" t="str">
        <x:f>IF(A176="","",IFERROR(INDEX('Master Evidence'!$L$4:$L$503,MATCH(A176,'Master Evidence'!$A$4:$A$503,0)),""))</x:f>
      </x:c>
      <x:c r="C176" s="174"/>
      <x:c r="D176" s="174"/>
      <x:c r="E176" s="174"/>
      <x:c r="F176" s="174"/>
      <x:c r="G176" s="174"/>
      <x:c r="H176" s="174"/>
      <x:c r="I176" s="174"/>
      <x:c r="J176" s="177"/>
      <x:c r="K176" s="174"/>
      <x:c r="L176" s="174"/>
      <x:c r="M176" s="174"/>
    </x:row>
    <x:row r="177">
      <x:c r="A177" s="174"/>
      <x:c r="B177" s="174" t="str">
        <x:f>IF(A177="","",IFERROR(INDEX('Master Evidence'!$L$4:$L$503,MATCH(A177,'Master Evidence'!$A$4:$A$503,0)),""))</x:f>
      </x:c>
      <x:c r="C177" s="174"/>
      <x:c r="D177" s="174"/>
      <x:c r="E177" s="174"/>
      <x:c r="F177" s="174"/>
      <x:c r="G177" s="174"/>
      <x:c r="H177" s="174"/>
      <x:c r="I177" s="174"/>
      <x:c r="J177" s="177"/>
      <x:c r="K177" s="174"/>
      <x:c r="L177" s="174"/>
      <x:c r="M177" s="174"/>
    </x:row>
    <x:row r="178">
      <x:c r="A178" s="174"/>
      <x:c r="B178" s="174" t="str">
        <x:f>IF(A178="","",IFERROR(INDEX('Master Evidence'!$L$4:$L$503,MATCH(A178,'Master Evidence'!$A$4:$A$503,0)),""))</x:f>
      </x:c>
      <x:c r="C178" s="174"/>
      <x:c r="D178" s="174"/>
      <x:c r="E178" s="174"/>
      <x:c r="F178" s="174"/>
      <x:c r="G178" s="174"/>
      <x:c r="H178" s="174"/>
      <x:c r="I178" s="174"/>
      <x:c r="J178" s="177"/>
      <x:c r="K178" s="174"/>
      <x:c r="L178" s="174"/>
      <x:c r="M178" s="174"/>
    </x:row>
    <x:row r="179">
      <x:c r="A179" s="174"/>
      <x:c r="B179" s="174" t="str">
        <x:f>IF(A179="","",IFERROR(INDEX('Master Evidence'!$L$4:$L$503,MATCH(A179,'Master Evidence'!$A$4:$A$503,0)),""))</x:f>
      </x:c>
      <x:c r="C179" s="174"/>
      <x:c r="D179" s="174"/>
      <x:c r="E179" s="174"/>
      <x:c r="F179" s="174"/>
      <x:c r="G179" s="174"/>
      <x:c r="H179" s="174"/>
      <x:c r="I179" s="174"/>
      <x:c r="J179" s="177"/>
      <x:c r="K179" s="174"/>
      <x:c r="L179" s="174"/>
      <x:c r="M179" s="174"/>
    </x:row>
    <x:row r="180">
      <x:c r="A180" s="174"/>
      <x:c r="B180" s="174" t="str">
        <x:f>IF(A180="","",IFERROR(INDEX('Master Evidence'!$L$4:$L$503,MATCH(A180,'Master Evidence'!$A$4:$A$503,0)),""))</x:f>
      </x:c>
      <x:c r="C180" s="174"/>
      <x:c r="D180" s="174"/>
      <x:c r="E180" s="174"/>
      <x:c r="F180" s="174"/>
      <x:c r="G180" s="174"/>
      <x:c r="H180" s="174"/>
      <x:c r="I180" s="174"/>
      <x:c r="J180" s="177"/>
      <x:c r="K180" s="174"/>
      <x:c r="L180" s="174"/>
      <x:c r="M180" s="174"/>
    </x:row>
    <x:row r="181">
      <x:c r="A181" s="174"/>
      <x:c r="B181" s="174" t="str">
        <x:f>IF(A181="","",IFERROR(INDEX('Master Evidence'!$L$4:$L$503,MATCH(A181,'Master Evidence'!$A$4:$A$503,0)),""))</x:f>
      </x:c>
      <x:c r="C181" s="174"/>
      <x:c r="D181" s="174"/>
      <x:c r="E181" s="174"/>
      <x:c r="F181" s="174"/>
      <x:c r="G181" s="174"/>
      <x:c r="H181" s="174"/>
      <x:c r="I181" s="174"/>
      <x:c r="J181" s="177"/>
      <x:c r="K181" s="174"/>
      <x:c r="L181" s="174"/>
      <x:c r="M181" s="174"/>
    </x:row>
    <x:row r="182">
      <x:c r="A182" s="174"/>
      <x:c r="B182" s="174" t="str">
        <x:f>IF(A182="","",IFERROR(INDEX('Master Evidence'!$L$4:$L$503,MATCH(A182,'Master Evidence'!$A$4:$A$503,0)),""))</x:f>
      </x:c>
      <x:c r="C182" s="174"/>
      <x:c r="D182" s="174"/>
      <x:c r="E182" s="174"/>
      <x:c r="F182" s="174"/>
      <x:c r="G182" s="174"/>
      <x:c r="H182" s="174"/>
      <x:c r="I182" s="174"/>
      <x:c r="J182" s="177"/>
      <x:c r="K182" s="174"/>
      <x:c r="L182" s="174"/>
      <x:c r="M182" s="174"/>
    </x:row>
    <x:row r="183">
      <x:c r="A183" s="174"/>
      <x:c r="B183" s="174" t="str">
        <x:f>IF(A183="","",IFERROR(INDEX('Master Evidence'!$L$4:$L$503,MATCH(A183,'Master Evidence'!$A$4:$A$503,0)),""))</x:f>
      </x:c>
      <x:c r="C183" s="174"/>
      <x:c r="D183" s="174"/>
      <x:c r="E183" s="174"/>
      <x:c r="F183" s="174"/>
      <x:c r="G183" s="174"/>
      <x:c r="H183" s="174"/>
      <x:c r="I183" s="174"/>
      <x:c r="J183" s="177"/>
      <x:c r="K183" s="174"/>
      <x:c r="L183" s="174"/>
      <x:c r="M183" s="174"/>
    </x:row>
    <x:row r="184">
      <x:c r="A184" s="174"/>
      <x:c r="B184" s="174" t="str">
        <x:f>IF(A184="","",IFERROR(INDEX('Master Evidence'!$L$4:$L$503,MATCH(A184,'Master Evidence'!$A$4:$A$503,0)),""))</x:f>
      </x:c>
      <x:c r="C184" s="174"/>
      <x:c r="D184" s="174"/>
      <x:c r="E184" s="174"/>
      <x:c r="F184" s="174"/>
      <x:c r="G184" s="174"/>
      <x:c r="H184" s="174"/>
      <x:c r="I184" s="174"/>
      <x:c r="J184" s="177"/>
      <x:c r="K184" s="174"/>
      <x:c r="L184" s="174"/>
      <x:c r="M184" s="174"/>
    </x:row>
    <x:row r="185">
      <x:c r="A185" s="174"/>
      <x:c r="B185" s="174" t="str">
        <x:f>IF(A185="","",IFERROR(INDEX('Master Evidence'!$L$4:$L$503,MATCH(A185,'Master Evidence'!$A$4:$A$503,0)),""))</x:f>
      </x:c>
      <x:c r="C185" s="174"/>
      <x:c r="D185" s="174"/>
      <x:c r="E185" s="174"/>
      <x:c r="F185" s="174"/>
      <x:c r="G185" s="174"/>
      <x:c r="H185" s="174"/>
      <x:c r="I185" s="174"/>
      <x:c r="J185" s="177"/>
      <x:c r="K185" s="174"/>
      <x:c r="L185" s="174"/>
      <x:c r="M185" s="174"/>
    </x:row>
    <x:row r="186">
      <x:c r="A186" s="174"/>
      <x:c r="B186" s="174" t="str">
        <x:f>IF(A186="","",IFERROR(INDEX('Master Evidence'!$L$4:$L$503,MATCH(A186,'Master Evidence'!$A$4:$A$503,0)),""))</x:f>
      </x:c>
      <x:c r="C186" s="174"/>
      <x:c r="D186" s="174"/>
      <x:c r="E186" s="174"/>
      <x:c r="F186" s="174"/>
      <x:c r="G186" s="174"/>
      <x:c r="H186" s="174"/>
      <x:c r="I186" s="174"/>
      <x:c r="J186" s="177"/>
      <x:c r="K186" s="174"/>
      <x:c r="L186" s="174"/>
      <x:c r="M186" s="174"/>
    </x:row>
    <x:row r="187">
      <x:c r="A187" s="174"/>
      <x:c r="B187" s="174" t="str">
        <x:f>IF(A187="","",IFERROR(INDEX('Master Evidence'!$L$4:$L$503,MATCH(A187,'Master Evidence'!$A$4:$A$503,0)),""))</x:f>
      </x:c>
      <x:c r="C187" s="174"/>
      <x:c r="D187" s="174"/>
      <x:c r="E187" s="174"/>
      <x:c r="F187" s="174"/>
      <x:c r="G187" s="174"/>
      <x:c r="H187" s="174"/>
      <x:c r="I187" s="174"/>
      <x:c r="J187" s="177"/>
      <x:c r="K187" s="174"/>
      <x:c r="L187" s="174"/>
      <x:c r="M187" s="174"/>
    </x:row>
    <x:row r="188">
      <x:c r="A188" s="174"/>
      <x:c r="B188" s="174" t="str">
        <x:f>IF(A188="","",IFERROR(INDEX('Master Evidence'!$L$4:$L$503,MATCH(A188,'Master Evidence'!$A$4:$A$503,0)),""))</x:f>
      </x:c>
      <x:c r="C188" s="174"/>
      <x:c r="D188" s="174"/>
      <x:c r="E188" s="174"/>
      <x:c r="F188" s="174"/>
      <x:c r="G188" s="174"/>
      <x:c r="H188" s="174"/>
      <x:c r="I188" s="174"/>
      <x:c r="J188" s="177"/>
      <x:c r="K188" s="174"/>
      <x:c r="L188" s="174"/>
      <x:c r="M188" s="174"/>
    </x:row>
    <x:row r="189">
      <x:c r="A189" s="174"/>
      <x:c r="B189" s="174" t="str">
        <x:f>IF(A189="","",IFERROR(INDEX('Master Evidence'!$L$4:$L$503,MATCH(A189,'Master Evidence'!$A$4:$A$503,0)),""))</x:f>
      </x:c>
      <x:c r="C189" s="174"/>
      <x:c r="D189" s="174"/>
      <x:c r="E189" s="174"/>
      <x:c r="F189" s="174"/>
      <x:c r="G189" s="174"/>
      <x:c r="H189" s="174"/>
      <x:c r="I189" s="174"/>
      <x:c r="J189" s="177"/>
      <x:c r="K189" s="174"/>
      <x:c r="L189" s="174"/>
      <x:c r="M189" s="174"/>
    </x:row>
    <x:row r="190">
      <x:c r="A190" s="174"/>
      <x:c r="B190" s="174" t="str">
        <x:f>IF(A190="","",IFERROR(INDEX('Master Evidence'!$L$4:$L$503,MATCH(A190,'Master Evidence'!$A$4:$A$503,0)),""))</x:f>
      </x:c>
      <x:c r="C190" s="174"/>
      <x:c r="D190" s="174"/>
      <x:c r="E190" s="174"/>
      <x:c r="F190" s="174"/>
      <x:c r="G190" s="174"/>
      <x:c r="H190" s="174"/>
      <x:c r="I190" s="174"/>
      <x:c r="J190" s="177"/>
      <x:c r="K190" s="174"/>
      <x:c r="L190" s="174"/>
      <x:c r="M190" s="174"/>
    </x:row>
    <x:row r="191">
      <x:c r="A191" s="174"/>
      <x:c r="B191" s="174" t="str">
        <x:f>IF(A191="","",IFERROR(INDEX('Master Evidence'!$L$4:$L$503,MATCH(A191,'Master Evidence'!$A$4:$A$503,0)),""))</x:f>
      </x:c>
      <x:c r="C191" s="174"/>
      <x:c r="D191" s="174"/>
      <x:c r="E191" s="174"/>
      <x:c r="F191" s="174"/>
      <x:c r="G191" s="174"/>
      <x:c r="H191" s="174"/>
      <x:c r="I191" s="174"/>
      <x:c r="J191" s="177"/>
      <x:c r="K191" s="174"/>
      <x:c r="L191" s="174"/>
      <x:c r="M191" s="174"/>
    </x:row>
    <x:row r="192">
      <x:c r="A192" s="174"/>
      <x:c r="B192" s="174" t="str">
        <x:f>IF(A192="","",IFERROR(INDEX('Master Evidence'!$L$4:$L$503,MATCH(A192,'Master Evidence'!$A$4:$A$503,0)),""))</x:f>
      </x:c>
      <x:c r="C192" s="174"/>
      <x:c r="D192" s="174"/>
      <x:c r="E192" s="174"/>
      <x:c r="F192" s="174"/>
      <x:c r="G192" s="174"/>
      <x:c r="H192" s="174"/>
      <x:c r="I192" s="174"/>
      <x:c r="J192" s="177"/>
      <x:c r="K192" s="174"/>
      <x:c r="L192" s="174"/>
      <x:c r="M192" s="174"/>
    </x:row>
    <x:row r="193">
      <x:c r="A193" s="174"/>
      <x:c r="B193" s="174" t="str">
        <x:f>IF(A193="","",IFERROR(INDEX('Master Evidence'!$L$4:$L$503,MATCH(A193,'Master Evidence'!$A$4:$A$503,0)),""))</x:f>
      </x:c>
      <x:c r="C193" s="174"/>
      <x:c r="D193" s="174"/>
      <x:c r="E193" s="174"/>
      <x:c r="F193" s="174"/>
      <x:c r="G193" s="174"/>
      <x:c r="H193" s="174"/>
      <x:c r="I193" s="174"/>
      <x:c r="J193" s="177"/>
      <x:c r="K193" s="174"/>
      <x:c r="L193" s="174"/>
      <x:c r="M193" s="174"/>
    </x:row>
    <x:row r="194">
      <x:c r="A194" s="174"/>
      <x:c r="B194" s="174" t="str">
        <x:f>IF(A194="","",IFERROR(INDEX('Master Evidence'!$L$4:$L$503,MATCH(A194,'Master Evidence'!$A$4:$A$503,0)),""))</x:f>
      </x:c>
      <x:c r="C194" s="174"/>
      <x:c r="D194" s="174"/>
      <x:c r="E194" s="174"/>
      <x:c r="F194" s="174"/>
      <x:c r="G194" s="174"/>
      <x:c r="H194" s="174"/>
      <x:c r="I194" s="174"/>
      <x:c r="J194" s="177"/>
      <x:c r="K194" s="174"/>
      <x:c r="L194" s="174"/>
      <x:c r="M194" s="174"/>
    </x:row>
    <x:row r="195">
      <x:c r="A195" s="174"/>
      <x:c r="B195" s="174" t="str">
        <x:f>IF(A195="","",IFERROR(INDEX('Master Evidence'!$L$4:$L$503,MATCH(A195,'Master Evidence'!$A$4:$A$503,0)),""))</x:f>
      </x:c>
      <x:c r="C195" s="174"/>
      <x:c r="D195" s="174"/>
      <x:c r="E195" s="174"/>
      <x:c r="F195" s="174"/>
      <x:c r="G195" s="174"/>
      <x:c r="H195" s="174"/>
      <x:c r="I195" s="174"/>
      <x:c r="J195" s="177"/>
      <x:c r="K195" s="174"/>
      <x:c r="L195" s="174"/>
      <x:c r="M195" s="174"/>
    </x:row>
    <x:row r="196">
      <x:c r="A196" s="174"/>
      <x:c r="B196" s="174" t="str">
        <x:f>IF(A196="","",IFERROR(INDEX('Master Evidence'!$L$4:$L$503,MATCH(A196,'Master Evidence'!$A$4:$A$503,0)),""))</x:f>
      </x:c>
      <x:c r="C196" s="174"/>
      <x:c r="D196" s="174"/>
      <x:c r="E196" s="174"/>
      <x:c r="F196" s="174"/>
      <x:c r="G196" s="174"/>
      <x:c r="H196" s="174"/>
      <x:c r="I196" s="174"/>
      <x:c r="J196" s="177"/>
      <x:c r="K196" s="174"/>
      <x:c r="L196" s="174"/>
      <x:c r="M196" s="174"/>
    </x:row>
    <x:row r="197">
      <x:c r="A197" s="174"/>
      <x:c r="B197" s="174" t="str">
        <x:f>IF(A197="","",IFERROR(INDEX('Master Evidence'!$L$4:$L$503,MATCH(A197,'Master Evidence'!$A$4:$A$503,0)),""))</x:f>
      </x:c>
      <x:c r="C197" s="174"/>
      <x:c r="D197" s="174"/>
      <x:c r="E197" s="174"/>
      <x:c r="F197" s="174"/>
      <x:c r="G197" s="174"/>
      <x:c r="H197" s="174"/>
      <x:c r="I197" s="174"/>
      <x:c r="J197" s="177"/>
      <x:c r="K197" s="174"/>
      <x:c r="L197" s="174"/>
      <x:c r="M197" s="174"/>
    </x:row>
    <x:row r="198">
      <x:c r="A198" s="174"/>
      <x:c r="B198" s="174" t="str">
        <x:f>IF(A198="","",IFERROR(INDEX('Master Evidence'!$L$4:$L$503,MATCH(A198,'Master Evidence'!$A$4:$A$503,0)),""))</x:f>
      </x:c>
      <x:c r="C198" s="174"/>
      <x:c r="D198" s="174"/>
      <x:c r="E198" s="174"/>
      <x:c r="F198" s="174"/>
      <x:c r="G198" s="174"/>
      <x:c r="H198" s="174"/>
      <x:c r="I198" s="174"/>
      <x:c r="J198" s="177"/>
      <x:c r="K198" s="174"/>
      <x:c r="L198" s="174"/>
      <x:c r="M198" s="174"/>
    </x:row>
    <x:row r="199">
      <x:c r="A199" s="174"/>
      <x:c r="B199" s="174" t="str">
        <x:f>IF(A199="","",IFERROR(INDEX('Master Evidence'!$L$4:$L$503,MATCH(A199,'Master Evidence'!$A$4:$A$503,0)),""))</x:f>
      </x:c>
      <x:c r="C199" s="174"/>
      <x:c r="D199" s="174"/>
      <x:c r="E199" s="174"/>
      <x:c r="F199" s="174"/>
      <x:c r="G199" s="174"/>
      <x:c r="H199" s="174"/>
      <x:c r="I199" s="174"/>
      <x:c r="J199" s="177"/>
      <x:c r="K199" s="174"/>
      <x:c r="L199" s="174"/>
      <x:c r="M199" s="174"/>
    </x:row>
    <x:row r="200">
      <x:c r="A200" s="174"/>
      <x:c r="B200" s="174" t="str">
        <x:f>IF(A200="","",IFERROR(INDEX('Master Evidence'!$L$4:$L$503,MATCH(A200,'Master Evidence'!$A$4:$A$503,0)),""))</x:f>
      </x:c>
      <x:c r="C200" s="174"/>
      <x:c r="D200" s="174"/>
      <x:c r="E200" s="174"/>
      <x:c r="F200" s="174"/>
      <x:c r="G200" s="174"/>
      <x:c r="H200" s="174"/>
      <x:c r="I200" s="174"/>
      <x:c r="J200" s="177"/>
      <x:c r="K200" s="174"/>
      <x:c r="L200" s="174"/>
      <x:c r="M200" s="174"/>
    </x:row>
    <x:row r="201">
      <x:c r="A201" s="174"/>
      <x:c r="B201" s="174" t="str">
        <x:f>IF(A201="","",IFERROR(INDEX('Master Evidence'!$L$4:$L$503,MATCH(A201,'Master Evidence'!$A$4:$A$503,0)),""))</x:f>
      </x:c>
      <x:c r="C201" s="174"/>
      <x:c r="D201" s="174"/>
      <x:c r="E201" s="174"/>
      <x:c r="F201" s="174"/>
      <x:c r="G201" s="174"/>
      <x:c r="H201" s="174"/>
      <x:c r="I201" s="174"/>
      <x:c r="J201" s="177"/>
      <x:c r="K201" s="174"/>
      <x:c r="L201" s="174"/>
      <x:c r="M201" s="174"/>
    </x:row>
    <x:row r="202">
      <x:c r="A202" s="174"/>
      <x:c r="B202" s="174" t="str">
        <x:f>IF(A202="","",IFERROR(INDEX('Master Evidence'!$L$4:$L$503,MATCH(A202,'Master Evidence'!$A$4:$A$503,0)),""))</x:f>
      </x:c>
      <x:c r="C202" s="174"/>
      <x:c r="D202" s="174"/>
      <x:c r="E202" s="174"/>
      <x:c r="F202" s="174"/>
      <x:c r="G202" s="174"/>
      <x:c r="H202" s="174"/>
      <x:c r="I202" s="174"/>
      <x:c r="J202" s="177"/>
      <x:c r="K202" s="174"/>
      <x:c r="L202" s="174"/>
      <x:c r="M202" s="174"/>
    </x:row>
    <x:row r="203">
      <x:c r="A203" s="174"/>
      <x:c r="B203" s="174" t="str">
        <x:f>IF(A203="","",IFERROR(INDEX('Master Evidence'!$L$4:$L$503,MATCH(A203,'Master Evidence'!$A$4:$A$503,0)),""))</x:f>
      </x:c>
      <x:c r="C203" s="174"/>
      <x:c r="D203" s="174"/>
      <x:c r="E203" s="174"/>
      <x:c r="F203" s="174"/>
      <x:c r="G203" s="174"/>
      <x:c r="H203" s="174"/>
      <x:c r="I203" s="174"/>
      <x:c r="J203" s="177"/>
      <x:c r="K203" s="174"/>
      <x:c r="L203" s="174"/>
      <x:c r="M203" s="174"/>
    </x:row>
    <x:row r="204">
      <x:c r="A204" s="174"/>
      <x:c r="B204" s="174" t="str">
        <x:f>IF(A204="","",IFERROR(INDEX('Master Evidence'!$L$4:$L$503,MATCH(A204,'Master Evidence'!$A$4:$A$503,0)),""))</x:f>
      </x:c>
      <x:c r="C204" s="174"/>
      <x:c r="D204" s="174"/>
      <x:c r="E204" s="174"/>
      <x:c r="F204" s="174"/>
      <x:c r="G204" s="174"/>
      <x:c r="H204" s="174"/>
      <x:c r="I204" s="174"/>
      <x:c r="J204" s="177"/>
      <x:c r="K204" s="174"/>
      <x:c r="L204" s="174"/>
      <x:c r="M204" s="174"/>
    </x:row>
    <x:row r="205">
      <x:c r="A205" s="174"/>
      <x:c r="B205" s="174" t="str">
        <x:f>IF(A205="","",IFERROR(INDEX('Master Evidence'!$L$4:$L$503,MATCH(A205,'Master Evidence'!$A$4:$A$503,0)),""))</x:f>
      </x:c>
      <x:c r="C205" s="174"/>
      <x:c r="D205" s="174"/>
      <x:c r="E205" s="174"/>
      <x:c r="F205" s="174"/>
      <x:c r="G205" s="174"/>
      <x:c r="H205" s="174"/>
      <x:c r="I205" s="174"/>
      <x:c r="J205" s="177"/>
      <x:c r="K205" s="174"/>
      <x:c r="L205" s="174"/>
      <x:c r="M205" s="174"/>
    </x:row>
    <x:row r="206">
      <x:c r="A206" s="174"/>
      <x:c r="B206" s="174" t="str">
        <x:f>IF(A206="","",IFERROR(INDEX('Master Evidence'!$L$4:$L$503,MATCH(A206,'Master Evidence'!$A$4:$A$503,0)),""))</x:f>
      </x:c>
      <x:c r="C206" s="174"/>
      <x:c r="D206" s="174"/>
      <x:c r="E206" s="174"/>
      <x:c r="F206" s="174"/>
      <x:c r="G206" s="174"/>
      <x:c r="H206" s="174"/>
      <x:c r="I206" s="174"/>
      <x:c r="J206" s="177"/>
      <x:c r="K206" s="174"/>
      <x:c r="L206" s="174"/>
      <x:c r="M206" s="174"/>
    </x:row>
    <x:row r="207">
      <x:c r="A207" s="174"/>
      <x:c r="B207" s="174" t="str">
        <x:f>IF(A207="","",IFERROR(INDEX('Master Evidence'!$L$4:$L$503,MATCH(A207,'Master Evidence'!$A$4:$A$503,0)),""))</x:f>
      </x:c>
      <x:c r="C207" s="174"/>
      <x:c r="D207" s="174"/>
      <x:c r="E207" s="174"/>
      <x:c r="F207" s="174"/>
      <x:c r="G207" s="174"/>
      <x:c r="H207" s="174"/>
      <x:c r="I207" s="174"/>
      <x:c r="J207" s="177"/>
      <x:c r="K207" s="174"/>
      <x:c r="L207" s="174"/>
      <x:c r="M207" s="174"/>
    </x:row>
    <x:row r="208">
      <x:c r="A208" s="174"/>
      <x:c r="B208" s="174" t="str">
        <x:f>IF(A208="","",IFERROR(INDEX('Master Evidence'!$L$4:$L$503,MATCH(A208,'Master Evidence'!$A$4:$A$503,0)),""))</x:f>
      </x:c>
      <x:c r="C208" s="174"/>
      <x:c r="D208" s="174"/>
      <x:c r="E208" s="174"/>
      <x:c r="F208" s="174"/>
      <x:c r="G208" s="174"/>
      <x:c r="H208" s="174"/>
      <x:c r="I208" s="174"/>
      <x:c r="J208" s="177"/>
      <x:c r="K208" s="174"/>
      <x:c r="L208" s="174"/>
      <x:c r="M208" s="174"/>
    </x:row>
    <x:row r="209">
      <x:c r="A209" s="174"/>
      <x:c r="B209" s="174" t="str">
        <x:f>IF(A209="","",IFERROR(INDEX('Master Evidence'!$L$4:$L$503,MATCH(A209,'Master Evidence'!$A$4:$A$503,0)),""))</x:f>
      </x:c>
      <x:c r="C209" s="174"/>
      <x:c r="D209" s="174"/>
      <x:c r="E209" s="174"/>
      <x:c r="F209" s="174"/>
      <x:c r="G209" s="174"/>
      <x:c r="H209" s="174"/>
      <x:c r="I209" s="174"/>
      <x:c r="J209" s="177"/>
      <x:c r="K209" s="174"/>
      <x:c r="L209" s="174"/>
      <x:c r="M209" s="174"/>
    </x:row>
    <x:row r="210">
      <x:c r="A210" s="174"/>
      <x:c r="B210" s="174" t="str">
        <x:f>IF(A210="","",IFERROR(INDEX('Master Evidence'!$L$4:$L$503,MATCH(A210,'Master Evidence'!$A$4:$A$503,0)),""))</x:f>
      </x:c>
      <x:c r="C210" s="174"/>
      <x:c r="D210" s="174"/>
      <x:c r="E210" s="174"/>
      <x:c r="F210" s="174"/>
      <x:c r="G210" s="174"/>
      <x:c r="H210" s="174"/>
      <x:c r="I210" s="174"/>
      <x:c r="J210" s="177"/>
      <x:c r="K210" s="174"/>
      <x:c r="L210" s="174"/>
      <x:c r="M210" s="174"/>
    </x:row>
    <x:row r="211">
      <x:c r="A211" s="174"/>
      <x:c r="B211" s="174" t="str">
        <x:f>IF(A211="","",IFERROR(INDEX('Master Evidence'!$L$4:$L$503,MATCH(A211,'Master Evidence'!$A$4:$A$503,0)),""))</x:f>
      </x:c>
      <x:c r="C211" s="174"/>
      <x:c r="D211" s="174"/>
      <x:c r="E211" s="174"/>
      <x:c r="F211" s="174"/>
      <x:c r="G211" s="174"/>
      <x:c r="H211" s="174"/>
      <x:c r="I211" s="174"/>
      <x:c r="J211" s="177"/>
      <x:c r="K211" s="174"/>
      <x:c r="L211" s="174"/>
      <x:c r="M211" s="174"/>
    </x:row>
    <x:row r="212">
      <x:c r="A212" s="174"/>
      <x:c r="B212" s="174" t="str">
        <x:f>IF(A212="","",IFERROR(INDEX('Master Evidence'!$L$4:$L$503,MATCH(A212,'Master Evidence'!$A$4:$A$503,0)),""))</x:f>
      </x:c>
      <x:c r="C212" s="174"/>
      <x:c r="D212" s="174"/>
      <x:c r="E212" s="174"/>
      <x:c r="F212" s="174"/>
      <x:c r="G212" s="174"/>
      <x:c r="H212" s="174"/>
      <x:c r="I212" s="174"/>
      <x:c r="J212" s="177"/>
      <x:c r="K212" s="174"/>
      <x:c r="L212" s="174"/>
      <x:c r="M212" s="174"/>
    </x:row>
    <x:row r="213">
      <x:c r="A213" s="174"/>
      <x:c r="B213" s="174" t="str">
        <x:f>IF(A213="","",IFERROR(INDEX('Master Evidence'!$L$4:$L$503,MATCH(A213,'Master Evidence'!$A$4:$A$503,0)),""))</x:f>
      </x:c>
      <x:c r="C213" s="174"/>
      <x:c r="D213" s="174"/>
      <x:c r="E213" s="174"/>
      <x:c r="F213" s="174"/>
      <x:c r="G213" s="174"/>
      <x:c r="H213" s="174"/>
      <x:c r="I213" s="174"/>
      <x:c r="J213" s="177"/>
      <x:c r="K213" s="174"/>
      <x:c r="L213" s="174"/>
      <x:c r="M213" s="174"/>
    </x:row>
    <x:row r="214">
      <x:c r="A214" s="174"/>
      <x:c r="B214" s="174" t="str">
        <x:f>IF(A214="","",IFERROR(INDEX('Master Evidence'!$L$4:$L$503,MATCH(A214,'Master Evidence'!$A$4:$A$503,0)),""))</x:f>
      </x:c>
      <x:c r="C214" s="174"/>
      <x:c r="D214" s="174"/>
      <x:c r="E214" s="174"/>
      <x:c r="F214" s="174"/>
      <x:c r="G214" s="174"/>
      <x:c r="H214" s="174"/>
      <x:c r="I214" s="174"/>
      <x:c r="J214" s="177"/>
      <x:c r="K214" s="174"/>
      <x:c r="L214" s="174"/>
      <x:c r="M214" s="174"/>
    </x:row>
    <x:row r="215">
      <x:c r="A215" s="174"/>
      <x:c r="B215" s="174" t="str">
        <x:f>IF(A215="","",IFERROR(INDEX('Master Evidence'!$L$4:$L$503,MATCH(A215,'Master Evidence'!$A$4:$A$503,0)),""))</x:f>
      </x:c>
      <x:c r="C215" s="174"/>
      <x:c r="D215" s="174"/>
      <x:c r="E215" s="174"/>
      <x:c r="F215" s="174"/>
      <x:c r="G215" s="174"/>
      <x:c r="H215" s="174"/>
      <x:c r="I215" s="174"/>
      <x:c r="J215" s="177"/>
      <x:c r="K215" s="174"/>
      <x:c r="L215" s="174"/>
      <x:c r="M215" s="174"/>
    </x:row>
    <x:row r="216">
      <x:c r="A216" s="174"/>
      <x:c r="B216" s="174" t="str">
        <x:f>IF(A216="","",IFERROR(INDEX('Master Evidence'!$L$4:$L$503,MATCH(A216,'Master Evidence'!$A$4:$A$503,0)),""))</x:f>
      </x:c>
      <x:c r="C216" s="174"/>
      <x:c r="D216" s="174"/>
      <x:c r="E216" s="174"/>
      <x:c r="F216" s="174"/>
      <x:c r="G216" s="174"/>
      <x:c r="H216" s="174"/>
      <x:c r="I216" s="174"/>
      <x:c r="J216" s="177"/>
      <x:c r="K216" s="174"/>
      <x:c r="L216" s="174"/>
      <x:c r="M216" s="174"/>
    </x:row>
    <x:row r="217">
      <x:c r="A217" s="174"/>
      <x:c r="B217" s="174" t="str">
        <x:f>IF(A217="","",IFERROR(INDEX('Master Evidence'!$L$4:$L$503,MATCH(A217,'Master Evidence'!$A$4:$A$503,0)),""))</x:f>
      </x:c>
      <x:c r="C217" s="174"/>
      <x:c r="D217" s="174"/>
      <x:c r="E217" s="174"/>
      <x:c r="F217" s="174"/>
      <x:c r="G217" s="174"/>
      <x:c r="H217" s="174"/>
      <x:c r="I217" s="174"/>
      <x:c r="J217" s="177"/>
      <x:c r="K217" s="174"/>
      <x:c r="L217" s="174"/>
      <x:c r="M217" s="174"/>
    </x:row>
    <x:row r="218">
      <x:c r="A218" s="174"/>
      <x:c r="B218" s="174" t="str">
        <x:f>IF(A218="","",IFERROR(INDEX('Master Evidence'!$L$4:$L$503,MATCH(A218,'Master Evidence'!$A$4:$A$503,0)),""))</x:f>
      </x:c>
      <x:c r="C218" s="174"/>
      <x:c r="D218" s="174"/>
      <x:c r="E218" s="174"/>
      <x:c r="F218" s="174"/>
      <x:c r="G218" s="174"/>
      <x:c r="H218" s="174"/>
      <x:c r="I218" s="174"/>
      <x:c r="J218" s="177"/>
      <x:c r="K218" s="174"/>
      <x:c r="L218" s="174"/>
      <x:c r="M218" s="174"/>
    </x:row>
    <x:row r="219">
      <x:c r="A219" s="174"/>
      <x:c r="B219" s="174" t="str">
        <x:f>IF(A219="","",IFERROR(INDEX('Master Evidence'!$L$4:$L$503,MATCH(A219,'Master Evidence'!$A$4:$A$503,0)),""))</x:f>
      </x:c>
      <x:c r="C219" s="174"/>
      <x:c r="D219" s="174"/>
      <x:c r="E219" s="174"/>
      <x:c r="F219" s="174"/>
      <x:c r="G219" s="174"/>
      <x:c r="H219" s="174"/>
      <x:c r="I219" s="174"/>
      <x:c r="J219" s="177"/>
      <x:c r="K219" s="174"/>
      <x:c r="L219" s="174"/>
      <x:c r="M219" s="174"/>
    </x:row>
    <x:row r="220">
      <x:c r="A220" s="174"/>
      <x:c r="B220" s="174" t="str">
        <x:f>IF(A220="","",IFERROR(INDEX('Master Evidence'!$L$4:$L$503,MATCH(A220,'Master Evidence'!$A$4:$A$503,0)),""))</x:f>
      </x:c>
      <x:c r="C220" s="174"/>
      <x:c r="D220" s="174"/>
      <x:c r="E220" s="174"/>
      <x:c r="F220" s="174"/>
      <x:c r="G220" s="174"/>
      <x:c r="H220" s="174"/>
      <x:c r="I220" s="174"/>
      <x:c r="J220" s="177"/>
      <x:c r="K220" s="174"/>
      <x:c r="L220" s="174"/>
      <x:c r="M220" s="174"/>
    </x:row>
    <x:row r="221">
      <x:c r="A221" s="174"/>
      <x:c r="B221" s="174" t="str">
        <x:f>IF(A221="","",IFERROR(INDEX('Master Evidence'!$L$4:$L$503,MATCH(A221,'Master Evidence'!$A$4:$A$503,0)),""))</x:f>
      </x:c>
      <x:c r="C221" s="174"/>
      <x:c r="D221" s="174"/>
      <x:c r="E221" s="174"/>
      <x:c r="F221" s="174"/>
      <x:c r="G221" s="174"/>
      <x:c r="H221" s="174"/>
      <x:c r="I221" s="174"/>
      <x:c r="J221" s="177"/>
      <x:c r="K221" s="174"/>
      <x:c r="L221" s="174"/>
      <x:c r="M221" s="174"/>
    </x:row>
    <x:row r="222">
      <x:c r="A222" s="174"/>
      <x:c r="B222" s="174" t="str">
        <x:f>IF(A222="","",IFERROR(INDEX('Master Evidence'!$L$4:$L$503,MATCH(A222,'Master Evidence'!$A$4:$A$503,0)),""))</x:f>
      </x:c>
      <x:c r="C222" s="174"/>
      <x:c r="D222" s="174"/>
      <x:c r="E222" s="174"/>
      <x:c r="F222" s="174"/>
      <x:c r="G222" s="174"/>
      <x:c r="H222" s="174"/>
      <x:c r="I222" s="174"/>
      <x:c r="J222" s="177"/>
      <x:c r="K222" s="174"/>
      <x:c r="L222" s="174"/>
      <x:c r="M222" s="174"/>
    </x:row>
    <x:row r="223">
      <x:c r="A223" s="174"/>
      <x:c r="B223" s="174" t="str">
        <x:f>IF(A223="","",IFERROR(INDEX('Master Evidence'!$L$4:$L$503,MATCH(A223,'Master Evidence'!$A$4:$A$503,0)),""))</x:f>
      </x:c>
      <x:c r="C223" s="174"/>
      <x:c r="D223" s="174"/>
      <x:c r="E223" s="174"/>
      <x:c r="F223" s="174"/>
      <x:c r="G223" s="174"/>
      <x:c r="H223" s="174"/>
      <x:c r="I223" s="174"/>
      <x:c r="J223" s="177"/>
      <x:c r="K223" s="174"/>
      <x:c r="L223" s="174"/>
      <x:c r="M223" s="174"/>
    </x:row>
    <x:row r="224">
      <x:c r="A224" s="174"/>
      <x:c r="B224" s="174" t="str">
        <x:f>IF(A224="","",IFERROR(INDEX('Master Evidence'!$L$4:$L$503,MATCH(A224,'Master Evidence'!$A$4:$A$503,0)),""))</x:f>
      </x:c>
      <x:c r="C224" s="174"/>
      <x:c r="D224" s="174"/>
      <x:c r="E224" s="174"/>
      <x:c r="F224" s="174"/>
      <x:c r="G224" s="174"/>
      <x:c r="H224" s="174"/>
      <x:c r="I224" s="174"/>
      <x:c r="J224" s="177"/>
      <x:c r="K224" s="174"/>
      <x:c r="L224" s="174"/>
      <x:c r="M224" s="174"/>
    </x:row>
    <x:row r="225">
      <x:c r="A225" s="174"/>
      <x:c r="B225" s="174" t="str">
        <x:f>IF(A225="","",IFERROR(INDEX('Master Evidence'!$L$4:$L$503,MATCH(A225,'Master Evidence'!$A$4:$A$503,0)),""))</x:f>
      </x:c>
      <x:c r="C225" s="174"/>
      <x:c r="D225" s="174"/>
      <x:c r="E225" s="174"/>
      <x:c r="F225" s="174"/>
      <x:c r="G225" s="174"/>
      <x:c r="H225" s="174"/>
      <x:c r="I225" s="174"/>
      <x:c r="J225" s="177"/>
      <x:c r="K225" s="174"/>
      <x:c r="L225" s="174"/>
      <x:c r="M225" s="174"/>
    </x:row>
    <x:row r="226">
      <x:c r="A226" s="174"/>
      <x:c r="B226" s="174" t="str">
        <x:f>IF(A226="","",IFERROR(INDEX('Master Evidence'!$L$4:$L$503,MATCH(A226,'Master Evidence'!$A$4:$A$503,0)),""))</x:f>
      </x:c>
      <x:c r="C226" s="174"/>
      <x:c r="D226" s="174"/>
      <x:c r="E226" s="174"/>
      <x:c r="F226" s="174"/>
      <x:c r="G226" s="174"/>
      <x:c r="H226" s="174"/>
      <x:c r="I226" s="174"/>
      <x:c r="J226" s="177"/>
      <x:c r="K226" s="174"/>
      <x:c r="L226" s="174"/>
      <x:c r="M226" s="174"/>
    </x:row>
    <x:row r="227">
      <x:c r="A227" s="174"/>
      <x:c r="B227" s="174" t="str">
        <x:f>IF(A227="","",IFERROR(INDEX('Master Evidence'!$L$4:$L$503,MATCH(A227,'Master Evidence'!$A$4:$A$503,0)),""))</x:f>
      </x:c>
      <x:c r="C227" s="174"/>
      <x:c r="D227" s="174"/>
      <x:c r="E227" s="174"/>
      <x:c r="F227" s="174"/>
      <x:c r="G227" s="174"/>
      <x:c r="H227" s="174"/>
      <x:c r="I227" s="174"/>
      <x:c r="J227" s="177"/>
      <x:c r="K227" s="174"/>
      <x:c r="L227" s="174"/>
      <x:c r="M227" s="174"/>
    </x:row>
    <x:row r="228">
      <x:c r="A228" s="174"/>
      <x:c r="B228" s="174" t="str">
        <x:f>IF(A228="","",IFERROR(INDEX('Master Evidence'!$L$4:$L$503,MATCH(A228,'Master Evidence'!$A$4:$A$503,0)),""))</x:f>
      </x:c>
      <x:c r="C228" s="174"/>
      <x:c r="D228" s="174"/>
      <x:c r="E228" s="174"/>
      <x:c r="F228" s="174"/>
      <x:c r="G228" s="174"/>
      <x:c r="H228" s="174"/>
      <x:c r="I228" s="174"/>
      <x:c r="J228" s="177"/>
      <x:c r="K228" s="174"/>
      <x:c r="L228" s="174"/>
      <x:c r="M228" s="174"/>
    </x:row>
    <x:row r="229">
      <x:c r="A229" s="174"/>
      <x:c r="B229" s="174" t="str">
        <x:f>IF(A229="","",IFERROR(INDEX('Master Evidence'!$L$4:$L$503,MATCH(A229,'Master Evidence'!$A$4:$A$503,0)),""))</x:f>
      </x:c>
      <x:c r="C229" s="174"/>
      <x:c r="D229" s="174"/>
      <x:c r="E229" s="174"/>
      <x:c r="F229" s="174"/>
      <x:c r="G229" s="174"/>
      <x:c r="H229" s="174"/>
      <x:c r="I229" s="174"/>
      <x:c r="J229" s="177"/>
      <x:c r="K229" s="174"/>
      <x:c r="L229" s="174"/>
      <x:c r="M229" s="174"/>
    </x:row>
    <x:row r="230">
      <x:c r="A230" s="174"/>
      <x:c r="B230" s="174" t="str">
        <x:f>IF(A230="","",IFERROR(INDEX('Master Evidence'!$L$4:$L$503,MATCH(A230,'Master Evidence'!$A$4:$A$503,0)),""))</x:f>
      </x:c>
      <x:c r="C230" s="174"/>
      <x:c r="D230" s="174"/>
      <x:c r="E230" s="174"/>
      <x:c r="F230" s="174"/>
      <x:c r="G230" s="174"/>
      <x:c r="H230" s="174"/>
      <x:c r="I230" s="174"/>
      <x:c r="J230" s="177"/>
      <x:c r="K230" s="174"/>
      <x:c r="L230" s="174"/>
      <x:c r="M230" s="174"/>
    </x:row>
    <x:row r="231">
      <x:c r="A231" s="174"/>
      <x:c r="B231" s="174" t="str">
        <x:f>IF(A231="","",IFERROR(INDEX('Master Evidence'!$L$4:$L$503,MATCH(A231,'Master Evidence'!$A$4:$A$503,0)),""))</x:f>
      </x:c>
      <x:c r="C231" s="174"/>
      <x:c r="D231" s="174"/>
      <x:c r="E231" s="174"/>
      <x:c r="F231" s="174"/>
      <x:c r="G231" s="174"/>
      <x:c r="H231" s="174"/>
      <x:c r="I231" s="174"/>
      <x:c r="J231" s="177"/>
      <x:c r="K231" s="174"/>
      <x:c r="L231" s="174"/>
      <x:c r="M231" s="174"/>
    </x:row>
    <x:row r="232">
      <x:c r="A232" s="174"/>
      <x:c r="B232" s="174" t="str">
        <x:f>IF(A232="","",IFERROR(INDEX('Master Evidence'!$L$4:$L$503,MATCH(A232,'Master Evidence'!$A$4:$A$503,0)),""))</x:f>
      </x:c>
      <x:c r="C232" s="174"/>
      <x:c r="D232" s="174"/>
      <x:c r="E232" s="174"/>
      <x:c r="F232" s="174"/>
      <x:c r="G232" s="174"/>
      <x:c r="H232" s="174"/>
      <x:c r="I232" s="174"/>
      <x:c r="J232" s="177"/>
      <x:c r="K232" s="174"/>
      <x:c r="L232" s="174"/>
      <x:c r="M232" s="174"/>
    </x:row>
    <x:row r="233">
      <x:c r="A233" s="174"/>
      <x:c r="B233" s="174" t="str">
        <x:f>IF(A233="","",IFERROR(INDEX('Master Evidence'!$L$4:$L$503,MATCH(A233,'Master Evidence'!$A$4:$A$503,0)),""))</x:f>
      </x:c>
      <x:c r="C233" s="174"/>
      <x:c r="D233" s="174"/>
      <x:c r="E233" s="174"/>
      <x:c r="F233" s="174"/>
      <x:c r="G233" s="174"/>
      <x:c r="H233" s="174"/>
      <x:c r="I233" s="174"/>
      <x:c r="J233" s="177"/>
      <x:c r="K233" s="174"/>
      <x:c r="L233" s="174"/>
      <x:c r="M233" s="174"/>
    </x:row>
    <x:row r="234">
      <x:c r="A234" s="174"/>
      <x:c r="B234" s="174" t="str">
        <x:f>IF(A234="","",IFERROR(INDEX('Master Evidence'!$L$4:$L$503,MATCH(A234,'Master Evidence'!$A$4:$A$503,0)),""))</x:f>
      </x:c>
      <x:c r="C234" s="174"/>
      <x:c r="D234" s="174"/>
      <x:c r="E234" s="174"/>
      <x:c r="F234" s="174"/>
      <x:c r="G234" s="174"/>
      <x:c r="H234" s="174"/>
      <x:c r="I234" s="174"/>
      <x:c r="J234" s="177"/>
      <x:c r="K234" s="174"/>
      <x:c r="L234" s="174"/>
      <x:c r="M234" s="174"/>
    </x:row>
    <x:row r="235">
      <x:c r="A235" s="174"/>
      <x:c r="B235" s="174" t="str">
        <x:f>IF(A235="","",IFERROR(INDEX('Master Evidence'!$L$4:$L$503,MATCH(A235,'Master Evidence'!$A$4:$A$503,0)),""))</x:f>
      </x:c>
      <x:c r="C235" s="174"/>
      <x:c r="D235" s="174"/>
      <x:c r="E235" s="174"/>
      <x:c r="F235" s="174"/>
      <x:c r="G235" s="174"/>
      <x:c r="H235" s="174"/>
      <x:c r="I235" s="174"/>
      <x:c r="J235" s="177"/>
      <x:c r="K235" s="174"/>
      <x:c r="L235" s="174"/>
      <x:c r="M235" s="174"/>
    </x:row>
    <x:row r="236">
      <x:c r="A236" s="174"/>
      <x:c r="B236" s="174" t="str">
        <x:f>IF(A236="","",IFERROR(INDEX('Master Evidence'!$L$4:$L$503,MATCH(A236,'Master Evidence'!$A$4:$A$503,0)),""))</x:f>
      </x:c>
      <x:c r="C236" s="174"/>
      <x:c r="D236" s="174"/>
      <x:c r="E236" s="174"/>
      <x:c r="F236" s="174"/>
      <x:c r="G236" s="174"/>
      <x:c r="H236" s="174"/>
      <x:c r="I236" s="174"/>
      <x:c r="J236" s="177"/>
      <x:c r="K236" s="174"/>
      <x:c r="L236" s="174"/>
      <x:c r="M236" s="174"/>
    </x:row>
    <x:row r="237">
      <x:c r="A237" s="174"/>
      <x:c r="B237" s="174" t="str">
        <x:f>IF(A237="","",IFERROR(INDEX('Master Evidence'!$L$4:$L$503,MATCH(A237,'Master Evidence'!$A$4:$A$503,0)),""))</x:f>
      </x:c>
      <x:c r="C237" s="174"/>
      <x:c r="D237" s="174"/>
      <x:c r="E237" s="174"/>
      <x:c r="F237" s="174"/>
      <x:c r="G237" s="174"/>
      <x:c r="H237" s="174"/>
      <x:c r="I237" s="174"/>
      <x:c r="J237" s="177"/>
      <x:c r="K237" s="174"/>
      <x:c r="L237" s="174"/>
      <x:c r="M237" s="174"/>
    </x:row>
    <x:row r="238">
      <x:c r="A238" s="174"/>
      <x:c r="B238" s="174" t="str">
        <x:f>IF(A238="","",IFERROR(INDEX('Master Evidence'!$L$4:$L$503,MATCH(A238,'Master Evidence'!$A$4:$A$503,0)),""))</x:f>
      </x:c>
      <x:c r="C238" s="174"/>
      <x:c r="D238" s="174"/>
      <x:c r="E238" s="174"/>
      <x:c r="F238" s="174"/>
      <x:c r="G238" s="174"/>
      <x:c r="H238" s="174"/>
      <x:c r="I238" s="174"/>
      <x:c r="J238" s="177"/>
      <x:c r="K238" s="174"/>
      <x:c r="L238" s="174"/>
      <x:c r="M238" s="174"/>
    </x:row>
    <x:row r="239">
      <x:c r="A239" s="174"/>
      <x:c r="B239" s="174" t="str">
        <x:f>IF(A239="","",IFERROR(INDEX('Master Evidence'!$L$4:$L$503,MATCH(A239,'Master Evidence'!$A$4:$A$503,0)),""))</x:f>
      </x:c>
      <x:c r="C239" s="174"/>
      <x:c r="D239" s="174"/>
      <x:c r="E239" s="174"/>
      <x:c r="F239" s="174"/>
      <x:c r="G239" s="174"/>
      <x:c r="H239" s="174"/>
      <x:c r="I239" s="174"/>
      <x:c r="J239" s="177"/>
      <x:c r="K239" s="174"/>
      <x:c r="L239" s="174"/>
      <x:c r="M239" s="174"/>
    </x:row>
    <x:row r="240">
      <x:c r="A240" s="174"/>
      <x:c r="B240" s="174" t="str">
        <x:f>IF(A240="","",IFERROR(INDEX('Master Evidence'!$L$4:$L$503,MATCH(A240,'Master Evidence'!$A$4:$A$503,0)),""))</x:f>
      </x:c>
      <x:c r="C240" s="174"/>
      <x:c r="D240" s="174"/>
      <x:c r="E240" s="174"/>
      <x:c r="F240" s="174"/>
      <x:c r="G240" s="174"/>
      <x:c r="H240" s="174"/>
      <x:c r="I240" s="174"/>
      <x:c r="J240" s="177"/>
      <x:c r="K240" s="174"/>
      <x:c r="L240" s="174"/>
      <x:c r="M240" s="174"/>
    </x:row>
    <x:row r="241">
      <x:c r="A241" s="174"/>
      <x:c r="B241" s="174" t="str">
        <x:f>IF(A241="","",IFERROR(INDEX('Master Evidence'!$L$4:$L$503,MATCH(A241,'Master Evidence'!$A$4:$A$503,0)),""))</x:f>
      </x:c>
      <x:c r="C241" s="174"/>
      <x:c r="D241" s="174"/>
      <x:c r="E241" s="174"/>
      <x:c r="F241" s="174"/>
      <x:c r="G241" s="174"/>
      <x:c r="H241" s="174"/>
      <x:c r="I241" s="174"/>
      <x:c r="J241" s="177"/>
      <x:c r="K241" s="174"/>
      <x:c r="L241" s="174"/>
      <x:c r="M241" s="174"/>
    </x:row>
    <x:row r="242">
      <x:c r="A242" s="174"/>
      <x:c r="B242" s="174" t="str">
        <x:f>IF(A242="","",IFERROR(INDEX('Master Evidence'!$L$4:$L$503,MATCH(A242,'Master Evidence'!$A$4:$A$503,0)),""))</x:f>
      </x:c>
      <x:c r="C242" s="174"/>
      <x:c r="D242" s="174"/>
      <x:c r="E242" s="174"/>
      <x:c r="F242" s="174"/>
      <x:c r="G242" s="174"/>
      <x:c r="H242" s="174"/>
      <x:c r="I242" s="174"/>
      <x:c r="J242" s="177"/>
      <x:c r="K242" s="174"/>
      <x:c r="L242" s="174"/>
      <x:c r="M242" s="174"/>
    </x:row>
    <x:row r="243">
      <x:c r="A243" s="174"/>
      <x:c r="B243" s="174" t="str">
        <x:f>IF(A243="","",IFERROR(INDEX('Master Evidence'!$L$4:$L$503,MATCH(A243,'Master Evidence'!$A$4:$A$503,0)),""))</x:f>
      </x:c>
      <x:c r="C243" s="174"/>
      <x:c r="D243" s="174"/>
      <x:c r="E243" s="174"/>
      <x:c r="F243" s="174"/>
      <x:c r="G243" s="174"/>
      <x:c r="H243" s="174"/>
      <x:c r="I243" s="174"/>
      <x:c r="J243" s="177"/>
      <x:c r="K243" s="174"/>
      <x:c r="L243" s="174"/>
      <x:c r="M243" s="174"/>
    </x:row>
    <x:row r="244">
      <x:c r="A244" s="174"/>
      <x:c r="B244" s="174" t="str">
        <x:f>IF(A244="","",IFERROR(INDEX('Master Evidence'!$L$4:$L$503,MATCH(A244,'Master Evidence'!$A$4:$A$503,0)),""))</x:f>
      </x:c>
      <x:c r="C244" s="174"/>
      <x:c r="D244" s="174"/>
      <x:c r="E244" s="174"/>
      <x:c r="F244" s="174"/>
      <x:c r="G244" s="174"/>
      <x:c r="H244" s="174"/>
      <x:c r="I244" s="174"/>
      <x:c r="J244" s="177"/>
      <x:c r="K244" s="174"/>
      <x:c r="L244" s="174"/>
      <x:c r="M244" s="174"/>
    </x:row>
    <x:row r="245">
      <x:c r="A245" s="174"/>
      <x:c r="B245" s="174" t="str">
        <x:f>IF(A245="","",IFERROR(INDEX('Master Evidence'!$L$4:$L$503,MATCH(A245,'Master Evidence'!$A$4:$A$503,0)),""))</x:f>
      </x:c>
      <x:c r="C245" s="174"/>
      <x:c r="D245" s="174"/>
      <x:c r="E245" s="174"/>
      <x:c r="F245" s="174"/>
      <x:c r="G245" s="174"/>
      <x:c r="H245" s="174"/>
      <x:c r="I245" s="174"/>
      <x:c r="J245" s="177"/>
      <x:c r="K245" s="174"/>
      <x:c r="L245" s="174"/>
      <x:c r="M245" s="174"/>
    </x:row>
    <x:row r="246">
      <x:c r="A246" s="174"/>
      <x:c r="B246" s="174" t="str">
        <x:f>IF(A246="","",IFERROR(INDEX('Master Evidence'!$L$4:$L$503,MATCH(A246,'Master Evidence'!$A$4:$A$503,0)),""))</x:f>
      </x:c>
      <x:c r="C246" s="174"/>
      <x:c r="D246" s="174"/>
      <x:c r="E246" s="174"/>
      <x:c r="F246" s="174"/>
      <x:c r="G246" s="174"/>
      <x:c r="H246" s="174"/>
      <x:c r="I246" s="174"/>
      <x:c r="J246" s="177"/>
      <x:c r="K246" s="174"/>
      <x:c r="L246" s="174"/>
      <x:c r="M246" s="174"/>
    </x:row>
    <x:row r="247">
      <x:c r="A247" s="174"/>
      <x:c r="B247" s="174" t="str">
        <x:f>IF(A247="","",IFERROR(INDEX('Master Evidence'!$L$4:$L$503,MATCH(A247,'Master Evidence'!$A$4:$A$503,0)),""))</x:f>
      </x:c>
      <x:c r="C247" s="174"/>
      <x:c r="D247" s="174"/>
      <x:c r="E247" s="174"/>
      <x:c r="F247" s="174"/>
      <x:c r="G247" s="174"/>
      <x:c r="H247" s="174"/>
      <x:c r="I247" s="174"/>
      <x:c r="J247" s="177"/>
      <x:c r="K247" s="174"/>
      <x:c r="L247" s="174"/>
      <x:c r="M247" s="174"/>
    </x:row>
    <x:row r="248">
      <x:c r="A248" s="174"/>
      <x:c r="B248" s="174" t="str">
        <x:f>IF(A248="","",IFERROR(INDEX('Master Evidence'!$L$4:$L$503,MATCH(A248,'Master Evidence'!$A$4:$A$503,0)),""))</x:f>
      </x:c>
      <x:c r="C248" s="174"/>
      <x:c r="D248" s="174"/>
      <x:c r="E248" s="174"/>
      <x:c r="F248" s="174"/>
      <x:c r="G248" s="174"/>
      <x:c r="H248" s="174"/>
      <x:c r="I248" s="174"/>
      <x:c r="J248" s="177"/>
      <x:c r="K248" s="174"/>
      <x:c r="L248" s="174"/>
      <x:c r="M248" s="174"/>
    </x:row>
    <x:row r="249">
      <x:c r="A249" s="174"/>
      <x:c r="B249" s="174" t="str">
        <x:f>IF(A249="","",IFERROR(INDEX('Master Evidence'!$L$4:$L$503,MATCH(A249,'Master Evidence'!$A$4:$A$503,0)),""))</x:f>
      </x:c>
      <x:c r="C249" s="174"/>
      <x:c r="D249" s="174"/>
      <x:c r="E249" s="174"/>
      <x:c r="F249" s="174"/>
      <x:c r="G249" s="174"/>
      <x:c r="H249" s="174"/>
      <x:c r="I249" s="174"/>
      <x:c r="J249" s="177"/>
      <x:c r="K249" s="174"/>
      <x:c r="L249" s="174"/>
      <x:c r="M249" s="174"/>
    </x:row>
    <x:row r="250">
      <x:c r="A250" s="174"/>
      <x:c r="B250" s="174" t="str">
        <x:f>IF(A250="","",IFERROR(INDEX('Master Evidence'!$L$4:$L$503,MATCH(A250,'Master Evidence'!$A$4:$A$503,0)),""))</x:f>
      </x:c>
      <x:c r="C250" s="174"/>
      <x:c r="D250" s="174"/>
      <x:c r="E250" s="174"/>
      <x:c r="F250" s="174"/>
      <x:c r="G250" s="174"/>
      <x:c r="H250" s="174"/>
      <x:c r="I250" s="174"/>
      <x:c r="J250" s="177"/>
      <x:c r="K250" s="174"/>
      <x:c r="L250" s="174"/>
      <x:c r="M250" s="174"/>
    </x:row>
    <x:row r="251">
      <x:c r="A251" s="174"/>
      <x:c r="B251" s="174" t="str">
        <x:f>IF(A251="","",IFERROR(INDEX('Master Evidence'!$L$4:$L$503,MATCH(A251,'Master Evidence'!$A$4:$A$503,0)),""))</x:f>
      </x:c>
      <x:c r="C251" s="174"/>
      <x:c r="D251" s="174"/>
      <x:c r="E251" s="174"/>
      <x:c r="F251" s="174"/>
      <x:c r="G251" s="174"/>
      <x:c r="H251" s="174"/>
      <x:c r="I251" s="174"/>
      <x:c r="J251" s="177"/>
      <x:c r="K251" s="174"/>
      <x:c r="L251" s="174"/>
      <x:c r="M251" s="174"/>
    </x:row>
    <x:row r="252">
      <x:c r="A252" s="174"/>
      <x:c r="B252" s="174" t="str">
        <x:f>IF(A252="","",IFERROR(INDEX('Master Evidence'!$L$4:$L$503,MATCH(A252,'Master Evidence'!$A$4:$A$503,0)),""))</x:f>
      </x:c>
      <x:c r="C252" s="174"/>
      <x:c r="D252" s="174"/>
      <x:c r="E252" s="174"/>
      <x:c r="F252" s="174"/>
      <x:c r="G252" s="174"/>
      <x:c r="H252" s="174"/>
      <x:c r="I252" s="174"/>
      <x:c r="J252" s="177"/>
      <x:c r="K252" s="174"/>
      <x:c r="L252" s="174"/>
      <x:c r="M252" s="174"/>
    </x:row>
    <x:row r="253">
      <x:c r="A253" s="174"/>
      <x:c r="B253" s="174" t="str">
        <x:f>IF(A253="","",IFERROR(INDEX('Master Evidence'!$L$4:$L$503,MATCH(A253,'Master Evidence'!$A$4:$A$503,0)),""))</x:f>
      </x:c>
      <x:c r="C253" s="174"/>
      <x:c r="D253" s="174"/>
      <x:c r="E253" s="174"/>
      <x:c r="F253" s="174"/>
      <x:c r="G253" s="174"/>
      <x:c r="H253" s="174"/>
      <x:c r="I253" s="174"/>
      <x:c r="J253" s="177"/>
      <x:c r="K253" s="174"/>
      <x:c r="L253" s="174"/>
      <x:c r="M253" s="174"/>
    </x:row>
    <x:row r="254">
      <x:c r="A254" s="174"/>
      <x:c r="B254" s="174" t="str">
        <x:f>IF(A254="","",IFERROR(INDEX('Master Evidence'!$L$4:$L$503,MATCH(A254,'Master Evidence'!$A$4:$A$503,0)),""))</x:f>
      </x:c>
      <x:c r="C254" s="174"/>
      <x:c r="D254" s="174"/>
      <x:c r="E254" s="174"/>
      <x:c r="F254" s="174"/>
      <x:c r="G254" s="174"/>
      <x:c r="H254" s="174"/>
      <x:c r="I254" s="174"/>
      <x:c r="J254" s="177"/>
      <x:c r="K254" s="174"/>
      <x:c r="L254" s="174"/>
      <x:c r="M254" s="174"/>
    </x:row>
    <x:row r="255">
      <x:c r="A255" s="174"/>
      <x:c r="B255" s="174" t="str">
        <x:f>IF(A255="","",IFERROR(INDEX('Master Evidence'!$L$4:$L$503,MATCH(A255,'Master Evidence'!$A$4:$A$503,0)),""))</x:f>
      </x:c>
      <x:c r="C255" s="174"/>
      <x:c r="D255" s="174"/>
      <x:c r="E255" s="174"/>
      <x:c r="F255" s="174"/>
      <x:c r="G255" s="174"/>
      <x:c r="H255" s="174"/>
      <x:c r="I255" s="174"/>
      <x:c r="J255" s="177"/>
      <x:c r="K255" s="174"/>
      <x:c r="L255" s="174"/>
      <x:c r="M255" s="174"/>
    </x:row>
    <x:row r="256">
      <x:c r="A256" s="174"/>
      <x:c r="B256" s="174" t="str">
        <x:f>IF(A256="","",IFERROR(INDEX('Master Evidence'!$L$4:$L$503,MATCH(A256,'Master Evidence'!$A$4:$A$503,0)),""))</x:f>
      </x:c>
      <x:c r="C256" s="174"/>
      <x:c r="D256" s="174"/>
      <x:c r="E256" s="174"/>
      <x:c r="F256" s="174"/>
      <x:c r="G256" s="174"/>
      <x:c r="H256" s="174"/>
      <x:c r="I256" s="174"/>
      <x:c r="J256" s="177"/>
      <x:c r="K256" s="174"/>
      <x:c r="L256" s="174"/>
      <x:c r="M256" s="174"/>
    </x:row>
    <x:row r="257">
      <x:c r="A257" s="174"/>
      <x:c r="B257" s="174" t="str">
        <x:f>IF(A257="","",IFERROR(INDEX('Master Evidence'!$L$4:$L$503,MATCH(A257,'Master Evidence'!$A$4:$A$503,0)),""))</x:f>
      </x:c>
      <x:c r="C257" s="174"/>
      <x:c r="D257" s="174"/>
      <x:c r="E257" s="174"/>
      <x:c r="F257" s="174"/>
      <x:c r="G257" s="174"/>
      <x:c r="H257" s="174"/>
      <x:c r="I257" s="174"/>
      <x:c r="J257" s="177"/>
      <x:c r="K257" s="174"/>
      <x:c r="L257" s="174"/>
      <x:c r="M257" s="174"/>
    </x:row>
    <x:row r="258">
      <x:c r="A258" s="174"/>
      <x:c r="B258" s="174" t="str">
        <x:f>IF(A258="","",IFERROR(INDEX('Master Evidence'!$L$4:$L$503,MATCH(A258,'Master Evidence'!$A$4:$A$503,0)),""))</x:f>
      </x:c>
      <x:c r="C258" s="174"/>
      <x:c r="D258" s="174"/>
      <x:c r="E258" s="174"/>
      <x:c r="F258" s="174"/>
      <x:c r="G258" s="174"/>
      <x:c r="H258" s="174"/>
      <x:c r="I258" s="174"/>
      <x:c r="J258" s="177"/>
      <x:c r="K258" s="174"/>
      <x:c r="L258" s="174"/>
      <x:c r="M258" s="174"/>
    </x:row>
    <x:row r="259">
      <x:c r="A259" s="174"/>
      <x:c r="B259" s="174" t="str">
        <x:f>IF(A259="","",IFERROR(INDEX('Master Evidence'!$L$4:$L$503,MATCH(A259,'Master Evidence'!$A$4:$A$503,0)),""))</x:f>
      </x:c>
      <x:c r="C259" s="174"/>
      <x:c r="D259" s="174"/>
      <x:c r="E259" s="174"/>
      <x:c r="F259" s="174"/>
      <x:c r="G259" s="174"/>
      <x:c r="H259" s="174"/>
      <x:c r="I259" s="174"/>
      <x:c r="J259" s="177"/>
      <x:c r="K259" s="174"/>
      <x:c r="L259" s="174"/>
      <x:c r="M259" s="174"/>
    </x:row>
    <x:row r="260">
      <x:c r="A260" s="174"/>
      <x:c r="B260" s="174" t="str">
        <x:f>IF(A260="","",IFERROR(INDEX('Master Evidence'!$L$4:$L$503,MATCH(A260,'Master Evidence'!$A$4:$A$503,0)),""))</x:f>
      </x:c>
      <x:c r="C260" s="174"/>
      <x:c r="D260" s="174"/>
      <x:c r="E260" s="174"/>
      <x:c r="F260" s="174"/>
      <x:c r="G260" s="174"/>
      <x:c r="H260" s="174"/>
      <x:c r="I260" s="174"/>
      <x:c r="J260" s="177"/>
      <x:c r="K260" s="174"/>
      <x:c r="L260" s="174"/>
      <x:c r="M260" s="174"/>
    </x:row>
    <x:row r="261">
      <x:c r="A261" s="174"/>
      <x:c r="B261" s="174" t="str">
        <x:f>IF(A261="","",IFERROR(INDEX('Master Evidence'!$L$4:$L$503,MATCH(A261,'Master Evidence'!$A$4:$A$503,0)),""))</x:f>
      </x:c>
      <x:c r="C261" s="174"/>
      <x:c r="D261" s="174"/>
      <x:c r="E261" s="174"/>
      <x:c r="F261" s="174"/>
      <x:c r="G261" s="174"/>
      <x:c r="H261" s="174"/>
      <x:c r="I261" s="174"/>
      <x:c r="J261" s="177"/>
      <x:c r="K261" s="174"/>
      <x:c r="L261" s="174"/>
      <x:c r="M261" s="174"/>
    </x:row>
    <x:row r="262">
      <x:c r="A262" s="174"/>
      <x:c r="B262" s="174" t="str">
        <x:f>IF(A262="","",IFERROR(INDEX('Master Evidence'!$L$4:$L$503,MATCH(A262,'Master Evidence'!$A$4:$A$503,0)),""))</x:f>
      </x:c>
      <x:c r="C262" s="174"/>
      <x:c r="D262" s="174"/>
      <x:c r="E262" s="174"/>
      <x:c r="F262" s="174"/>
      <x:c r="G262" s="174"/>
      <x:c r="H262" s="174"/>
      <x:c r="I262" s="174"/>
      <x:c r="J262" s="177"/>
      <x:c r="K262" s="174"/>
      <x:c r="L262" s="174"/>
      <x:c r="M262" s="174"/>
    </x:row>
    <x:row r="263">
      <x:c r="A263" s="174"/>
      <x:c r="B263" s="174" t="str">
        <x:f>IF(A263="","",IFERROR(INDEX('Master Evidence'!$L$4:$L$503,MATCH(A263,'Master Evidence'!$A$4:$A$503,0)),""))</x:f>
      </x:c>
      <x:c r="C263" s="174"/>
      <x:c r="D263" s="174"/>
      <x:c r="E263" s="174"/>
      <x:c r="F263" s="174"/>
      <x:c r="G263" s="174"/>
      <x:c r="H263" s="174"/>
      <x:c r="I263" s="174"/>
      <x:c r="J263" s="177"/>
      <x:c r="K263" s="174"/>
      <x:c r="L263" s="174"/>
      <x:c r="M263" s="174"/>
    </x:row>
    <x:row r="264">
      <x:c r="A264" s="174"/>
      <x:c r="B264" s="174" t="str">
        <x:f>IF(A264="","",IFERROR(INDEX('Master Evidence'!$L$4:$L$503,MATCH(A264,'Master Evidence'!$A$4:$A$503,0)),""))</x:f>
      </x:c>
      <x:c r="C264" s="174"/>
      <x:c r="D264" s="174"/>
      <x:c r="E264" s="174"/>
      <x:c r="F264" s="174"/>
      <x:c r="G264" s="174"/>
      <x:c r="H264" s="174"/>
      <x:c r="I264" s="174"/>
      <x:c r="J264" s="177"/>
      <x:c r="K264" s="174"/>
      <x:c r="L264" s="174"/>
      <x:c r="M264" s="174"/>
    </x:row>
    <x:row r="265">
      <x:c r="A265" s="174"/>
      <x:c r="B265" s="174" t="str">
        <x:f>IF(A265="","",IFERROR(INDEX('Master Evidence'!$L$4:$L$503,MATCH(A265,'Master Evidence'!$A$4:$A$503,0)),""))</x:f>
      </x:c>
      <x:c r="C265" s="174"/>
      <x:c r="D265" s="174"/>
      <x:c r="E265" s="174"/>
      <x:c r="F265" s="174"/>
      <x:c r="G265" s="174"/>
      <x:c r="H265" s="174"/>
      <x:c r="I265" s="174"/>
      <x:c r="J265" s="177"/>
      <x:c r="K265" s="174"/>
      <x:c r="L265" s="174"/>
      <x:c r="M265" s="174"/>
    </x:row>
    <x:row r="266">
      <x:c r="A266" s="174"/>
      <x:c r="B266" s="174" t="str">
        <x:f>IF(A266="","",IFERROR(INDEX('Master Evidence'!$L$4:$L$503,MATCH(A266,'Master Evidence'!$A$4:$A$503,0)),""))</x:f>
      </x:c>
      <x:c r="C266" s="174"/>
      <x:c r="D266" s="174"/>
      <x:c r="E266" s="174"/>
      <x:c r="F266" s="174"/>
      <x:c r="G266" s="174"/>
      <x:c r="H266" s="174"/>
      <x:c r="I266" s="174"/>
      <x:c r="J266" s="177"/>
      <x:c r="K266" s="174"/>
      <x:c r="L266" s="174"/>
      <x:c r="M266" s="174"/>
    </x:row>
    <x:row r="267">
      <x:c r="A267" s="174"/>
      <x:c r="B267" s="174" t="str">
        <x:f>IF(A267="","",IFERROR(INDEX('Master Evidence'!$L$4:$L$503,MATCH(A267,'Master Evidence'!$A$4:$A$503,0)),""))</x:f>
      </x:c>
      <x:c r="C267" s="174"/>
      <x:c r="D267" s="174"/>
      <x:c r="E267" s="174"/>
      <x:c r="F267" s="174"/>
      <x:c r="G267" s="174"/>
      <x:c r="H267" s="174"/>
      <x:c r="I267" s="174"/>
      <x:c r="J267" s="177"/>
      <x:c r="K267" s="174"/>
      <x:c r="L267" s="174"/>
      <x:c r="M267" s="174"/>
    </x:row>
    <x:row r="268">
      <x:c r="A268" s="174"/>
      <x:c r="B268" s="174" t="str">
        <x:f>IF(A268="","",IFERROR(INDEX('Master Evidence'!$L$4:$L$503,MATCH(A268,'Master Evidence'!$A$4:$A$503,0)),""))</x:f>
      </x:c>
      <x:c r="C268" s="174"/>
      <x:c r="D268" s="174"/>
      <x:c r="E268" s="174"/>
      <x:c r="F268" s="174"/>
      <x:c r="G268" s="174"/>
      <x:c r="H268" s="174"/>
      <x:c r="I268" s="174"/>
      <x:c r="J268" s="177"/>
      <x:c r="K268" s="174"/>
      <x:c r="L268" s="174"/>
      <x:c r="M268" s="174"/>
    </x:row>
    <x:row r="269">
      <x:c r="A269" s="174"/>
      <x:c r="B269" s="174" t="str">
        <x:f>IF(A269="","",IFERROR(INDEX('Master Evidence'!$L$4:$L$503,MATCH(A269,'Master Evidence'!$A$4:$A$503,0)),""))</x:f>
      </x:c>
      <x:c r="C269" s="174"/>
      <x:c r="D269" s="174"/>
      <x:c r="E269" s="174"/>
      <x:c r="F269" s="174"/>
      <x:c r="G269" s="174"/>
      <x:c r="H269" s="174"/>
      <x:c r="I269" s="174"/>
      <x:c r="J269" s="177"/>
      <x:c r="K269" s="174"/>
      <x:c r="L269" s="174"/>
      <x:c r="M269" s="174"/>
    </x:row>
    <x:row r="270">
      <x:c r="A270" s="174"/>
      <x:c r="B270" s="174" t="str">
        <x:f>IF(A270="","",IFERROR(INDEX('Master Evidence'!$L$4:$L$503,MATCH(A270,'Master Evidence'!$A$4:$A$503,0)),""))</x:f>
      </x:c>
      <x:c r="C270" s="174"/>
      <x:c r="D270" s="174"/>
      <x:c r="E270" s="174"/>
      <x:c r="F270" s="174"/>
      <x:c r="G270" s="174"/>
      <x:c r="H270" s="174"/>
      <x:c r="I270" s="174"/>
      <x:c r="J270" s="177"/>
      <x:c r="K270" s="174"/>
      <x:c r="L270" s="174"/>
      <x:c r="M270" s="174"/>
    </x:row>
    <x:row r="271">
      <x:c r="A271" s="174"/>
      <x:c r="B271" s="174" t="str">
        <x:f>IF(A271="","",IFERROR(INDEX('Master Evidence'!$L$4:$L$503,MATCH(A271,'Master Evidence'!$A$4:$A$503,0)),""))</x:f>
      </x:c>
      <x:c r="C271" s="174"/>
      <x:c r="D271" s="174"/>
      <x:c r="E271" s="174"/>
      <x:c r="F271" s="174"/>
      <x:c r="G271" s="174"/>
      <x:c r="H271" s="174"/>
      <x:c r="I271" s="174"/>
      <x:c r="J271" s="177"/>
      <x:c r="K271" s="174"/>
      <x:c r="L271" s="174"/>
      <x:c r="M271" s="174"/>
    </x:row>
    <x:row r="272">
      <x:c r="A272" s="174"/>
      <x:c r="B272" s="174" t="str">
        <x:f>IF(A272="","",IFERROR(INDEX('Master Evidence'!$L$4:$L$503,MATCH(A272,'Master Evidence'!$A$4:$A$503,0)),""))</x:f>
      </x:c>
      <x:c r="C272" s="174"/>
      <x:c r="D272" s="174"/>
      <x:c r="E272" s="174"/>
      <x:c r="F272" s="174"/>
      <x:c r="G272" s="174"/>
      <x:c r="H272" s="174"/>
      <x:c r="I272" s="174"/>
      <x:c r="J272" s="177"/>
      <x:c r="K272" s="174"/>
      <x:c r="L272" s="174"/>
      <x:c r="M272" s="174"/>
    </x:row>
    <x:row r="273">
      <x:c r="A273" s="174"/>
      <x:c r="B273" s="174" t="str">
        <x:f>IF(A273="","",IFERROR(INDEX('Master Evidence'!$L$4:$L$503,MATCH(A273,'Master Evidence'!$A$4:$A$503,0)),""))</x:f>
      </x:c>
      <x:c r="C273" s="174"/>
      <x:c r="D273" s="174"/>
      <x:c r="E273" s="174"/>
      <x:c r="F273" s="174"/>
      <x:c r="G273" s="174"/>
      <x:c r="H273" s="174"/>
      <x:c r="I273" s="174"/>
      <x:c r="J273" s="177"/>
      <x:c r="K273" s="174"/>
      <x:c r="L273" s="174"/>
      <x:c r="M273" s="174"/>
    </x:row>
    <x:row r="274">
      <x:c r="A274" s="174"/>
      <x:c r="B274" s="174" t="str">
        <x:f>IF(A274="","",IFERROR(INDEX('Master Evidence'!$L$4:$L$503,MATCH(A274,'Master Evidence'!$A$4:$A$503,0)),""))</x:f>
      </x:c>
      <x:c r="C274" s="174"/>
      <x:c r="D274" s="174"/>
      <x:c r="E274" s="174"/>
      <x:c r="F274" s="174"/>
      <x:c r="G274" s="174"/>
      <x:c r="H274" s="174"/>
      <x:c r="I274" s="174"/>
      <x:c r="J274" s="177"/>
      <x:c r="K274" s="174"/>
      <x:c r="L274" s="174"/>
      <x:c r="M274" s="174"/>
    </x:row>
    <x:row r="275">
      <x:c r="A275" s="174"/>
      <x:c r="B275" s="174" t="str">
        <x:f>IF(A275="","",IFERROR(INDEX('Master Evidence'!$L$4:$L$503,MATCH(A275,'Master Evidence'!$A$4:$A$503,0)),""))</x:f>
      </x:c>
      <x:c r="C275" s="174"/>
      <x:c r="D275" s="174"/>
      <x:c r="E275" s="174"/>
      <x:c r="F275" s="174"/>
      <x:c r="G275" s="174"/>
      <x:c r="H275" s="174"/>
      <x:c r="I275" s="174"/>
      <x:c r="J275" s="177"/>
      <x:c r="K275" s="174"/>
      <x:c r="L275" s="174"/>
      <x:c r="M275" s="174"/>
    </x:row>
    <x:row r="276">
      <x:c r="A276" s="174"/>
      <x:c r="B276" s="174" t="str">
        <x:f>IF(A276="","",IFERROR(INDEX('Master Evidence'!$L$4:$L$503,MATCH(A276,'Master Evidence'!$A$4:$A$503,0)),""))</x:f>
      </x:c>
      <x:c r="C276" s="174"/>
      <x:c r="D276" s="174"/>
      <x:c r="E276" s="174"/>
      <x:c r="F276" s="174"/>
      <x:c r="G276" s="174"/>
      <x:c r="H276" s="174"/>
      <x:c r="I276" s="174"/>
      <x:c r="J276" s="177"/>
      <x:c r="K276" s="174"/>
      <x:c r="L276" s="174"/>
      <x:c r="M276" s="174"/>
    </x:row>
    <x:row r="277">
      <x:c r="A277" s="174"/>
      <x:c r="B277" s="174" t="str">
        <x:f>IF(A277="","",IFERROR(INDEX('Master Evidence'!$L$4:$L$503,MATCH(A277,'Master Evidence'!$A$4:$A$503,0)),""))</x:f>
      </x:c>
      <x:c r="C277" s="174"/>
      <x:c r="D277" s="174"/>
      <x:c r="E277" s="174"/>
      <x:c r="F277" s="174"/>
      <x:c r="G277" s="174"/>
      <x:c r="H277" s="174"/>
      <x:c r="I277" s="174"/>
      <x:c r="J277" s="177"/>
      <x:c r="K277" s="174"/>
      <x:c r="L277" s="174"/>
      <x:c r="M277" s="174"/>
    </x:row>
    <x:row r="278">
      <x:c r="A278" s="174"/>
      <x:c r="B278" s="174" t="str">
        <x:f>IF(A278="","",IFERROR(INDEX('Master Evidence'!$L$4:$L$503,MATCH(A278,'Master Evidence'!$A$4:$A$503,0)),""))</x:f>
      </x:c>
      <x:c r="C278" s="174"/>
      <x:c r="D278" s="174"/>
      <x:c r="E278" s="174"/>
      <x:c r="F278" s="174"/>
      <x:c r="G278" s="174"/>
      <x:c r="H278" s="174"/>
      <x:c r="I278" s="174"/>
      <x:c r="J278" s="177"/>
      <x:c r="K278" s="174"/>
      <x:c r="L278" s="174"/>
      <x:c r="M278" s="174"/>
    </x:row>
    <x:row r="279">
      <x:c r="A279" s="174"/>
      <x:c r="B279" s="174" t="str">
        <x:f>IF(A279="","",IFERROR(INDEX('Master Evidence'!$L$4:$L$503,MATCH(A279,'Master Evidence'!$A$4:$A$503,0)),""))</x:f>
      </x:c>
      <x:c r="C279" s="174"/>
      <x:c r="D279" s="174"/>
      <x:c r="E279" s="174"/>
      <x:c r="F279" s="174"/>
      <x:c r="G279" s="174"/>
      <x:c r="H279" s="174"/>
      <x:c r="I279" s="174"/>
      <x:c r="J279" s="177"/>
      <x:c r="K279" s="174"/>
      <x:c r="L279" s="174"/>
      <x:c r="M279" s="174"/>
    </x:row>
    <x:row r="280">
      <x:c r="A280" s="174"/>
      <x:c r="B280" s="174" t="str">
        <x:f>IF(A280="","",IFERROR(INDEX('Master Evidence'!$L$4:$L$503,MATCH(A280,'Master Evidence'!$A$4:$A$503,0)),""))</x:f>
      </x:c>
      <x:c r="C280" s="174"/>
      <x:c r="D280" s="174"/>
      <x:c r="E280" s="174"/>
      <x:c r="F280" s="174"/>
      <x:c r="G280" s="174"/>
      <x:c r="H280" s="174"/>
      <x:c r="I280" s="174"/>
      <x:c r="J280" s="177"/>
      <x:c r="K280" s="174"/>
      <x:c r="L280" s="174"/>
      <x:c r="M280" s="174"/>
    </x:row>
    <x:row r="281">
      <x:c r="A281" s="174"/>
      <x:c r="B281" s="174" t="str">
        <x:f>IF(A281="","",IFERROR(INDEX('Master Evidence'!$L$4:$L$503,MATCH(A281,'Master Evidence'!$A$4:$A$503,0)),""))</x:f>
      </x:c>
      <x:c r="C281" s="174"/>
      <x:c r="D281" s="174"/>
      <x:c r="E281" s="174"/>
      <x:c r="F281" s="174"/>
      <x:c r="G281" s="174"/>
      <x:c r="H281" s="174"/>
      <x:c r="I281" s="174"/>
      <x:c r="J281" s="177"/>
      <x:c r="K281" s="174"/>
      <x:c r="L281" s="174"/>
      <x:c r="M281" s="174"/>
    </x:row>
    <x:row r="282">
      <x:c r="A282" s="174"/>
      <x:c r="B282" s="174" t="str">
        <x:f>IF(A282="","",IFERROR(INDEX('Master Evidence'!$L$4:$L$503,MATCH(A282,'Master Evidence'!$A$4:$A$503,0)),""))</x:f>
      </x:c>
      <x:c r="C282" s="174"/>
      <x:c r="D282" s="174"/>
      <x:c r="E282" s="174"/>
      <x:c r="F282" s="174"/>
      <x:c r="G282" s="174"/>
      <x:c r="H282" s="174"/>
      <x:c r="I282" s="174"/>
      <x:c r="J282" s="177"/>
      <x:c r="K282" s="174"/>
      <x:c r="L282" s="174"/>
      <x:c r="M282" s="174"/>
    </x:row>
    <x:row r="283">
      <x:c r="A283" s="174"/>
      <x:c r="B283" s="174" t="str">
        <x:f>IF(A283="","",IFERROR(INDEX('Master Evidence'!$L$4:$L$503,MATCH(A283,'Master Evidence'!$A$4:$A$503,0)),""))</x:f>
      </x:c>
      <x:c r="C283" s="174"/>
      <x:c r="D283" s="174"/>
      <x:c r="E283" s="174"/>
      <x:c r="F283" s="174"/>
      <x:c r="G283" s="174"/>
      <x:c r="H283" s="174"/>
      <x:c r="I283" s="174"/>
      <x:c r="J283" s="177"/>
      <x:c r="K283" s="174"/>
      <x:c r="L283" s="174"/>
      <x:c r="M283" s="174"/>
    </x:row>
    <x:row r="284">
      <x:c r="A284" s="174"/>
      <x:c r="B284" s="174" t="str">
        <x:f>IF(A284="","",IFERROR(INDEX('Master Evidence'!$L$4:$L$503,MATCH(A284,'Master Evidence'!$A$4:$A$503,0)),""))</x:f>
      </x:c>
      <x:c r="C284" s="174"/>
      <x:c r="D284" s="174"/>
      <x:c r="E284" s="174"/>
      <x:c r="F284" s="174"/>
      <x:c r="G284" s="174"/>
      <x:c r="H284" s="174"/>
      <x:c r="I284" s="174"/>
      <x:c r="J284" s="177"/>
      <x:c r="K284" s="174"/>
      <x:c r="L284" s="174"/>
      <x:c r="M284" s="174"/>
    </x:row>
    <x:row r="285">
      <x:c r="A285" s="174"/>
      <x:c r="B285" s="174" t="str">
        <x:f>IF(A285="","",IFERROR(INDEX('Master Evidence'!$L$4:$L$503,MATCH(A285,'Master Evidence'!$A$4:$A$503,0)),""))</x:f>
      </x:c>
      <x:c r="C285" s="174"/>
      <x:c r="D285" s="174"/>
      <x:c r="E285" s="174"/>
      <x:c r="F285" s="174"/>
      <x:c r="G285" s="174"/>
      <x:c r="H285" s="174"/>
      <x:c r="I285" s="174"/>
      <x:c r="J285" s="177"/>
      <x:c r="K285" s="174"/>
      <x:c r="L285" s="174"/>
      <x:c r="M285" s="174"/>
    </x:row>
    <x:row r="286">
      <x:c r="A286" s="174"/>
      <x:c r="B286" s="174" t="str">
        <x:f>IF(A286="","",IFERROR(INDEX('Master Evidence'!$L$4:$L$503,MATCH(A286,'Master Evidence'!$A$4:$A$503,0)),""))</x:f>
      </x:c>
      <x:c r="C286" s="174"/>
      <x:c r="D286" s="174"/>
      <x:c r="E286" s="174"/>
      <x:c r="F286" s="174"/>
      <x:c r="G286" s="174"/>
      <x:c r="H286" s="174"/>
      <x:c r="I286" s="174"/>
      <x:c r="J286" s="177"/>
      <x:c r="K286" s="174"/>
      <x:c r="L286" s="174"/>
      <x:c r="M286" s="174"/>
    </x:row>
    <x:row r="287">
      <x:c r="A287" s="174"/>
      <x:c r="B287" s="174" t="str">
        <x:f>IF(A287="","",IFERROR(INDEX('Master Evidence'!$L$4:$L$503,MATCH(A287,'Master Evidence'!$A$4:$A$503,0)),""))</x:f>
      </x:c>
      <x:c r="C287" s="174"/>
      <x:c r="D287" s="174"/>
      <x:c r="E287" s="174"/>
      <x:c r="F287" s="174"/>
      <x:c r="G287" s="174"/>
      <x:c r="H287" s="174"/>
      <x:c r="I287" s="174"/>
      <x:c r="J287" s="177"/>
      <x:c r="K287" s="174"/>
      <x:c r="L287" s="174"/>
      <x:c r="M287" s="174"/>
    </x:row>
    <x:row r="288">
      <x:c r="A288" s="174"/>
      <x:c r="B288" s="174" t="str">
        <x:f>IF(A288="","",IFERROR(INDEX('Master Evidence'!$L$4:$L$503,MATCH(A288,'Master Evidence'!$A$4:$A$503,0)),""))</x:f>
      </x:c>
      <x:c r="C288" s="174"/>
      <x:c r="D288" s="174"/>
      <x:c r="E288" s="174"/>
      <x:c r="F288" s="174"/>
      <x:c r="G288" s="174"/>
      <x:c r="H288" s="174"/>
      <x:c r="I288" s="174"/>
      <x:c r="J288" s="177"/>
      <x:c r="K288" s="174"/>
      <x:c r="L288" s="174"/>
      <x:c r="M288" s="174"/>
    </x:row>
    <x:row r="289">
      <x:c r="A289" s="174"/>
      <x:c r="B289" s="174" t="str">
        <x:f>IF(A289="","",IFERROR(INDEX('Master Evidence'!$L$4:$L$503,MATCH(A289,'Master Evidence'!$A$4:$A$503,0)),""))</x:f>
      </x:c>
      <x:c r="C289" s="174"/>
      <x:c r="D289" s="174"/>
      <x:c r="E289" s="174"/>
      <x:c r="F289" s="174"/>
      <x:c r="G289" s="174"/>
      <x:c r="H289" s="174"/>
      <x:c r="I289" s="174"/>
      <x:c r="J289" s="177"/>
      <x:c r="K289" s="174"/>
      <x:c r="L289" s="174"/>
      <x:c r="M289" s="174"/>
    </x:row>
    <x:row r="290">
      <x:c r="A290" s="174"/>
      <x:c r="B290" s="174" t="str">
        <x:f>IF(A290="","",IFERROR(INDEX('Master Evidence'!$L$4:$L$503,MATCH(A290,'Master Evidence'!$A$4:$A$503,0)),""))</x:f>
      </x:c>
      <x:c r="C290" s="174"/>
      <x:c r="D290" s="174"/>
      <x:c r="E290" s="174"/>
      <x:c r="F290" s="174"/>
      <x:c r="G290" s="174"/>
      <x:c r="H290" s="174"/>
      <x:c r="I290" s="174"/>
      <x:c r="J290" s="177"/>
      <x:c r="K290" s="174"/>
      <x:c r="L290" s="174"/>
      <x:c r="M290" s="174"/>
    </x:row>
    <x:row r="291">
      <x:c r="A291" s="174"/>
      <x:c r="B291" s="174" t="str">
        <x:f>IF(A291="","",IFERROR(INDEX('Master Evidence'!$L$4:$L$503,MATCH(A291,'Master Evidence'!$A$4:$A$503,0)),""))</x:f>
      </x:c>
      <x:c r="C291" s="174"/>
      <x:c r="D291" s="174"/>
      <x:c r="E291" s="174"/>
      <x:c r="F291" s="174"/>
      <x:c r="G291" s="174"/>
      <x:c r="H291" s="174"/>
      <x:c r="I291" s="174"/>
      <x:c r="J291" s="177"/>
      <x:c r="K291" s="174"/>
      <x:c r="L291" s="174"/>
      <x:c r="M291" s="174"/>
    </x:row>
    <x:row r="292">
      <x:c r="A292" s="174"/>
      <x:c r="B292" s="174" t="str">
        <x:f>IF(A292="","",IFERROR(INDEX('Master Evidence'!$L$4:$L$503,MATCH(A292,'Master Evidence'!$A$4:$A$503,0)),""))</x:f>
      </x:c>
      <x:c r="C292" s="174"/>
      <x:c r="D292" s="174"/>
      <x:c r="E292" s="174"/>
      <x:c r="F292" s="174"/>
      <x:c r="G292" s="174"/>
      <x:c r="H292" s="174"/>
      <x:c r="I292" s="174"/>
      <x:c r="J292" s="177"/>
      <x:c r="K292" s="174"/>
      <x:c r="L292" s="174"/>
      <x:c r="M292" s="174"/>
    </x:row>
    <x:row r="293">
      <x:c r="A293" s="174"/>
      <x:c r="B293" s="174" t="str">
        <x:f>IF(A293="","",IFERROR(INDEX('Master Evidence'!$L$4:$L$503,MATCH(A293,'Master Evidence'!$A$4:$A$503,0)),""))</x:f>
      </x:c>
      <x:c r="C293" s="174"/>
      <x:c r="D293" s="174"/>
      <x:c r="E293" s="174"/>
      <x:c r="F293" s="174"/>
      <x:c r="G293" s="174"/>
      <x:c r="H293" s="174"/>
      <x:c r="I293" s="174"/>
      <x:c r="J293" s="177"/>
      <x:c r="K293" s="174"/>
      <x:c r="L293" s="174"/>
      <x:c r="M293" s="174"/>
    </x:row>
    <x:row r="294">
      <x:c r="A294" s="174"/>
      <x:c r="B294" s="174" t="str">
        <x:f>IF(A294="","",IFERROR(INDEX('Master Evidence'!$L$4:$L$503,MATCH(A294,'Master Evidence'!$A$4:$A$503,0)),""))</x:f>
      </x:c>
      <x:c r="C294" s="174"/>
      <x:c r="D294" s="174"/>
      <x:c r="E294" s="174"/>
      <x:c r="F294" s="174"/>
      <x:c r="G294" s="174"/>
      <x:c r="H294" s="174"/>
      <x:c r="I294" s="174"/>
      <x:c r="J294" s="177"/>
      <x:c r="K294" s="174"/>
      <x:c r="L294" s="174"/>
      <x:c r="M294" s="174"/>
    </x:row>
    <x:row r="295">
      <x:c r="A295" s="174"/>
      <x:c r="B295" s="174" t="str">
        <x:f>IF(A295="","",IFERROR(INDEX('Master Evidence'!$L$4:$L$503,MATCH(A295,'Master Evidence'!$A$4:$A$503,0)),""))</x:f>
      </x:c>
      <x:c r="C295" s="174"/>
      <x:c r="D295" s="174"/>
      <x:c r="E295" s="174"/>
      <x:c r="F295" s="174"/>
      <x:c r="G295" s="174"/>
      <x:c r="H295" s="174"/>
      <x:c r="I295" s="174"/>
      <x:c r="J295" s="177"/>
      <x:c r="K295" s="174"/>
      <x:c r="L295" s="174"/>
      <x:c r="M295" s="174"/>
    </x:row>
    <x:row r="296">
      <x:c r="A296" s="174"/>
      <x:c r="B296" s="174" t="str">
        <x:f>IF(A296="","",IFERROR(INDEX('Master Evidence'!$L$4:$L$503,MATCH(A296,'Master Evidence'!$A$4:$A$503,0)),""))</x:f>
      </x:c>
      <x:c r="C296" s="174"/>
      <x:c r="D296" s="174"/>
      <x:c r="E296" s="174"/>
      <x:c r="F296" s="174"/>
      <x:c r="G296" s="174"/>
      <x:c r="H296" s="174"/>
      <x:c r="I296" s="174"/>
      <x:c r="J296" s="177"/>
      <x:c r="K296" s="174"/>
      <x:c r="L296" s="174"/>
      <x:c r="M296" s="174"/>
    </x:row>
    <x:row r="297">
      <x:c r="A297" s="174"/>
      <x:c r="B297" s="174" t="str">
        <x:f>IF(A297="","",IFERROR(INDEX('Master Evidence'!$L$4:$L$503,MATCH(A297,'Master Evidence'!$A$4:$A$503,0)),""))</x:f>
      </x:c>
      <x:c r="C297" s="174"/>
      <x:c r="D297" s="174"/>
      <x:c r="E297" s="174"/>
      <x:c r="F297" s="174"/>
      <x:c r="G297" s="174"/>
      <x:c r="H297" s="174"/>
      <x:c r="I297" s="174"/>
      <x:c r="J297" s="177"/>
      <x:c r="K297" s="174"/>
      <x:c r="L297" s="174"/>
      <x:c r="M297" s="174"/>
    </x:row>
    <x:row r="298">
      <x:c r="A298" s="174"/>
      <x:c r="B298" s="174" t="str">
        <x:f>IF(A298="","",IFERROR(INDEX('Master Evidence'!$L$4:$L$503,MATCH(A298,'Master Evidence'!$A$4:$A$503,0)),""))</x:f>
      </x:c>
      <x:c r="C298" s="174"/>
      <x:c r="D298" s="174"/>
      <x:c r="E298" s="174"/>
      <x:c r="F298" s="174"/>
      <x:c r="G298" s="174"/>
      <x:c r="H298" s="174"/>
      <x:c r="I298" s="174"/>
      <x:c r="J298" s="177"/>
      <x:c r="K298" s="174"/>
      <x:c r="L298" s="174"/>
      <x:c r="M298" s="174"/>
    </x:row>
    <x:row r="299">
      <x:c r="A299" s="174"/>
      <x:c r="B299" s="174" t="str">
        <x:f>IF(A299="","",IFERROR(INDEX('Master Evidence'!$L$4:$L$503,MATCH(A299,'Master Evidence'!$A$4:$A$503,0)),""))</x:f>
      </x:c>
      <x:c r="C299" s="174"/>
      <x:c r="D299" s="174"/>
      <x:c r="E299" s="174"/>
      <x:c r="F299" s="174"/>
      <x:c r="G299" s="174"/>
      <x:c r="H299" s="174"/>
      <x:c r="I299" s="174"/>
      <x:c r="J299" s="177"/>
      <x:c r="K299" s="174"/>
      <x:c r="L299" s="174"/>
      <x:c r="M299" s="174"/>
    </x:row>
    <x:row r="300">
      <x:c r="A300" s="174"/>
      <x:c r="B300" s="174" t="str">
        <x:f>IF(A300="","",IFERROR(INDEX('Master Evidence'!$L$4:$L$503,MATCH(A300,'Master Evidence'!$A$4:$A$503,0)),""))</x:f>
      </x:c>
      <x:c r="C300" s="174"/>
      <x:c r="D300" s="174"/>
      <x:c r="E300" s="174"/>
      <x:c r="F300" s="174"/>
      <x:c r="G300" s="174"/>
      <x:c r="H300" s="174"/>
      <x:c r="I300" s="174"/>
      <x:c r="J300" s="177"/>
      <x:c r="K300" s="174"/>
      <x:c r="L300" s="174"/>
      <x:c r="M300" s="174"/>
    </x:row>
    <x:row r="301">
      <x:c r="A301" s="174"/>
      <x:c r="B301" s="174" t="str">
        <x:f>IF(A301="","",IFERROR(INDEX('Master Evidence'!$L$4:$L$503,MATCH(A301,'Master Evidence'!$A$4:$A$503,0)),""))</x:f>
      </x:c>
      <x:c r="C301" s="174"/>
      <x:c r="D301" s="174"/>
      <x:c r="E301" s="174"/>
      <x:c r="F301" s="174"/>
      <x:c r="G301" s="174"/>
      <x:c r="H301" s="174"/>
      <x:c r="I301" s="174"/>
      <x:c r="J301" s="177"/>
      <x:c r="K301" s="174"/>
      <x:c r="L301" s="174"/>
      <x:c r="M301" s="174"/>
    </x:row>
    <x:row r="302">
      <x:c r="A302" s="174"/>
      <x:c r="B302" s="174" t="str">
        <x:f>IF(A302="","",IFERROR(INDEX('Master Evidence'!$L$4:$L$503,MATCH(A302,'Master Evidence'!$A$4:$A$503,0)),""))</x:f>
      </x:c>
      <x:c r="C302" s="174"/>
      <x:c r="D302" s="174"/>
      <x:c r="E302" s="174"/>
      <x:c r="F302" s="174"/>
      <x:c r="G302" s="174"/>
      <x:c r="H302" s="174"/>
      <x:c r="I302" s="174"/>
      <x:c r="J302" s="177"/>
      <x:c r="K302" s="174"/>
      <x:c r="L302" s="174"/>
      <x:c r="M302" s="174"/>
    </x:row>
    <x:row r="303">
      <x:c r="A303" s="174"/>
      <x:c r="B303" s="174" t="str">
        <x:f>IF(A303="","",IFERROR(INDEX('Master Evidence'!$L$4:$L$503,MATCH(A303,'Master Evidence'!$A$4:$A$503,0)),""))</x:f>
      </x:c>
      <x:c r="C303" s="174"/>
      <x:c r="D303" s="174"/>
      <x:c r="E303" s="174"/>
      <x:c r="F303" s="174"/>
      <x:c r="G303" s="174"/>
      <x:c r="H303" s="174"/>
      <x:c r="I303" s="174"/>
      <x:c r="J303" s="177"/>
      <x:c r="K303" s="174"/>
      <x:c r="L303" s="174"/>
      <x:c r="M303" s="174"/>
    </x:row>
    <x:row r="304">
      <x:c r="A304" s="174"/>
      <x:c r="B304" s="174" t="str">
        <x:f>IF(A304="","",IFERROR(INDEX('Master Evidence'!$L$4:$L$503,MATCH(A304,'Master Evidence'!$A$4:$A$503,0)),""))</x:f>
      </x:c>
      <x:c r="C304" s="174"/>
      <x:c r="D304" s="174"/>
      <x:c r="E304" s="174"/>
      <x:c r="F304" s="174"/>
      <x:c r="G304" s="174"/>
      <x:c r="H304" s="174"/>
      <x:c r="I304" s="174"/>
      <x:c r="J304" s="177"/>
      <x:c r="K304" s="174"/>
      <x:c r="L304" s="174"/>
      <x:c r="M304" s="174"/>
    </x:row>
    <x:row r="305">
      <x:c r="A305" s="174"/>
      <x:c r="B305" s="174" t="str">
        <x:f>IF(A305="","",IFERROR(INDEX('Master Evidence'!$L$4:$L$503,MATCH(A305,'Master Evidence'!$A$4:$A$503,0)),""))</x:f>
      </x:c>
      <x:c r="C305" s="174"/>
      <x:c r="D305" s="174"/>
      <x:c r="E305" s="174"/>
      <x:c r="F305" s="174"/>
      <x:c r="G305" s="174"/>
      <x:c r="H305" s="174"/>
      <x:c r="I305" s="174"/>
      <x:c r="J305" s="177"/>
      <x:c r="K305" s="174"/>
      <x:c r="L305" s="174"/>
      <x:c r="M305" s="174"/>
    </x:row>
    <x:row r="306">
      <x:c r="A306" s="174"/>
      <x:c r="B306" s="174" t="str">
        <x:f>IF(A306="","",IFERROR(INDEX('Master Evidence'!$L$4:$L$503,MATCH(A306,'Master Evidence'!$A$4:$A$503,0)),""))</x:f>
      </x:c>
      <x:c r="C306" s="174"/>
      <x:c r="D306" s="174"/>
      <x:c r="E306" s="174"/>
      <x:c r="F306" s="174"/>
      <x:c r="G306" s="174"/>
      <x:c r="H306" s="174"/>
      <x:c r="I306" s="174"/>
      <x:c r="J306" s="177"/>
      <x:c r="K306" s="174"/>
      <x:c r="L306" s="174"/>
      <x:c r="M306" s="174"/>
    </x:row>
    <x:row r="307">
      <x:c r="A307" s="174"/>
      <x:c r="B307" s="174" t="str">
        <x:f>IF(A307="","",IFERROR(INDEX('Master Evidence'!$L$4:$L$503,MATCH(A307,'Master Evidence'!$A$4:$A$503,0)),""))</x:f>
      </x:c>
      <x:c r="C307" s="174"/>
      <x:c r="D307" s="174"/>
      <x:c r="E307" s="174"/>
      <x:c r="F307" s="174"/>
      <x:c r="G307" s="174"/>
      <x:c r="H307" s="174"/>
      <x:c r="I307" s="174"/>
      <x:c r="J307" s="177"/>
      <x:c r="K307" s="174"/>
      <x:c r="L307" s="174"/>
      <x:c r="M307" s="174"/>
    </x:row>
    <x:row r="308">
      <x:c r="A308" s="174"/>
      <x:c r="B308" s="174" t="str">
        <x:f>IF(A308="","",IFERROR(INDEX('Master Evidence'!$L$4:$L$503,MATCH(A308,'Master Evidence'!$A$4:$A$503,0)),""))</x:f>
      </x:c>
      <x:c r="C308" s="174"/>
      <x:c r="D308" s="174"/>
      <x:c r="E308" s="174"/>
      <x:c r="F308" s="174"/>
      <x:c r="G308" s="174"/>
      <x:c r="H308" s="174"/>
      <x:c r="I308" s="174"/>
      <x:c r="J308" s="177"/>
      <x:c r="K308" s="174"/>
      <x:c r="L308" s="174"/>
      <x:c r="M308" s="174"/>
    </x:row>
    <x:row r="309">
      <x:c r="A309" s="174"/>
      <x:c r="B309" s="174" t="str">
        <x:f>IF(A309="","",IFERROR(INDEX('Master Evidence'!$L$4:$L$503,MATCH(A309,'Master Evidence'!$A$4:$A$503,0)),""))</x:f>
      </x:c>
      <x:c r="C309" s="174"/>
      <x:c r="D309" s="174"/>
      <x:c r="E309" s="174"/>
      <x:c r="F309" s="174"/>
      <x:c r="G309" s="174"/>
      <x:c r="H309" s="174"/>
      <x:c r="I309" s="174"/>
      <x:c r="J309" s="177"/>
      <x:c r="K309" s="174"/>
      <x:c r="L309" s="174"/>
      <x:c r="M309" s="174"/>
    </x:row>
    <x:row r="310">
      <x:c r="A310" s="174"/>
      <x:c r="B310" s="174" t="str">
        <x:f>IF(A310="","",IFERROR(INDEX('Master Evidence'!$L$4:$L$503,MATCH(A310,'Master Evidence'!$A$4:$A$503,0)),""))</x:f>
      </x:c>
      <x:c r="C310" s="174"/>
      <x:c r="D310" s="174"/>
      <x:c r="E310" s="174"/>
      <x:c r="F310" s="174"/>
      <x:c r="G310" s="174"/>
      <x:c r="H310" s="174"/>
      <x:c r="I310" s="174"/>
      <x:c r="J310" s="177"/>
      <x:c r="K310" s="174"/>
      <x:c r="L310" s="174"/>
      <x:c r="M310" s="174"/>
    </x:row>
    <x:row r="311">
      <x:c r="A311" s="174"/>
      <x:c r="B311" s="174" t="str">
        <x:f>IF(A311="","",IFERROR(INDEX('Master Evidence'!$L$4:$L$503,MATCH(A311,'Master Evidence'!$A$4:$A$503,0)),""))</x:f>
      </x:c>
      <x:c r="C311" s="174"/>
      <x:c r="D311" s="174"/>
      <x:c r="E311" s="174"/>
      <x:c r="F311" s="174"/>
      <x:c r="G311" s="174"/>
      <x:c r="H311" s="174"/>
      <x:c r="I311" s="174"/>
      <x:c r="J311" s="177"/>
      <x:c r="K311" s="174"/>
      <x:c r="L311" s="174"/>
      <x:c r="M311" s="174"/>
    </x:row>
    <x:row r="312">
      <x:c r="A312" s="174"/>
      <x:c r="B312" s="174" t="str">
        <x:f>IF(A312="","",IFERROR(INDEX('Master Evidence'!$L$4:$L$503,MATCH(A312,'Master Evidence'!$A$4:$A$503,0)),""))</x:f>
      </x:c>
      <x:c r="C312" s="174"/>
      <x:c r="D312" s="174"/>
      <x:c r="E312" s="174"/>
      <x:c r="F312" s="174"/>
      <x:c r="G312" s="174"/>
      <x:c r="H312" s="174"/>
      <x:c r="I312" s="174"/>
      <x:c r="J312" s="177"/>
      <x:c r="K312" s="174"/>
      <x:c r="L312" s="174"/>
      <x:c r="M312" s="174"/>
    </x:row>
    <x:row r="313">
      <x:c r="A313" s="174"/>
      <x:c r="B313" s="174" t="str">
        <x:f>IF(A313="","",IFERROR(INDEX('Master Evidence'!$L$4:$L$503,MATCH(A313,'Master Evidence'!$A$4:$A$503,0)),""))</x:f>
      </x:c>
      <x:c r="C313" s="174"/>
      <x:c r="D313" s="174"/>
      <x:c r="E313" s="174"/>
      <x:c r="F313" s="174"/>
      <x:c r="G313" s="174"/>
      <x:c r="H313" s="174"/>
      <x:c r="I313" s="174"/>
      <x:c r="J313" s="177"/>
      <x:c r="K313" s="174"/>
      <x:c r="L313" s="174"/>
      <x:c r="M313" s="174"/>
    </x:row>
    <x:row r="314">
      <x:c r="A314" s="174"/>
      <x:c r="B314" s="174" t="str">
        <x:f>IF(A314="","",IFERROR(INDEX('Master Evidence'!$L$4:$L$503,MATCH(A314,'Master Evidence'!$A$4:$A$503,0)),""))</x:f>
      </x:c>
      <x:c r="C314" s="174"/>
      <x:c r="D314" s="174"/>
      <x:c r="E314" s="174"/>
      <x:c r="F314" s="174"/>
      <x:c r="G314" s="174"/>
      <x:c r="H314" s="174"/>
      <x:c r="I314" s="174"/>
      <x:c r="J314" s="177"/>
      <x:c r="K314" s="174"/>
      <x:c r="L314" s="174"/>
      <x:c r="M314" s="174"/>
    </x:row>
    <x:row r="315">
      <x:c r="A315" s="174"/>
      <x:c r="B315" s="174" t="str">
        <x:f>IF(A315="","",IFERROR(INDEX('Master Evidence'!$L$4:$L$503,MATCH(A315,'Master Evidence'!$A$4:$A$503,0)),""))</x:f>
      </x:c>
      <x:c r="C315" s="174"/>
      <x:c r="D315" s="174"/>
      <x:c r="E315" s="174"/>
      <x:c r="F315" s="174"/>
      <x:c r="G315" s="174"/>
      <x:c r="H315" s="174"/>
      <x:c r="I315" s="174"/>
      <x:c r="J315" s="177"/>
      <x:c r="K315" s="174"/>
      <x:c r="L315" s="174"/>
      <x:c r="M315" s="174"/>
    </x:row>
    <x:row r="316">
      <x:c r="A316" s="174"/>
      <x:c r="B316" s="174" t="str">
        <x:f>IF(A316="","",IFERROR(INDEX('Master Evidence'!$L$4:$L$503,MATCH(A316,'Master Evidence'!$A$4:$A$503,0)),""))</x:f>
      </x:c>
      <x:c r="C316" s="174"/>
      <x:c r="D316" s="174"/>
      <x:c r="E316" s="174"/>
      <x:c r="F316" s="174"/>
      <x:c r="G316" s="174"/>
      <x:c r="H316" s="174"/>
      <x:c r="I316" s="174"/>
      <x:c r="J316" s="177"/>
      <x:c r="K316" s="174"/>
      <x:c r="L316" s="174"/>
      <x:c r="M316" s="174"/>
    </x:row>
    <x:row r="317">
      <x:c r="A317" s="174"/>
      <x:c r="B317" s="174" t="str">
        <x:f>IF(A317="","",IFERROR(INDEX('Master Evidence'!$L$4:$L$503,MATCH(A317,'Master Evidence'!$A$4:$A$503,0)),""))</x:f>
      </x:c>
      <x:c r="C317" s="174"/>
      <x:c r="D317" s="174"/>
      <x:c r="E317" s="174"/>
      <x:c r="F317" s="174"/>
      <x:c r="G317" s="174"/>
      <x:c r="H317" s="174"/>
      <x:c r="I317" s="174"/>
      <x:c r="J317" s="177"/>
      <x:c r="K317" s="174"/>
      <x:c r="L317" s="174"/>
      <x:c r="M317" s="174"/>
    </x:row>
    <x:row r="318">
      <x:c r="A318" s="174"/>
      <x:c r="B318" s="174" t="str">
        <x:f>IF(A318="","",IFERROR(INDEX('Master Evidence'!$L$4:$L$503,MATCH(A318,'Master Evidence'!$A$4:$A$503,0)),""))</x:f>
      </x:c>
      <x:c r="C318" s="174"/>
      <x:c r="D318" s="174"/>
      <x:c r="E318" s="174"/>
      <x:c r="F318" s="174"/>
      <x:c r="G318" s="174"/>
      <x:c r="H318" s="174"/>
      <x:c r="I318" s="174"/>
      <x:c r="J318" s="177"/>
      <x:c r="K318" s="174"/>
      <x:c r="L318" s="174"/>
      <x:c r="M318" s="174"/>
    </x:row>
    <x:row r="319">
      <x:c r="A319" s="174"/>
      <x:c r="B319" s="174" t="str">
        <x:f>IF(A319="","",IFERROR(INDEX('Master Evidence'!$L$4:$L$503,MATCH(A319,'Master Evidence'!$A$4:$A$503,0)),""))</x:f>
      </x:c>
      <x:c r="C319" s="174"/>
      <x:c r="D319" s="174"/>
      <x:c r="E319" s="174"/>
      <x:c r="F319" s="174"/>
      <x:c r="G319" s="174"/>
      <x:c r="H319" s="174"/>
      <x:c r="I319" s="174"/>
      <x:c r="J319" s="177"/>
      <x:c r="K319" s="174"/>
      <x:c r="L319" s="174"/>
      <x:c r="M319" s="174"/>
    </x:row>
    <x:row r="320">
      <x:c r="A320" s="174"/>
      <x:c r="B320" s="174" t="str">
        <x:f>IF(A320="","",IFERROR(INDEX('Master Evidence'!$L$4:$L$503,MATCH(A320,'Master Evidence'!$A$4:$A$503,0)),""))</x:f>
      </x:c>
      <x:c r="C320" s="174"/>
      <x:c r="D320" s="174"/>
      <x:c r="E320" s="174"/>
      <x:c r="F320" s="174"/>
      <x:c r="G320" s="174"/>
      <x:c r="H320" s="174"/>
      <x:c r="I320" s="174"/>
      <x:c r="J320" s="177"/>
      <x:c r="K320" s="174"/>
      <x:c r="L320" s="174"/>
      <x:c r="M320" s="174"/>
    </x:row>
    <x:row r="321">
      <x:c r="A321" s="174"/>
      <x:c r="B321" s="174" t="str">
        <x:f>IF(A321="","",IFERROR(INDEX('Master Evidence'!$L$4:$L$503,MATCH(A321,'Master Evidence'!$A$4:$A$503,0)),""))</x:f>
      </x:c>
      <x:c r="C321" s="174"/>
      <x:c r="D321" s="174"/>
      <x:c r="E321" s="174"/>
      <x:c r="F321" s="174"/>
      <x:c r="G321" s="174"/>
      <x:c r="H321" s="174"/>
      <x:c r="I321" s="174"/>
      <x:c r="J321" s="177"/>
      <x:c r="K321" s="174"/>
      <x:c r="L321" s="174"/>
      <x:c r="M321" s="174"/>
    </x:row>
    <x:row r="322">
      <x:c r="A322" s="174"/>
      <x:c r="B322" s="174" t="str">
        <x:f>IF(A322="","",IFERROR(INDEX('Master Evidence'!$L$4:$L$503,MATCH(A322,'Master Evidence'!$A$4:$A$503,0)),""))</x:f>
      </x:c>
      <x:c r="C322" s="174"/>
      <x:c r="D322" s="174"/>
      <x:c r="E322" s="174"/>
      <x:c r="F322" s="174"/>
      <x:c r="G322" s="174"/>
      <x:c r="H322" s="174"/>
      <x:c r="I322" s="174"/>
      <x:c r="J322" s="177"/>
      <x:c r="K322" s="174"/>
      <x:c r="L322" s="174"/>
      <x:c r="M322" s="174"/>
    </x:row>
    <x:row r="323">
      <x:c r="A323" s="174"/>
      <x:c r="B323" s="174" t="str">
        <x:f>IF(A323="","",IFERROR(INDEX('Master Evidence'!$L$4:$L$503,MATCH(A323,'Master Evidence'!$A$4:$A$503,0)),""))</x:f>
      </x:c>
      <x:c r="C323" s="174"/>
      <x:c r="D323" s="174"/>
      <x:c r="E323" s="174"/>
      <x:c r="F323" s="174"/>
      <x:c r="G323" s="174"/>
      <x:c r="H323" s="174"/>
      <x:c r="I323" s="174"/>
      <x:c r="J323" s="177"/>
      <x:c r="K323" s="174"/>
      <x:c r="L323" s="174"/>
      <x:c r="M323" s="174"/>
    </x:row>
    <x:row r="324">
      <x:c r="A324" s="174"/>
      <x:c r="B324" s="174" t="str">
        <x:f>IF(A324="","",IFERROR(INDEX('Master Evidence'!$L$4:$L$503,MATCH(A324,'Master Evidence'!$A$4:$A$503,0)),""))</x:f>
      </x:c>
      <x:c r="C324" s="174"/>
      <x:c r="D324" s="174"/>
      <x:c r="E324" s="174"/>
      <x:c r="F324" s="174"/>
      <x:c r="G324" s="174"/>
      <x:c r="H324" s="174"/>
      <x:c r="I324" s="174"/>
      <x:c r="J324" s="177"/>
      <x:c r="K324" s="174"/>
      <x:c r="L324" s="174"/>
      <x:c r="M324" s="174"/>
    </x:row>
    <x:row r="325">
      <x:c r="A325" s="174"/>
      <x:c r="B325" s="174" t="str">
        <x:f>IF(A325="","",IFERROR(INDEX('Master Evidence'!$L$4:$L$503,MATCH(A325,'Master Evidence'!$A$4:$A$503,0)),""))</x:f>
      </x:c>
      <x:c r="C325" s="174"/>
      <x:c r="D325" s="174"/>
      <x:c r="E325" s="174"/>
      <x:c r="F325" s="174"/>
      <x:c r="G325" s="174"/>
      <x:c r="H325" s="174"/>
      <x:c r="I325" s="174"/>
      <x:c r="J325" s="177"/>
      <x:c r="K325" s="174"/>
      <x:c r="L325" s="174"/>
      <x:c r="M325" s="174"/>
    </x:row>
    <x:row r="326">
      <x:c r="A326" s="174"/>
      <x:c r="B326" s="174" t="str">
        <x:f>IF(A326="","",IFERROR(INDEX('Master Evidence'!$L$4:$L$503,MATCH(A326,'Master Evidence'!$A$4:$A$503,0)),""))</x:f>
      </x:c>
      <x:c r="C326" s="174"/>
      <x:c r="D326" s="174"/>
      <x:c r="E326" s="174"/>
      <x:c r="F326" s="174"/>
      <x:c r="G326" s="174"/>
      <x:c r="H326" s="174"/>
      <x:c r="I326" s="174"/>
      <x:c r="J326" s="177"/>
      <x:c r="K326" s="174"/>
      <x:c r="L326" s="174"/>
      <x:c r="M326" s="174"/>
    </x:row>
    <x:row r="327">
      <x:c r="A327" s="174"/>
      <x:c r="B327" s="174" t="str">
        <x:f>IF(A327="","",IFERROR(INDEX('Master Evidence'!$L$4:$L$503,MATCH(A327,'Master Evidence'!$A$4:$A$503,0)),""))</x:f>
      </x:c>
      <x:c r="C327" s="174"/>
      <x:c r="D327" s="174"/>
      <x:c r="E327" s="174"/>
      <x:c r="F327" s="174"/>
      <x:c r="G327" s="174"/>
      <x:c r="H327" s="174"/>
      <x:c r="I327" s="174"/>
      <x:c r="J327" s="177"/>
      <x:c r="K327" s="174"/>
      <x:c r="L327" s="174"/>
      <x:c r="M327" s="174"/>
    </x:row>
    <x:row r="328">
      <x:c r="A328" s="174"/>
      <x:c r="B328" s="174" t="str">
        <x:f>IF(A328="","",IFERROR(INDEX('Master Evidence'!$L$4:$L$503,MATCH(A328,'Master Evidence'!$A$4:$A$503,0)),""))</x:f>
      </x:c>
      <x:c r="C328" s="174"/>
      <x:c r="D328" s="174"/>
      <x:c r="E328" s="174"/>
      <x:c r="F328" s="174"/>
      <x:c r="G328" s="174"/>
      <x:c r="H328" s="174"/>
      <x:c r="I328" s="174"/>
      <x:c r="J328" s="177"/>
      <x:c r="K328" s="174"/>
      <x:c r="L328" s="174"/>
      <x:c r="M328" s="174"/>
    </x:row>
    <x:row r="329">
      <x:c r="A329" s="174"/>
      <x:c r="B329" s="174" t="str">
        <x:f>IF(A329="","",IFERROR(INDEX('Master Evidence'!$L$4:$L$503,MATCH(A329,'Master Evidence'!$A$4:$A$503,0)),""))</x:f>
      </x:c>
      <x:c r="C329" s="174"/>
      <x:c r="D329" s="174"/>
      <x:c r="E329" s="174"/>
      <x:c r="F329" s="174"/>
      <x:c r="G329" s="174"/>
      <x:c r="H329" s="174"/>
      <x:c r="I329" s="174"/>
      <x:c r="J329" s="177"/>
      <x:c r="K329" s="174"/>
      <x:c r="L329" s="174"/>
      <x:c r="M329" s="174"/>
    </x:row>
    <x:row r="330">
      <x:c r="A330" s="174"/>
      <x:c r="B330" s="174" t="str">
        <x:f>IF(A330="","",IFERROR(INDEX('Master Evidence'!$L$4:$L$503,MATCH(A330,'Master Evidence'!$A$4:$A$503,0)),""))</x:f>
      </x:c>
      <x:c r="C330" s="174"/>
      <x:c r="D330" s="174"/>
      <x:c r="E330" s="174"/>
      <x:c r="F330" s="174"/>
      <x:c r="G330" s="174"/>
      <x:c r="H330" s="174"/>
      <x:c r="I330" s="174"/>
      <x:c r="J330" s="177"/>
      <x:c r="K330" s="174"/>
      <x:c r="L330" s="174"/>
      <x:c r="M330" s="174"/>
    </x:row>
    <x:row r="331">
      <x:c r="A331" s="174"/>
      <x:c r="B331" s="174" t="str">
        <x:f>IF(A331="","",IFERROR(INDEX('Master Evidence'!$L$4:$L$503,MATCH(A331,'Master Evidence'!$A$4:$A$503,0)),""))</x:f>
      </x:c>
      <x:c r="C331" s="174"/>
      <x:c r="D331" s="174"/>
      <x:c r="E331" s="174"/>
      <x:c r="F331" s="174"/>
      <x:c r="G331" s="174"/>
      <x:c r="H331" s="174"/>
      <x:c r="I331" s="174"/>
      <x:c r="J331" s="177"/>
      <x:c r="K331" s="174"/>
      <x:c r="L331" s="174"/>
      <x:c r="M331" s="174"/>
    </x:row>
    <x:row r="332">
      <x:c r="A332" s="174"/>
      <x:c r="B332" s="174" t="str">
        <x:f>IF(A332="","",IFERROR(INDEX('Master Evidence'!$L$4:$L$503,MATCH(A332,'Master Evidence'!$A$4:$A$503,0)),""))</x:f>
      </x:c>
      <x:c r="C332" s="174"/>
      <x:c r="D332" s="174"/>
      <x:c r="E332" s="174"/>
      <x:c r="F332" s="174"/>
      <x:c r="G332" s="174"/>
      <x:c r="H332" s="174"/>
      <x:c r="I332" s="174"/>
      <x:c r="J332" s="177"/>
      <x:c r="K332" s="174"/>
      <x:c r="L332" s="174"/>
      <x:c r="M332" s="174"/>
    </x:row>
    <x:row r="333">
      <x:c r="A333" s="174"/>
      <x:c r="B333" s="174" t="str">
        <x:f>IF(A333="","",IFERROR(INDEX('Master Evidence'!$L$4:$L$503,MATCH(A333,'Master Evidence'!$A$4:$A$503,0)),""))</x:f>
      </x:c>
      <x:c r="C333" s="174"/>
      <x:c r="D333" s="174"/>
      <x:c r="E333" s="174"/>
      <x:c r="F333" s="174"/>
      <x:c r="G333" s="174"/>
      <x:c r="H333" s="174"/>
      <x:c r="I333" s="174"/>
      <x:c r="J333" s="177"/>
      <x:c r="K333" s="174"/>
      <x:c r="L333" s="174"/>
      <x:c r="M333" s="174"/>
    </x:row>
    <x:row r="334">
      <x:c r="A334" s="174"/>
      <x:c r="B334" s="174" t="str">
        <x:f>IF(A334="","",IFERROR(INDEX('Master Evidence'!$L$4:$L$503,MATCH(A334,'Master Evidence'!$A$4:$A$503,0)),""))</x:f>
      </x:c>
      <x:c r="C334" s="174"/>
      <x:c r="D334" s="174"/>
      <x:c r="E334" s="174"/>
      <x:c r="F334" s="174"/>
      <x:c r="G334" s="174"/>
      <x:c r="H334" s="174"/>
      <x:c r="I334" s="174"/>
      <x:c r="J334" s="177"/>
      <x:c r="K334" s="174"/>
      <x:c r="L334" s="174"/>
      <x:c r="M334" s="174"/>
    </x:row>
    <x:row r="335">
      <x:c r="A335" s="174"/>
      <x:c r="B335" s="174" t="str">
        <x:f>IF(A335="","",IFERROR(INDEX('Master Evidence'!$L$4:$L$503,MATCH(A335,'Master Evidence'!$A$4:$A$503,0)),""))</x:f>
      </x:c>
      <x:c r="C335" s="174"/>
      <x:c r="D335" s="174"/>
      <x:c r="E335" s="174"/>
      <x:c r="F335" s="174"/>
      <x:c r="G335" s="174"/>
      <x:c r="H335" s="174"/>
      <x:c r="I335" s="174"/>
      <x:c r="J335" s="177"/>
      <x:c r="K335" s="174"/>
      <x:c r="L335" s="174"/>
      <x:c r="M335" s="174"/>
    </x:row>
    <x:row r="336">
      <x:c r="A336" s="174"/>
      <x:c r="B336" s="174" t="str">
        <x:f>IF(A336="","",IFERROR(INDEX('Master Evidence'!$L$4:$L$503,MATCH(A336,'Master Evidence'!$A$4:$A$503,0)),""))</x:f>
      </x:c>
      <x:c r="C336" s="174"/>
      <x:c r="D336" s="174"/>
      <x:c r="E336" s="174"/>
      <x:c r="F336" s="174"/>
      <x:c r="G336" s="174"/>
      <x:c r="H336" s="174"/>
      <x:c r="I336" s="174"/>
      <x:c r="J336" s="177"/>
      <x:c r="K336" s="174"/>
      <x:c r="L336" s="174"/>
      <x:c r="M336" s="174"/>
    </x:row>
    <x:row r="337">
      <x:c r="A337" s="174"/>
      <x:c r="B337" s="174" t="str">
        <x:f>IF(A337="","",IFERROR(INDEX('Master Evidence'!$L$4:$L$503,MATCH(A337,'Master Evidence'!$A$4:$A$503,0)),""))</x:f>
      </x:c>
      <x:c r="C337" s="174"/>
      <x:c r="D337" s="174"/>
      <x:c r="E337" s="174"/>
      <x:c r="F337" s="174"/>
      <x:c r="G337" s="174"/>
      <x:c r="H337" s="174"/>
      <x:c r="I337" s="174"/>
      <x:c r="J337" s="177"/>
      <x:c r="K337" s="174"/>
      <x:c r="L337" s="174"/>
      <x:c r="M337" s="174"/>
    </x:row>
    <x:row r="338">
      <x:c r="A338" s="174"/>
      <x:c r="B338" s="174" t="str">
        <x:f>IF(A338="","",IFERROR(INDEX('Master Evidence'!$L$4:$L$503,MATCH(A338,'Master Evidence'!$A$4:$A$503,0)),""))</x:f>
      </x:c>
      <x:c r="C338" s="174"/>
      <x:c r="D338" s="174"/>
      <x:c r="E338" s="174"/>
      <x:c r="F338" s="174"/>
      <x:c r="G338" s="174"/>
      <x:c r="H338" s="174"/>
      <x:c r="I338" s="174"/>
      <x:c r="J338" s="177"/>
      <x:c r="K338" s="174"/>
      <x:c r="L338" s="174"/>
      <x:c r="M338" s="174"/>
    </x:row>
    <x:row r="339">
      <x:c r="A339" s="174"/>
      <x:c r="B339" s="174" t="str">
        <x:f>IF(A339="","",IFERROR(INDEX('Master Evidence'!$L$4:$L$503,MATCH(A339,'Master Evidence'!$A$4:$A$503,0)),""))</x:f>
      </x:c>
      <x:c r="C339" s="174"/>
      <x:c r="D339" s="174"/>
      <x:c r="E339" s="174"/>
      <x:c r="F339" s="174"/>
      <x:c r="G339" s="174"/>
      <x:c r="H339" s="174"/>
      <x:c r="I339" s="174"/>
      <x:c r="J339" s="177"/>
      <x:c r="K339" s="174"/>
      <x:c r="L339" s="174"/>
      <x:c r="M339" s="174"/>
    </x:row>
    <x:row r="340">
      <x:c r="A340" s="174"/>
      <x:c r="B340" s="174" t="str">
        <x:f>IF(A340="","",IFERROR(INDEX('Master Evidence'!$L$4:$L$503,MATCH(A340,'Master Evidence'!$A$4:$A$503,0)),""))</x:f>
      </x:c>
      <x:c r="C340" s="174"/>
      <x:c r="D340" s="174"/>
      <x:c r="E340" s="174"/>
      <x:c r="F340" s="174"/>
      <x:c r="G340" s="174"/>
      <x:c r="H340" s="174"/>
      <x:c r="I340" s="174"/>
      <x:c r="J340" s="177"/>
      <x:c r="K340" s="174"/>
      <x:c r="L340" s="174"/>
      <x:c r="M340" s="174"/>
    </x:row>
    <x:row r="341">
      <x:c r="A341" s="174"/>
      <x:c r="B341" s="174" t="str">
        <x:f>IF(A341="","",IFERROR(INDEX('Master Evidence'!$L$4:$L$503,MATCH(A341,'Master Evidence'!$A$4:$A$503,0)),""))</x:f>
      </x:c>
      <x:c r="C341" s="174"/>
      <x:c r="D341" s="174"/>
      <x:c r="E341" s="174"/>
      <x:c r="F341" s="174"/>
      <x:c r="G341" s="174"/>
      <x:c r="H341" s="174"/>
      <x:c r="I341" s="174"/>
      <x:c r="J341" s="177"/>
      <x:c r="K341" s="174"/>
      <x:c r="L341" s="174"/>
      <x:c r="M341" s="174"/>
    </x:row>
    <x:row r="342">
      <x:c r="A342" s="174"/>
      <x:c r="B342" s="174" t="str">
        <x:f>IF(A342="","",IFERROR(INDEX('Master Evidence'!$L$4:$L$503,MATCH(A342,'Master Evidence'!$A$4:$A$503,0)),""))</x:f>
      </x:c>
      <x:c r="C342" s="174"/>
      <x:c r="D342" s="174"/>
      <x:c r="E342" s="174"/>
      <x:c r="F342" s="174"/>
      <x:c r="G342" s="174"/>
      <x:c r="H342" s="174"/>
      <x:c r="I342" s="174"/>
      <x:c r="J342" s="177"/>
      <x:c r="K342" s="174"/>
      <x:c r="L342" s="174"/>
      <x:c r="M342" s="174"/>
    </x:row>
    <x:row r="343">
      <x:c r="A343" s="174"/>
      <x:c r="B343" s="174" t="str">
        <x:f>IF(A343="","",IFERROR(INDEX('Master Evidence'!$L$4:$L$503,MATCH(A343,'Master Evidence'!$A$4:$A$503,0)),""))</x:f>
      </x:c>
      <x:c r="C343" s="174"/>
      <x:c r="D343" s="174"/>
      <x:c r="E343" s="174"/>
      <x:c r="F343" s="174"/>
      <x:c r="G343" s="174"/>
      <x:c r="H343" s="174"/>
      <x:c r="I343" s="174"/>
      <x:c r="J343" s="177"/>
      <x:c r="K343" s="174"/>
      <x:c r="L343" s="174"/>
      <x:c r="M343" s="174"/>
    </x:row>
    <x:row r="344">
      <x:c r="A344" s="174"/>
      <x:c r="B344" s="174" t="str">
        <x:f>IF(A344="","",IFERROR(INDEX('Master Evidence'!$L$4:$L$503,MATCH(A344,'Master Evidence'!$A$4:$A$503,0)),""))</x:f>
      </x:c>
      <x:c r="C344" s="174"/>
      <x:c r="D344" s="174"/>
      <x:c r="E344" s="174"/>
      <x:c r="F344" s="174"/>
      <x:c r="G344" s="174"/>
      <x:c r="H344" s="174"/>
      <x:c r="I344" s="174"/>
      <x:c r="J344" s="177"/>
      <x:c r="K344" s="174"/>
      <x:c r="L344" s="174"/>
      <x:c r="M344" s="174"/>
    </x:row>
    <x:row r="345">
      <x:c r="A345" s="174"/>
      <x:c r="B345" s="174" t="str">
        <x:f>IF(A345="","",IFERROR(INDEX('Master Evidence'!$L$4:$L$503,MATCH(A345,'Master Evidence'!$A$4:$A$503,0)),""))</x:f>
      </x:c>
      <x:c r="C345" s="174"/>
      <x:c r="D345" s="174"/>
      <x:c r="E345" s="174"/>
      <x:c r="F345" s="174"/>
      <x:c r="G345" s="174"/>
      <x:c r="H345" s="174"/>
      <x:c r="I345" s="174"/>
      <x:c r="J345" s="177"/>
      <x:c r="K345" s="174"/>
      <x:c r="L345" s="174"/>
      <x:c r="M345" s="174"/>
    </x:row>
    <x:row r="346">
      <x:c r="A346" s="174"/>
      <x:c r="B346" s="174" t="str">
        <x:f>IF(A346="","",IFERROR(INDEX('Master Evidence'!$L$4:$L$503,MATCH(A346,'Master Evidence'!$A$4:$A$503,0)),""))</x:f>
      </x:c>
      <x:c r="C346" s="174"/>
      <x:c r="D346" s="174"/>
      <x:c r="E346" s="174"/>
      <x:c r="F346" s="174"/>
      <x:c r="G346" s="174"/>
      <x:c r="H346" s="174"/>
      <x:c r="I346" s="174"/>
      <x:c r="J346" s="177"/>
      <x:c r="K346" s="174"/>
      <x:c r="L346" s="174"/>
      <x:c r="M346" s="174"/>
    </x:row>
    <x:row r="347">
      <x:c r="A347" s="174"/>
      <x:c r="B347" s="174" t="str">
        <x:f>IF(A347="","",IFERROR(INDEX('Master Evidence'!$L$4:$L$503,MATCH(A347,'Master Evidence'!$A$4:$A$503,0)),""))</x:f>
      </x:c>
      <x:c r="C347" s="174"/>
      <x:c r="D347" s="174"/>
      <x:c r="E347" s="174"/>
      <x:c r="F347" s="174"/>
      <x:c r="G347" s="174"/>
      <x:c r="H347" s="174"/>
      <x:c r="I347" s="174"/>
      <x:c r="J347" s="177"/>
      <x:c r="K347" s="174"/>
      <x:c r="L347" s="174"/>
      <x:c r="M347" s="174"/>
    </x:row>
    <x:row r="348">
      <x:c r="A348" s="174"/>
      <x:c r="B348" s="174" t="str">
        <x:f>IF(A348="","",IFERROR(INDEX('Master Evidence'!$L$4:$L$503,MATCH(A348,'Master Evidence'!$A$4:$A$503,0)),""))</x:f>
      </x:c>
      <x:c r="C348" s="174"/>
      <x:c r="D348" s="174"/>
      <x:c r="E348" s="174"/>
      <x:c r="F348" s="174"/>
      <x:c r="G348" s="174"/>
      <x:c r="H348" s="174"/>
      <x:c r="I348" s="174"/>
      <x:c r="J348" s="177"/>
      <x:c r="K348" s="174"/>
      <x:c r="L348" s="174"/>
      <x:c r="M348" s="174"/>
    </x:row>
    <x:row r="349">
      <x:c r="A349" s="174"/>
      <x:c r="B349" s="174" t="str">
        <x:f>IF(A349="","",IFERROR(INDEX('Master Evidence'!$L$4:$L$503,MATCH(A349,'Master Evidence'!$A$4:$A$503,0)),""))</x:f>
      </x:c>
      <x:c r="C349" s="174"/>
      <x:c r="D349" s="174"/>
      <x:c r="E349" s="174"/>
      <x:c r="F349" s="174"/>
      <x:c r="G349" s="174"/>
      <x:c r="H349" s="174"/>
      <x:c r="I349" s="174"/>
      <x:c r="J349" s="177"/>
      <x:c r="K349" s="174"/>
      <x:c r="L349" s="174"/>
      <x:c r="M349" s="174"/>
    </x:row>
    <x:row r="350">
      <x:c r="A350" s="174"/>
      <x:c r="B350" s="174" t="str">
        <x:f>IF(A350="","",IFERROR(INDEX('Master Evidence'!$L$4:$L$503,MATCH(A350,'Master Evidence'!$A$4:$A$503,0)),""))</x:f>
      </x:c>
      <x:c r="C350" s="174"/>
      <x:c r="D350" s="174"/>
      <x:c r="E350" s="174"/>
      <x:c r="F350" s="174"/>
      <x:c r="G350" s="174"/>
      <x:c r="H350" s="174"/>
      <x:c r="I350" s="174"/>
      <x:c r="J350" s="177"/>
      <x:c r="K350" s="174"/>
      <x:c r="L350" s="174"/>
      <x:c r="M350" s="174"/>
    </x:row>
    <x:row r="351">
      <x:c r="A351" s="174"/>
      <x:c r="B351" s="174" t="str">
        <x:f>IF(A351="","",IFERROR(INDEX('Master Evidence'!$L$4:$L$503,MATCH(A351,'Master Evidence'!$A$4:$A$503,0)),""))</x:f>
      </x:c>
      <x:c r="C351" s="174"/>
      <x:c r="D351" s="174"/>
      <x:c r="E351" s="174"/>
      <x:c r="F351" s="174"/>
      <x:c r="G351" s="174"/>
      <x:c r="H351" s="174"/>
      <x:c r="I351" s="174"/>
      <x:c r="J351" s="177"/>
      <x:c r="K351" s="174"/>
      <x:c r="L351" s="174"/>
      <x:c r="M351" s="174"/>
    </x:row>
    <x:row r="352">
      <x:c r="A352" s="174"/>
      <x:c r="B352" s="174" t="str">
        <x:f>IF(A352="","",IFERROR(INDEX('Master Evidence'!$L$4:$L$503,MATCH(A352,'Master Evidence'!$A$4:$A$503,0)),""))</x:f>
      </x:c>
      <x:c r="C352" s="174"/>
      <x:c r="D352" s="174"/>
      <x:c r="E352" s="174"/>
      <x:c r="F352" s="174"/>
      <x:c r="G352" s="174"/>
      <x:c r="H352" s="174"/>
      <x:c r="I352" s="174"/>
      <x:c r="J352" s="177"/>
      <x:c r="K352" s="174"/>
      <x:c r="L352" s="174"/>
      <x:c r="M352" s="174"/>
    </x:row>
    <x:row r="353">
      <x:c r="A353" s="174"/>
      <x:c r="B353" s="174" t="str">
        <x:f>IF(A353="","",IFERROR(INDEX('Master Evidence'!$L$4:$L$503,MATCH(A353,'Master Evidence'!$A$4:$A$503,0)),""))</x:f>
      </x:c>
      <x:c r="C353" s="174"/>
      <x:c r="D353" s="174"/>
      <x:c r="E353" s="174"/>
      <x:c r="F353" s="174"/>
      <x:c r="G353" s="174"/>
      <x:c r="H353" s="174"/>
      <x:c r="I353" s="174"/>
      <x:c r="J353" s="177"/>
      <x:c r="K353" s="174"/>
      <x:c r="L353" s="174"/>
      <x:c r="M353" s="174"/>
    </x:row>
    <x:row r="354">
      <x:c r="A354" s="174"/>
      <x:c r="B354" s="174" t="str">
        <x:f>IF(A354="","",IFERROR(INDEX('Master Evidence'!$L$4:$L$503,MATCH(A354,'Master Evidence'!$A$4:$A$503,0)),""))</x:f>
      </x:c>
      <x:c r="C354" s="174"/>
      <x:c r="D354" s="174"/>
      <x:c r="E354" s="174"/>
      <x:c r="F354" s="174"/>
      <x:c r="G354" s="174"/>
      <x:c r="H354" s="174"/>
      <x:c r="I354" s="174"/>
      <x:c r="J354" s="177"/>
      <x:c r="K354" s="174"/>
      <x:c r="L354" s="174"/>
      <x:c r="M354" s="174"/>
    </x:row>
    <x:row r="355">
      <x:c r="A355" s="174"/>
      <x:c r="B355" s="174" t="str">
        <x:f>IF(A355="","",IFERROR(INDEX('Master Evidence'!$L$4:$L$503,MATCH(A355,'Master Evidence'!$A$4:$A$503,0)),""))</x:f>
      </x:c>
      <x:c r="C355" s="174"/>
      <x:c r="D355" s="174"/>
      <x:c r="E355" s="174"/>
      <x:c r="F355" s="174"/>
      <x:c r="G355" s="174"/>
      <x:c r="H355" s="174"/>
      <x:c r="I355" s="174"/>
      <x:c r="J355" s="177"/>
      <x:c r="K355" s="174"/>
      <x:c r="L355" s="174"/>
      <x:c r="M355" s="174"/>
    </x:row>
    <x:row r="356">
      <x:c r="A356" s="174"/>
      <x:c r="B356" s="174" t="str">
        <x:f>IF(A356="","",IFERROR(INDEX('Master Evidence'!$L$4:$L$503,MATCH(A356,'Master Evidence'!$A$4:$A$503,0)),""))</x:f>
      </x:c>
      <x:c r="C356" s="174"/>
      <x:c r="D356" s="174"/>
      <x:c r="E356" s="174"/>
      <x:c r="F356" s="174"/>
      <x:c r="G356" s="174"/>
      <x:c r="H356" s="174"/>
      <x:c r="I356" s="174"/>
      <x:c r="J356" s="177"/>
      <x:c r="K356" s="174"/>
      <x:c r="L356" s="174"/>
      <x:c r="M356" s="174"/>
    </x:row>
    <x:row r="357">
      <x:c r="A357" s="174"/>
      <x:c r="B357" s="174" t="str">
        <x:f>IF(A357="","",IFERROR(INDEX('Master Evidence'!$L$4:$L$503,MATCH(A357,'Master Evidence'!$A$4:$A$503,0)),""))</x:f>
      </x:c>
      <x:c r="C357" s="174"/>
      <x:c r="D357" s="174"/>
      <x:c r="E357" s="174"/>
      <x:c r="F357" s="174"/>
      <x:c r="G357" s="174"/>
      <x:c r="H357" s="174"/>
      <x:c r="I357" s="174"/>
      <x:c r="J357" s="177"/>
      <x:c r="K357" s="174"/>
      <x:c r="L357" s="174"/>
      <x:c r="M357" s="174"/>
    </x:row>
    <x:row r="358">
      <x:c r="A358" s="174"/>
      <x:c r="B358" s="174" t="str">
        <x:f>IF(A358="","",IFERROR(INDEX('Master Evidence'!$L$4:$L$503,MATCH(A358,'Master Evidence'!$A$4:$A$503,0)),""))</x:f>
      </x:c>
      <x:c r="C358" s="174"/>
      <x:c r="D358" s="174"/>
      <x:c r="E358" s="174"/>
      <x:c r="F358" s="174"/>
      <x:c r="G358" s="174"/>
      <x:c r="H358" s="174"/>
      <x:c r="I358" s="174"/>
      <x:c r="J358" s="177"/>
      <x:c r="K358" s="174"/>
      <x:c r="L358" s="174"/>
      <x:c r="M358" s="174"/>
    </x:row>
    <x:row r="359">
      <x:c r="A359" s="174"/>
      <x:c r="B359" s="174" t="str">
        <x:f>IF(A359="","",IFERROR(INDEX('Master Evidence'!$L$4:$L$503,MATCH(A359,'Master Evidence'!$A$4:$A$503,0)),""))</x:f>
      </x:c>
      <x:c r="C359" s="174"/>
      <x:c r="D359" s="174"/>
      <x:c r="E359" s="174"/>
      <x:c r="F359" s="174"/>
      <x:c r="G359" s="174"/>
      <x:c r="H359" s="174"/>
      <x:c r="I359" s="174"/>
      <x:c r="J359" s="177"/>
      <x:c r="K359" s="174"/>
      <x:c r="L359" s="174"/>
      <x:c r="M359" s="174"/>
    </x:row>
    <x:row r="360">
      <x:c r="A360" s="174"/>
      <x:c r="B360" s="174" t="str">
        <x:f>IF(A360="","",IFERROR(INDEX('Master Evidence'!$L$4:$L$503,MATCH(A360,'Master Evidence'!$A$4:$A$503,0)),""))</x:f>
      </x:c>
      <x:c r="C360" s="174"/>
      <x:c r="D360" s="174"/>
      <x:c r="E360" s="174"/>
      <x:c r="F360" s="174"/>
      <x:c r="G360" s="174"/>
      <x:c r="H360" s="174"/>
      <x:c r="I360" s="174"/>
      <x:c r="J360" s="177"/>
      <x:c r="K360" s="174"/>
      <x:c r="L360" s="174"/>
      <x:c r="M360" s="174"/>
    </x:row>
    <x:row r="361">
      <x:c r="A361" s="174"/>
      <x:c r="B361" s="174" t="str">
        <x:f>IF(A361="","",IFERROR(INDEX('Master Evidence'!$L$4:$L$503,MATCH(A361,'Master Evidence'!$A$4:$A$503,0)),""))</x:f>
      </x:c>
      <x:c r="C361" s="174"/>
      <x:c r="D361" s="174"/>
      <x:c r="E361" s="174"/>
      <x:c r="F361" s="174"/>
      <x:c r="G361" s="174"/>
      <x:c r="H361" s="174"/>
      <x:c r="I361" s="174"/>
      <x:c r="J361" s="177"/>
      <x:c r="K361" s="174"/>
      <x:c r="L361" s="174"/>
      <x:c r="M361" s="174"/>
    </x:row>
    <x:row r="362">
      <x:c r="A362" s="174"/>
      <x:c r="B362" s="174" t="str">
        <x:f>IF(A362="","",IFERROR(INDEX('Master Evidence'!$L$4:$L$503,MATCH(A362,'Master Evidence'!$A$4:$A$503,0)),""))</x:f>
      </x:c>
      <x:c r="C362" s="174"/>
      <x:c r="D362" s="174"/>
      <x:c r="E362" s="174"/>
      <x:c r="F362" s="174"/>
      <x:c r="G362" s="174"/>
      <x:c r="H362" s="174"/>
      <x:c r="I362" s="174"/>
      <x:c r="J362" s="177"/>
      <x:c r="K362" s="174"/>
      <x:c r="L362" s="174"/>
      <x:c r="M362" s="174"/>
    </x:row>
    <x:row r="363">
      <x:c r="A363" s="174"/>
      <x:c r="B363" s="174" t="str">
        <x:f>IF(A363="","",IFERROR(INDEX('Master Evidence'!$L$4:$L$503,MATCH(A363,'Master Evidence'!$A$4:$A$503,0)),""))</x:f>
      </x:c>
      <x:c r="C363" s="174"/>
      <x:c r="D363" s="174"/>
      <x:c r="E363" s="174"/>
      <x:c r="F363" s="174"/>
      <x:c r="G363" s="174"/>
      <x:c r="H363" s="174"/>
      <x:c r="I363" s="174"/>
      <x:c r="J363" s="177"/>
      <x:c r="K363" s="174"/>
      <x:c r="L363" s="174"/>
      <x:c r="M363" s="174"/>
    </x:row>
    <x:row r="364">
      <x:c r="A364" s="174"/>
      <x:c r="B364" s="174" t="str">
        <x:f>IF(A364="","",IFERROR(INDEX('Master Evidence'!$L$4:$L$503,MATCH(A364,'Master Evidence'!$A$4:$A$503,0)),""))</x:f>
      </x:c>
      <x:c r="C364" s="174"/>
      <x:c r="D364" s="174"/>
      <x:c r="E364" s="174"/>
      <x:c r="F364" s="174"/>
      <x:c r="G364" s="174"/>
      <x:c r="H364" s="174"/>
      <x:c r="I364" s="174"/>
      <x:c r="J364" s="177"/>
      <x:c r="K364" s="174"/>
      <x:c r="L364" s="174"/>
      <x:c r="M364" s="174"/>
    </x:row>
    <x:row r="365">
      <x:c r="A365" s="174"/>
      <x:c r="B365" s="174" t="str">
        <x:f>IF(A365="","",IFERROR(INDEX('Master Evidence'!$L$4:$L$503,MATCH(A365,'Master Evidence'!$A$4:$A$503,0)),""))</x:f>
      </x:c>
      <x:c r="C365" s="174"/>
      <x:c r="D365" s="174"/>
      <x:c r="E365" s="174"/>
      <x:c r="F365" s="174"/>
      <x:c r="G365" s="174"/>
      <x:c r="H365" s="174"/>
      <x:c r="I365" s="174"/>
      <x:c r="J365" s="177"/>
      <x:c r="K365" s="174"/>
      <x:c r="L365" s="174"/>
      <x:c r="M365" s="174"/>
    </x:row>
    <x:row r="366">
      <x:c r="A366" s="174"/>
      <x:c r="B366" s="174" t="str">
        <x:f>IF(A366="","",IFERROR(INDEX('Master Evidence'!$L$4:$L$503,MATCH(A366,'Master Evidence'!$A$4:$A$503,0)),""))</x:f>
      </x:c>
      <x:c r="C366" s="174"/>
      <x:c r="D366" s="174"/>
      <x:c r="E366" s="174"/>
      <x:c r="F366" s="174"/>
      <x:c r="G366" s="174"/>
      <x:c r="H366" s="174"/>
      <x:c r="I366" s="174"/>
      <x:c r="J366" s="177"/>
      <x:c r="K366" s="174"/>
      <x:c r="L366" s="174"/>
      <x:c r="M366" s="174"/>
    </x:row>
    <x:row r="367">
      <x:c r="A367" s="174"/>
      <x:c r="B367" s="174" t="str">
        <x:f>IF(A367="","",IFERROR(INDEX('Master Evidence'!$L$4:$L$503,MATCH(A367,'Master Evidence'!$A$4:$A$503,0)),""))</x:f>
      </x:c>
      <x:c r="C367" s="174"/>
      <x:c r="D367" s="174"/>
      <x:c r="E367" s="174"/>
      <x:c r="F367" s="174"/>
      <x:c r="G367" s="174"/>
      <x:c r="H367" s="174"/>
      <x:c r="I367" s="174"/>
      <x:c r="J367" s="177"/>
      <x:c r="K367" s="174"/>
      <x:c r="L367" s="174"/>
      <x:c r="M367" s="174"/>
    </x:row>
    <x:row r="368">
      <x:c r="A368" s="174"/>
      <x:c r="B368" s="174" t="str">
        <x:f>IF(A368="","",IFERROR(INDEX('Master Evidence'!$L$4:$L$503,MATCH(A368,'Master Evidence'!$A$4:$A$503,0)),""))</x:f>
      </x:c>
      <x:c r="C368" s="174"/>
      <x:c r="D368" s="174"/>
      <x:c r="E368" s="174"/>
      <x:c r="F368" s="174"/>
      <x:c r="G368" s="174"/>
      <x:c r="H368" s="174"/>
      <x:c r="I368" s="174"/>
      <x:c r="J368" s="177"/>
      <x:c r="K368" s="174"/>
      <x:c r="L368" s="174"/>
      <x:c r="M368" s="174"/>
    </x:row>
    <x:row r="369">
      <x:c r="A369" s="174"/>
      <x:c r="B369" s="174" t="str">
        <x:f>IF(A369="","",IFERROR(INDEX('Master Evidence'!$L$4:$L$503,MATCH(A369,'Master Evidence'!$A$4:$A$503,0)),""))</x:f>
      </x:c>
      <x:c r="C369" s="174"/>
      <x:c r="D369" s="174"/>
      <x:c r="E369" s="174"/>
      <x:c r="F369" s="174"/>
      <x:c r="G369" s="174"/>
      <x:c r="H369" s="174"/>
      <x:c r="I369" s="174"/>
      <x:c r="J369" s="177"/>
      <x:c r="K369" s="174"/>
      <x:c r="L369" s="174"/>
      <x:c r="M369" s="174"/>
    </x:row>
    <x:row r="370">
      <x:c r="A370" s="174"/>
      <x:c r="B370" s="174" t="str">
        <x:f>IF(A370="","",IFERROR(INDEX('Master Evidence'!$L$4:$L$503,MATCH(A370,'Master Evidence'!$A$4:$A$503,0)),""))</x:f>
      </x:c>
      <x:c r="C370" s="174"/>
      <x:c r="D370" s="174"/>
      <x:c r="E370" s="174"/>
      <x:c r="F370" s="174"/>
      <x:c r="G370" s="174"/>
      <x:c r="H370" s="174"/>
      <x:c r="I370" s="174"/>
      <x:c r="J370" s="177"/>
      <x:c r="K370" s="174"/>
      <x:c r="L370" s="174"/>
      <x:c r="M370" s="174"/>
    </x:row>
    <x:row r="371">
      <x:c r="A371" s="174"/>
      <x:c r="B371" s="174" t="str">
        <x:f>IF(A371="","",IFERROR(INDEX('Master Evidence'!$L$4:$L$503,MATCH(A371,'Master Evidence'!$A$4:$A$503,0)),""))</x:f>
      </x:c>
      <x:c r="C371" s="174"/>
      <x:c r="D371" s="174"/>
      <x:c r="E371" s="174"/>
      <x:c r="F371" s="174"/>
      <x:c r="G371" s="174"/>
      <x:c r="H371" s="174"/>
      <x:c r="I371" s="174"/>
      <x:c r="J371" s="177"/>
      <x:c r="K371" s="174"/>
      <x:c r="L371" s="174"/>
      <x:c r="M371" s="174"/>
    </x:row>
    <x:row r="372">
      <x:c r="A372" s="174"/>
      <x:c r="B372" s="174" t="str">
        <x:f>IF(A372="","",IFERROR(INDEX('Master Evidence'!$L$4:$L$503,MATCH(A372,'Master Evidence'!$A$4:$A$503,0)),""))</x:f>
      </x:c>
      <x:c r="C372" s="174"/>
      <x:c r="D372" s="174"/>
      <x:c r="E372" s="174"/>
      <x:c r="F372" s="174"/>
      <x:c r="G372" s="174"/>
      <x:c r="H372" s="174"/>
      <x:c r="I372" s="174"/>
      <x:c r="J372" s="177"/>
      <x:c r="K372" s="174"/>
      <x:c r="L372" s="174"/>
      <x:c r="M372" s="174"/>
    </x:row>
    <x:row r="373">
      <x:c r="A373" s="174"/>
      <x:c r="B373" s="174" t="str">
        <x:f>IF(A373="","",IFERROR(INDEX('Master Evidence'!$L$4:$L$503,MATCH(A373,'Master Evidence'!$A$4:$A$503,0)),""))</x:f>
      </x:c>
      <x:c r="C373" s="174"/>
      <x:c r="D373" s="174"/>
      <x:c r="E373" s="174"/>
      <x:c r="F373" s="174"/>
      <x:c r="G373" s="174"/>
      <x:c r="H373" s="174"/>
      <x:c r="I373" s="174"/>
      <x:c r="J373" s="177"/>
      <x:c r="K373" s="174"/>
      <x:c r="L373" s="174"/>
      <x:c r="M373" s="174"/>
    </x:row>
    <x:row r="374">
      <x:c r="A374" s="174"/>
      <x:c r="B374" s="174" t="str">
        <x:f>IF(A374="","",IFERROR(INDEX('Master Evidence'!$L$4:$L$503,MATCH(A374,'Master Evidence'!$A$4:$A$503,0)),""))</x:f>
      </x:c>
      <x:c r="C374" s="174"/>
      <x:c r="D374" s="174"/>
      <x:c r="E374" s="174"/>
      <x:c r="F374" s="174"/>
      <x:c r="G374" s="174"/>
      <x:c r="H374" s="174"/>
      <x:c r="I374" s="174"/>
      <x:c r="J374" s="177"/>
      <x:c r="K374" s="174"/>
      <x:c r="L374" s="174"/>
      <x:c r="M374" s="174"/>
    </x:row>
    <x:row r="375">
      <x:c r="A375" s="174"/>
      <x:c r="B375" s="174" t="str">
        <x:f>IF(A375="","",IFERROR(INDEX('Master Evidence'!$L$4:$L$503,MATCH(A375,'Master Evidence'!$A$4:$A$503,0)),""))</x:f>
      </x:c>
      <x:c r="C375" s="174"/>
      <x:c r="D375" s="174"/>
      <x:c r="E375" s="174"/>
      <x:c r="F375" s="174"/>
      <x:c r="G375" s="174"/>
      <x:c r="H375" s="174"/>
      <x:c r="I375" s="174"/>
      <x:c r="J375" s="177"/>
      <x:c r="K375" s="174"/>
      <x:c r="L375" s="174"/>
      <x:c r="M375" s="174"/>
    </x:row>
    <x:row r="376">
      <x:c r="A376" s="174"/>
      <x:c r="B376" s="174" t="str">
        <x:f>IF(A376="","",IFERROR(INDEX('Master Evidence'!$L$4:$L$503,MATCH(A376,'Master Evidence'!$A$4:$A$503,0)),""))</x:f>
      </x:c>
      <x:c r="C376" s="174"/>
      <x:c r="D376" s="174"/>
      <x:c r="E376" s="174"/>
      <x:c r="F376" s="174"/>
      <x:c r="G376" s="174"/>
      <x:c r="H376" s="174"/>
      <x:c r="I376" s="174"/>
      <x:c r="J376" s="177"/>
      <x:c r="K376" s="174"/>
      <x:c r="L376" s="174"/>
      <x:c r="M376" s="174"/>
    </x:row>
    <x:row r="377">
      <x:c r="A377" s="174"/>
      <x:c r="B377" s="174" t="str">
        <x:f>IF(A377="","",IFERROR(INDEX('Master Evidence'!$L$4:$L$503,MATCH(A377,'Master Evidence'!$A$4:$A$503,0)),""))</x:f>
      </x:c>
      <x:c r="C377" s="174"/>
      <x:c r="D377" s="174"/>
      <x:c r="E377" s="174"/>
      <x:c r="F377" s="174"/>
      <x:c r="G377" s="174"/>
      <x:c r="H377" s="174"/>
      <x:c r="I377" s="174"/>
      <x:c r="J377" s="177"/>
      <x:c r="K377" s="174"/>
      <x:c r="L377" s="174"/>
      <x:c r="M377" s="174"/>
    </x:row>
    <x:row r="378">
      <x:c r="A378" s="174"/>
      <x:c r="B378" s="174" t="str">
        <x:f>IF(A378="","",IFERROR(INDEX('Master Evidence'!$L$4:$L$503,MATCH(A378,'Master Evidence'!$A$4:$A$503,0)),""))</x:f>
      </x:c>
      <x:c r="C378" s="174"/>
      <x:c r="D378" s="174"/>
      <x:c r="E378" s="174"/>
      <x:c r="F378" s="174"/>
      <x:c r="G378" s="174"/>
      <x:c r="H378" s="174"/>
      <x:c r="I378" s="174"/>
      <x:c r="J378" s="177"/>
      <x:c r="K378" s="174"/>
      <x:c r="L378" s="174"/>
      <x:c r="M378" s="174"/>
    </x:row>
    <x:row r="379">
      <x:c r="A379" s="174"/>
      <x:c r="B379" s="174" t="str">
        <x:f>IF(A379="","",IFERROR(INDEX('Master Evidence'!$L$4:$L$503,MATCH(A379,'Master Evidence'!$A$4:$A$503,0)),""))</x:f>
      </x:c>
      <x:c r="C379" s="174"/>
      <x:c r="D379" s="174"/>
      <x:c r="E379" s="174"/>
      <x:c r="F379" s="174"/>
      <x:c r="G379" s="174"/>
      <x:c r="H379" s="174"/>
      <x:c r="I379" s="174"/>
      <x:c r="J379" s="177"/>
      <x:c r="K379" s="174"/>
      <x:c r="L379" s="174"/>
      <x:c r="M379" s="174"/>
    </x:row>
    <x:row r="380">
      <x:c r="A380" s="174"/>
      <x:c r="B380" s="174" t="str">
        <x:f>IF(A380="","",IFERROR(INDEX('Master Evidence'!$L$4:$L$503,MATCH(A380,'Master Evidence'!$A$4:$A$503,0)),""))</x:f>
      </x:c>
      <x:c r="C380" s="174"/>
      <x:c r="D380" s="174"/>
      <x:c r="E380" s="174"/>
      <x:c r="F380" s="174"/>
      <x:c r="G380" s="174"/>
      <x:c r="H380" s="174"/>
      <x:c r="I380" s="174"/>
      <x:c r="J380" s="177"/>
      <x:c r="K380" s="174"/>
      <x:c r="L380" s="174"/>
      <x:c r="M380" s="174"/>
    </x:row>
    <x:row r="381">
      <x:c r="A381" s="174"/>
      <x:c r="B381" s="174" t="str">
        <x:f>IF(A381="","",IFERROR(INDEX('Master Evidence'!$L$4:$L$503,MATCH(A381,'Master Evidence'!$A$4:$A$503,0)),""))</x:f>
      </x:c>
      <x:c r="C381" s="174"/>
      <x:c r="D381" s="174"/>
      <x:c r="E381" s="174"/>
      <x:c r="F381" s="174"/>
      <x:c r="G381" s="174"/>
      <x:c r="H381" s="174"/>
      <x:c r="I381" s="174"/>
      <x:c r="J381" s="177"/>
      <x:c r="K381" s="174"/>
      <x:c r="L381" s="174"/>
      <x:c r="M381" s="174"/>
    </x:row>
    <x:row r="382">
      <x:c r="A382" s="174"/>
      <x:c r="B382" s="174" t="str">
        <x:f>IF(A382="","",IFERROR(INDEX('Master Evidence'!$L$4:$L$503,MATCH(A382,'Master Evidence'!$A$4:$A$503,0)),""))</x:f>
      </x:c>
      <x:c r="C382" s="174"/>
      <x:c r="D382" s="174"/>
      <x:c r="E382" s="174"/>
      <x:c r="F382" s="174"/>
      <x:c r="G382" s="174"/>
      <x:c r="H382" s="174"/>
      <x:c r="I382" s="174"/>
      <x:c r="J382" s="177"/>
      <x:c r="K382" s="174"/>
      <x:c r="L382" s="174"/>
      <x:c r="M382" s="174"/>
    </x:row>
    <x:row r="383">
      <x:c r="A383" s="174"/>
      <x:c r="B383" s="174" t="str">
        <x:f>IF(A383="","",IFERROR(INDEX('Master Evidence'!$L$4:$L$503,MATCH(A383,'Master Evidence'!$A$4:$A$503,0)),""))</x:f>
      </x:c>
      <x:c r="C383" s="174"/>
      <x:c r="D383" s="174"/>
      <x:c r="E383" s="174"/>
      <x:c r="F383" s="174"/>
      <x:c r="G383" s="174"/>
      <x:c r="H383" s="174"/>
      <x:c r="I383" s="174"/>
      <x:c r="J383" s="177"/>
      <x:c r="K383" s="174"/>
      <x:c r="L383" s="174"/>
      <x:c r="M383" s="174"/>
    </x:row>
    <x:row r="384">
      <x:c r="A384" s="174"/>
      <x:c r="B384" s="174" t="str">
        <x:f>IF(A384="","",IFERROR(INDEX('Master Evidence'!$L$4:$L$503,MATCH(A384,'Master Evidence'!$A$4:$A$503,0)),""))</x:f>
      </x:c>
      <x:c r="C384" s="174"/>
      <x:c r="D384" s="174"/>
      <x:c r="E384" s="174"/>
      <x:c r="F384" s="174"/>
      <x:c r="G384" s="174"/>
      <x:c r="H384" s="174"/>
      <x:c r="I384" s="174"/>
      <x:c r="J384" s="177"/>
      <x:c r="K384" s="174"/>
      <x:c r="L384" s="174"/>
      <x:c r="M384" s="174"/>
    </x:row>
    <x:row r="385">
      <x:c r="A385" s="174"/>
      <x:c r="B385" s="174" t="str">
        <x:f>IF(A385="","",IFERROR(INDEX('Master Evidence'!$L$4:$L$503,MATCH(A385,'Master Evidence'!$A$4:$A$503,0)),""))</x:f>
      </x:c>
      <x:c r="C385" s="174"/>
      <x:c r="D385" s="174"/>
      <x:c r="E385" s="174"/>
      <x:c r="F385" s="174"/>
      <x:c r="G385" s="174"/>
      <x:c r="H385" s="174"/>
      <x:c r="I385" s="174"/>
      <x:c r="J385" s="177"/>
      <x:c r="K385" s="174"/>
      <x:c r="L385" s="174"/>
      <x:c r="M385" s="174"/>
    </x:row>
    <x:row r="386">
      <x:c r="A386" s="174"/>
      <x:c r="B386" s="174" t="str">
        <x:f>IF(A386="","",IFERROR(INDEX('Master Evidence'!$L$4:$L$503,MATCH(A386,'Master Evidence'!$A$4:$A$503,0)),""))</x:f>
      </x:c>
      <x:c r="C386" s="174"/>
      <x:c r="D386" s="174"/>
      <x:c r="E386" s="174"/>
      <x:c r="F386" s="174"/>
      <x:c r="G386" s="174"/>
      <x:c r="H386" s="174"/>
      <x:c r="I386" s="174"/>
      <x:c r="J386" s="177"/>
      <x:c r="K386" s="174"/>
      <x:c r="L386" s="174"/>
      <x:c r="M386" s="174"/>
    </x:row>
    <x:row r="387">
      <x:c r="A387" s="174"/>
      <x:c r="B387" s="174" t="str">
        <x:f>IF(A387="","",IFERROR(INDEX('Master Evidence'!$L$4:$L$503,MATCH(A387,'Master Evidence'!$A$4:$A$503,0)),""))</x:f>
      </x:c>
      <x:c r="C387" s="174"/>
      <x:c r="D387" s="174"/>
      <x:c r="E387" s="174"/>
      <x:c r="F387" s="174"/>
      <x:c r="G387" s="174"/>
      <x:c r="H387" s="174"/>
      <x:c r="I387" s="174"/>
      <x:c r="J387" s="177"/>
      <x:c r="K387" s="174"/>
      <x:c r="L387" s="174"/>
      <x:c r="M387" s="174"/>
    </x:row>
    <x:row r="388">
      <x:c r="A388" s="174"/>
      <x:c r="B388" s="174" t="str">
        <x:f>IF(A388="","",IFERROR(INDEX('Master Evidence'!$L$4:$L$503,MATCH(A388,'Master Evidence'!$A$4:$A$503,0)),""))</x:f>
      </x:c>
      <x:c r="C388" s="174"/>
      <x:c r="D388" s="174"/>
      <x:c r="E388" s="174"/>
      <x:c r="F388" s="174"/>
      <x:c r="G388" s="174"/>
      <x:c r="H388" s="174"/>
      <x:c r="I388" s="174"/>
      <x:c r="J388" s="177"/>
      <x:c r="K388" s="174"/>
      <x:c r="L388" s="174"/>
      <x:c r="M388" s="174"/>
    </x:row>
    <x:row r="389">
      <x:c r="A389" s="174"/>
      <x:c r="B389" s="174" t="str">
        <x:f>IF(A389="","",IFERROR(INDEX('Master Evidence'!$L$4:$L$503,MATCH(A389,'Master Evidence'!$A$4:$A$503,0)),""))</x:f>
      </x:c>
      <x:c r="C389" s="174"/>
      <x:c r="D389" s="174"/>
      <x:c r="E389" s="174"/>
      <x:c r="F389" s="174"/>
      <x:c r="G389" s="174"/>
      <x:c r="H389" s="174"/>
      <x:c r="I389" s="174"/>
      <x:c r="J389" s="177"/>
      <x:c r="K389" s="174"/>
      <x:c r="L389" s="174"/>
      <x:c r="M389" s="174"/>
    </x:row>
    <x:row r="390">
      <x:c r="A390" s="174"/>
      <x:c r="B390" s="174" t="str">
        <x:f>IF(A390="","",IFERROR(INDEX('Master Evidence'!$L$4:$L$503,MATCH(A390,'Master Evidence'!$A$4:$A$503,0)),""))</x:f>
      </x:c>
      <x:c r="C390" s="174"/>
      <x:c r="D390" s="174"/>
      <x:c r="E390" s="174"/>
      <x:c r="F390" s="174"/>
      <x:c r="G390" s="174"/>
      <x:c r="H390" s="174"/>
      <x:c r="I390" s="174"/>
      <x:c r="J390" s="177"/>
      <x:c r="K390" s="174"/>
      <x:c r="L390" s="174"/>
      <x:c r="M390" s="174"/>
    </x:row>
    <x:row r="391">
      <x:c r="A391" s="174"/>
      <x:c r="B391" s="174" t="str">
        <x:f>IF(A391="","",IFERROR(INDEX('Master Evidence'!$L$4:$L$503,MATCH(A391,'Master Evidence'!$A$4:$A$503,0)),""))</x:f>
      </x:c>
      <x:c r="C391" s="174"/>
      <x:c r="D391" s="174"/>
      <x:c r="E391" s="174"/>
      <x:c r="F391" s="174"/>
      <x:c r="G391" s="174"/>
      <x:c r="H391" s="174"/>
      <x:c r="I391" s="174"/>
      <x:c r="J391" s="177"/>
      <x:c r="K391" s="174"/>
      <x:c r="L391" s="174"/>
      <x:c r="M391" s="174"/>
    </x:row>
    <x:row r="392">
      <x:c r="A392" s="174"/>
      <x:c r="B392" s="174" t="str">
        <x:f>IF(A392="","",IFERROR(INDEX('Master Evidence'!$L$4:$L$503,MATCH(A392,'Master Evidence'!$A$4:$A$503,0)),""))</x:f>
      </x:c>
      <x:c r="C392" s="174"/>
      <x:c r="D392" s="174"/>
      <x:c r="E392" s="174"/>
      <x:c r="F392" s="174"/>
      <x:c r="G392" s="174"/>
      <x:c r="H392" s="174"/>
      <x:c r="I392" s="174"/>
      <x:c r="J392" s="177"/>
      <x:c r="K392" s="174"/>
      <x:c r="L392" s="174"/>
      <x:c r="M392" s="174"/>
    </x:row>
    <x:row r="393">
      <x:c r="A393" s="174"/>
      <x:c r="B393" s="174" t="str">
        <x:f>IF(A393="","",IFERROR(INDEX('Master Evidence'!$L$4:$L$503,MATCH(A393,'Master Evidence'!$A$4:$A$503,0)),""))</x:f>
      </x:c>
      <x:c r="C393" s="174"/>
      <x:c r="D393" s="174"/>
      <x:c r="E393" s="174"/>
      <x:c r="F393" s="174"/>
      <x:c r="G393" s="174"/>
      <x:c r="H393" s="174"/>
      <x:c r="I393" s="174"/>
      <x:c r="J393" s="177"/>
      <x:c r="K393" s="174"/>
      <x:c r="L393" s="174"/>
      <x:c r="M393" s="174"/>
    </x:row>
    <x:row r="394">
      <x:c r="A394" s="174"/>
      <x:c r="B394" s="174" t="str">
        <x:f>IF(A394="","",IFERROR(INDEX('Master Evidence'!$L$4:$L$503,MATCH(A394,'Master Evidence'!$A$4:$A$503,0)),""))</x:f>
      </x:c>
      <x:c r="C394" s="174"/>
      <x:c r="D394" s="174"/>
      <x:c r="E394" s="174"/>
      <x:c r="F394" s="174"/>
      <x:c r="G394" s="174"/>
      <x:c r="H394" s="174"/>
      <x:c r="I394" s="174"/>
      <x:c r="J394" s="177"/>
      <x:c r="K394" s="174"/>
      <x:c r="L394" s="174"/>
      <x:c r="M394" s="174"/>
    </x:row>
    <x:row r="395">
      <x:c r="A395" s="174"/>
      <x:c r="B395" s="174" t="str">
        <x:f>IF(A395="","",IFERROR(INDEX('Master Evidence'!$L$4:$L$503,MATCH(A395,'Master Evidence'!$A$4:$A$503,0)),""))</x:f>
      </x:c>
      <x:c r="C395" s="174"/>
      <x:c r="D395" s="174"/>
      <x:c r="E395" s="174"/>
      <x:c r="F395" s="174"/>
      <x:c r="G395" s="174"/>
      <x:c r="H395" s="174"/>
      <x:c r="I395" s="174"/>
      <x:c r="J395" s="177"/>
      <x:c r="K395" s="174"/>
      <x:c r="L395" s="174"/>
      <x:c r="M395" s="174"/>
    </x:row>
    <x:row r="396">
      <x:c r="A396" s="174"/>
      <x:c r="B396" s="174" t="str">
        <x:f>IF(A396="","",IFERROR(INDEX('Master Evidence'!$L$4:$L$503,MATCH(A396,'Master Evidence'!$A$4:$A$503,0)),""))</x:f>
      </x:c>
      <x:c r="C396" s="174"/>
      <x:c r="D396" s="174"/>
      <x:c r="E396" s="174"/>
      <x:c r="F396" s="174"/>
      <x:c r="G396" s="174"/>
      <x:c r="H396" s="174"/>
      <x:c r="I396" s="174"/>
      <x:c r="J396" s="177"/>
      <x:c r="K396" s="174"/>
      <x:c r="L396" s="174"/>
      <x:c r="M396" s="174"/>
    </x:row>
    <x:row r="397">
      <x:c r="A397" s="174"/>
      <x:c r="B397" s="174" t="str">
        <x:f>IF(A397="","",IFERROR(INDEX('Master Evidence'!$L$4:$L$503,MATCH(A397,'Master Evidence'!$A$4:$A$503,0)),""))</x:f>
      </x:c>
      <x:c r="C397" s="174"/>
      <x:c r="D397" s="174"/>
      <x:c r="E397" s="174"/>
      <x:c r="F397" s="174"/>
      <x:c r="G397" s="174"/>
      <x:c r="H397" s="174"/>
      <x:c r="I397" s="174"/>
      <x:c r="J397" s="177"/>
      <x:c r="K397" s="174"/>
      <x:c r="L397" s="174"/>
      <x:c r="M397" s="174"/>
    </x:row>
    <x:row r="398">
      <x:c r="A398" s="174"/>
      <x:c r="B398" s="174" t="str">
        <x:f>IF(A398="","",IFERROR(INDEX('Master Evidence'!$L$4:$L$503,MATCH(A398,'Master Evidence'!$A$4:$A$503,0)),""))</x:f>
      </x:c>
      <x:c r="C398" s="174"/>
      <x:c r="D398" s="174"/>
      <x:c r="E398" s="174"/>
      <x:c r="F398" s="174"/>
      <x:c r="G398" s="174"/>
      <x:c r="H398" s="174"/>
      <x:c r="I398" s="174"/>
      <x:c r="J398" s="177"/>
      <x:c r="K398" s="174"/>
      <x:c r="L398" s="174"/>
      <x:c r="M398" s="174"/>
    </x:row>
    <x:row r="399">
      <x:c r="A399" s="174"/>
      <x:c r="B399" s="174" t="str">
        <x:f>IF(A399="","",IFERROR(INDEX('Master Evidence'!$L$4:$L$503,MATCH(A399,'Master Evidence'!$A$4:$A$503,0)),""))</x:f>
      </x:c>
      <x:c r="C399" s="174"/>
      <x:c r="D399" s="174"/>
      <x:c r="E399" s="174"/>
      <x:c r="F399" s="174"/>
      <x:c r="G399" s="174"/>
      <x:c r="H399" s="174"/>
      <x:c r="I399" s="174"/>
      <x:c r="J399" s="177"/>
      <x:c r="K399" s="174"/>
      <x:c r="L399" s="174"/>
      <x:c r="M399" s="174"/>
    </x:row>
    <x:row r="400">
      <x:c r="A400" s="174"/>
      <x:c r="B400" s="174" t="str">
        <x:f>IF(A400="","",IFERROR(INDEX('Master Evidence'!$L$4:$L$503,MATCH(A400,'Master Evidence'!$A$4:$A$503,0)),""))</x:f>
      </x:c>
      <x:c r="C400" s="174"/>
      <x:c r="D400" s="174"/>
      <x:c r="E400" s="174"/>
      <x:c r="F400" s="174"/>
      <x:c r="G400" s="174"/>
      <x:c r="H400" s="174"/>
      <x:c r="I400" s="174"/>
      <x:c r="J400" s="177"/>
      <x:c r="K400" s="174"/>
      <x:c r="L400" s="174"/>
      <x:c r="M400" s="174"/>
    </x:row>
    <x:row r="401">
      <x:c r="A401" s="174"/>
      <x:c r="B401" s="174" t="str">
        <x:f>IF(A401="","",IFERROR(INDEX('Master Evidence'!$L$4:$L$503,MATCH(A401,'Master Evidence'!$A$4:$A$503,0)),""))</x:f>
      </x:c>
      <x:c r="C401" s="174"/>
      <x:c r="D401" s="174"/>
      <x:c r="E401" s="174"/>
      <x:c r="F401" s="174"/>
      <x:c r="G401" s="174"/>
      <x:c r="H401" s="174"/>
      <x:c r="I401" s="174"/>
      <x:c r="J401" s="177"/>
      <x:c r="K401" s="174"/>
      <x:c r="L401" s="174"/>
      <x:c r="M401" s="174"/>
    </x:row>
    <x:row r="402">
      <x:c r="A402" s="174"/>
      <x:c r="B402" s="174" t="str">
        <x:f>IF(A402="","",IFERROR(INDEX('Master Evidence'!$L$4:$L$503,MATCH(A402,'Master Evidence'!$A$4:$A$503,0)),""))</x:f>
      </x:c>
      <x:c r="C402" s="174"/>
      <x:c r="D402" s="174"/>
      <x:c r="E402" s="174"/>
      <x:c r="F402" s="174"/>
      <x:c r="G402" s="174"/>
      <x:c r="H402" s="174"/>
      <x:c r="I402" s="174"/>
      <x:c r="J402" s="177"/>
      <x:c r="K402" s="174"/>
      <x:c r="L402" s="174"/>
      <x:c r="M402" s="174"/>
    </x:row>
    <x:row r="403">
      <x:c r="A403" s="174"/>
      <x:c r="B403" s="174" t="str">
        <x:f>IF(A403="","",IFERROR(INDEX('Master Evidence'!$L$4:$L$503,MATCH(A403,'Master Evidence'!$A$4:$A$503,0)),""))</x:f>
      </x:c>
      <x:c r="C403" s="174"/>
      <x:c r="D403" s="174"/>
      <x:c r="E403" s="174"/>
      <x:c r="F403" s="174"/>
      <x:c r="G403" s="174"/>
      <x:c r="H403" s="174"/>
      <x:c r="I403" s="174"/>
      <x:c r="J403" s="177"/>
      <x:c r="K403" s="174"/>
      <x:c r="L403" s="174"/>
      <x:c r="M403" s="174"/>
    </x:row>
    <x:row r="404">
      <x:c r="A404" s="174"/>
      <x:c r="B404" s="174" t="str">
        <x:f>IF(A404="","",IFERROR(INDEX('Master Evidence'!$L$4:$L$503,MATCH(A404,'Master Evidence'!$A$4:$A$503,0)),""))</x:f>
      </x:c>
      <x:c r="C404" s="174"/>
      <x:c r="D404" s="174"/>
      <x:c r="E404" s="174"/>
      <x:c r="F404" s="174"/>
      <x:c r="G404" s="174"/>
      <x:c r="H404" s="174"/>
      <x:c r="I404" s="174"/>
      <x:c r="J404" s="177"/>
      <x:c r="K404" s="174"/>
      <x:c r="L404" s="174"/>
      <x:c r="M404" s="174"/>
    </x:row>
    <x:row r="405">
      <x:c r="A405" s="174"/>
      <x:c r="B405" s="174" t="str">
        <x:f>IF(A405="","",IFERROR(INDEX('Master Evidence'!$L$4:$L$503,MATCH(A405,'Master Evidence'!$A$4:$A$503,0)),""))</x:f>
      </x:c>
      <x:c r="C405" s="174"/>
      <x:c r="D405" s="174"/>
      <x:c r="E405" s="174"/>
      <x:c r="F405" s="174"/>
      <x:c r="G405" s="174"/>
      <x:c r="H405" s="174"/>
      <x:c r="I405" s="174"/>
      <x:c r="J405" s="177"/>
      <x:c r="K405" s="174"/>
      <x:c r="L405" s="174"/>
      <x:c r="M405" s="174"/>
    </x:row>
    <x:row r="406">
      <x:c r="A406" s="174"/>
      <x:c r="B406" s="174" t="str">
        <x:f>IF(A406="","",IFERROR(INDEX('Master Evidence'!$L$4:$L$503,MATCH(A406,'Master Evidence'!$A$4:$A$503,0)),""))</x:f>
      </x:c>
      <x:c r="C406" s="174"/>
      <x:c r="D406" s="174"/>
      <x:c r="E406" s="174"/>
      <x:c r="F406" s="174"/>
      <x:c r="G406" s="174"/>
      <x:c r="H406" s="174"/>
      <x:c r="I406" s="174"/>
      <x:c r="J406" s="177"/>
      <x:c r="K406" s="174"/>
      <x:c r="L406" s="174"/>
      <x:c r="M406" s="174"/>
    </x:row>
    <x:row r="407">
      <x:c r="A407" s="174"/>
      <x:c r="B407" s="174" t="str">
        <x:f>IF(A407="","",IFERROR(INDEX('Master Evidence'!$L$4:$L$503,MATCH(A407,'Master Evidence'!$A$4:$A$503,0)),""))</x:f>
      </x:c>
      <x:c r="C407" s="174"/>
      <x:c r="D407" s="174"/>
      <x:c r="E407" s="174"/>
      <x:c r="F407" s="174"/>
      <x:c r="G407" s="174"/>
      <x:c r="H407" s="174"/>
      <x:c r="I407" s="174"/>
      <x:c r="J407" s="177"/>
      <x:c r="K407" s="174"/>
      <x:c r="L407" s="174"/>
      <x:c r="M407" s="174"/>
    </x:row>
    <x:row r="408">
      <x:c r="A408" s="174"/>
      <x:c r="B408" s="174" t="str">
        <x:f>IF(A408="","",IFERROR(INDEX('Master Evidence'!$L$4:$L$503,MATCH(A408,'Master Evidence'!$A$4:$A$503,0)),""))</x:f>
      </x:c>
      <x:c r="C408" s="174"/>
      <x:c r="D408" s="174"/>
      <x:c r="E408" s="174"/>
      <x:c r="F408" s="174"/>
      <x:c r="G408" s="174"/>
      <x:c r="H408" s="174"/>
      <x:c r="I408" s="174"/>
      <x:c r="J408" s="177"/>
      <x:c r="K408" s="174"/>
      <x:c r="L408" s="174"/>
      <x:c r="M408" s="174"/>
    </x:row>
    <x:row r="409">
      <x:c r="A409" s="174"/>
      <x:c r="B409" s="174" t="str">
        <x:f>IF(A409="","",IFERROR(INDEX('Master Evidence'!$L$4:$L$503,MATCH(A409,'Master Evidence'!$A$4:$A$503,0)),""))</x:f>
      </x:c>
      <x:c r="C409" s="174"/>
      <x:c r="D409" s="174"/>
      <x:c r="E409" s="174"/>
      <x:c r="F409" s="174"/>
      <x:c r="G409" s="174"/>
      <x:c r="H409" s="174"/>
      <x:c r="I409" s="174"/>
      <x:c r="J409" s="177"/>
      <x:c r="K409" s="174"/>
      <x:c r="L409" s="174"/>
      <x:c r="M409" s="174"/>
    </x:row>
    <x:row r="410">
      <x:c r="A410" s="174"/>
      <x:c r="B410" s="174" t="str">
        <x:f>IF(A410="","",IFERROR(INDEX('Master Evidence'!$L$4:$L$503,MATCH(A410,'Master Evidence'!$A$4:$A$503,0)),""))</x:f>
      </x:c>
      <x:c r="C410" s="174"/>
      <x:c r="D410" s="174"/>
      <x:c r="E410" s="174"/>
      <x:c r="F410" s="174"/>
      <x:c r="G410" s="174"/>
      <x:c r="H410" s="174"/>
      <x:c r="I410" s="174"/>
      <x:c r="J410" s="177"/>
      <x:c r="K410" s="174"/>
      <x:c r="L410" s="174"/>
      <x:c r="M410" s="174"/>
    </x:row>
    <x:row r="411">
      <x:c r="A411" s="174"/>
      <x:c r="B411" s="174" t="str">
        <x:f>IF(A411="","",IFERROR(INDEX('Master Evidence'!$L$4:$L$503,MATCH(A411,'Master Evidence'!$A$4:$A$503,0)),""))</x:f>
      </x:c>
      <x:c r="C411" s="174"/>
      <x:c r="D411" s="174"/>
      <x:c r="E411" s="174"/>
      <x:c r="F411" s="174"/>
      <x:c r="G411" s="174"/>
      <x:c r="H411" s="174"/>
      <x:c r="I411" s="174"/>
      <x:c r="J411" s="177"/>
      <x:c r="K411" s="174"/>
      <x:c r="L411" s="174"/>
      <x:c r="M411" s="174"/>
    </x:row>
    <x:row r="412">
      <x:c r="A412" s="174"/>
      <x:c r="B412" s="174" t="str">
        <x:f>IF(A412="","",IFERROR(INDEX('Master Evidence'!$L$4:$L$503,MATCH(A412,'Master Evidence'!$A$4:$A$503,0)),""))</x:f>
      </x:c>
      <x:c r="C412" s="174"/>
      <x:c r="D412" s="174"/>
      <x:c r="E412" s="174"/>
      <x:c r="F412" s="174"/>
      <x:c r="G412" s="174"/>
      <x:c r="H412" s="174"/>
      <x:c r="I412" s="174"/>
      <x:c r="J412" s="177"/>
      <x:c r="K412" s="174"/>
      <x:c r="L412" s="174"/>
      <x:c r="M412" s="174"/>
    </x:row>
    <x:row r="413">
      <x:c r="A413" s="174"/>
      <x:c r="B413" s="174" t="str">
        <x:f>IF(A413="","",IFERROR(INDEX('Master Evidence'!$L$4:$L$503,MATCH(A413,'Master Evidence'!$A$4:$A$503,0)),""))</x:f>
      </x:c>
      <x:c r="C413" s="174"/>
      <x:c r="D413" s="174"/>
      <x:c r="E413" s="174"/>
      <x:c r="F413" s="174"/>
      <x:c r="G413" s="174"/>
      <x:c r="H413" s="174"/>
      <x:c r="I413" s="174"/>
      <x:c r="J413" s="177"/>
      <x:c r="K413" s="174"/>
      <x:c r="L413" s="174"/>
      <x:c r="M413" s="174"/>
    </x:row>
    <x:row r="414">
      <x:c r="A414" s="174"/>
      <x:c r="B414" s="174" t="str">
        <x:f>IF(A414="","",IFERROR(INDEX('Master Evidence'!$L$4:$L$503,MATCH(A414,'Master Evidence'!$A$4:$A$503,0)),""))</x:f>
      </x:c>
      <x:c r="C414" s="174"/>
      <x:c r="D414" s="174"/>
      <x:c r="E414" s="174"/>
      <x:c r="F414" s="174"/>
      <x:c r="G414" s="174"/>
      <x:c r="H414" s="174"/>
      <x:c r="I414" s="174"/>
      <x:c r="J414" s="177"/>
      <x:c r="K414" s="174"/>
      <x:c r="L414" s="174"/>
      <x:c r="M414" s="174"/>
    </x:row>
    <x:row r="415">
      <x:c r="A415" s="174"/>
      <x:c r="B415" s="174" t="str">
        <x:f>IF(A415="","",IFERROR(INDEX('Master Evidence'!$L$4:$L$503,MATCH(A415,'Master Evidence'!$A$4:$A$503,0)),""))</x:f>
      </x:c>
      <x:c r="C415" s="174"/>
      <x:c r="D415" s="174"/>
      <x:c r="E415" s="174"/>
      <x:c r="F415" s="174"/>
      <x:c r="G415" s="174"/>
      <x:c r="H415" s="174"/>
      <x:c r="I415" s="174"/>
      <x:c r="J415" s="177"/>
      <x:c r="K415" s="174"/>
      <x:c r="L415" s="174"/>
      <x:c r="M415" s="174"/>
    </x:row>
    <x:row r="416">
      <x:c r="A416" s="174"/>
      <x:c r="B416" s="174" t="str">
        <x:f>IF(A416="","",IFERROR(INDEX('Master Evidence'!$L$4:$L$503,MATCH(A416,'Master Evidence'!$A$4:$A$503,0)),""))</x:f>
      </x:c>
      <x:c r="C416" s="174"/>
      <x:c r="D416" s="174"/>
      <x:c r="E416" s="174"/>
      <x:c r="F416" s="174"/>
      <x:c r="G416" s="174"/>
      <x:c r="H416" s="174"/>
      <x:c r="I416" s="174"/>
      <x:c r="J416" s="177"/>
      <x:c r="K416" s="174"/>
      <x:c r="L416" s="174"/>
      <x:c r="M416" s="174"/>
    </x:row>
    <x:row r="417">
      <x:c r="A417" s="174"/>
      <x:c r="B417" s="174" t="str">
        <x:f>IF(A417="","",IFERROR(INDEX('Master Evidence'!$L$4:$L$503,MATCH(A417,'Master Evidence'!$A$4:$A$503,0)),""))</x:f>
      </x:c>
      <x:c r="C417" s="174"/>
      <x:c r="D417" s="174"/>
      <x:c r="E417" s="174"/>
      <x:c r="F417" s="174"/>
      <x:c r="G417" s="174"/>
      <x:c r="H417" s="174"/>
      <x:c r="I417" s="174"/>
      <x:c r="J417" s="177"/>
      <x:c r="K417" s="174"/>
      <x:c r="L417" s="174"/>
      <x:c r="M417" s="174"/>
    </x:row>
    <x:row r="418">
      <x:c r="A418" s="174"/>
      <x:c r="B418" s="174" t="str">
        <x:f>IF(A418="","",IFERROR(INDEX('Master Evidence'!$L$4:$L$503,MATCH(A418,'Master Evidence'!$A$4:$A$503,0)),""))</x:f>
      </x:c>
      <x:c r="C418" s="174"/>
      <x:c r="D418" s="174"/>
      <x:c r="E418" s="174"/>
      <x:c r="F418" s="174"/>
      <x:c r="G418" s="174"/>
      <x:c r="H418" s="174"/>
      <x:c r="I418" s="174"/>
      <x:c r="J418" s="177"/>
      <x:c r="K418" s="174"/>
      <x:c r="L418" s="174"/>
      <x:c r="M418" s="174"/>
    </x:row>
    <x:row r="419">
      <x:c r="A419" s="174"/>
      <x:c r="B419" s="174" t="str">
        <x:f>IF(A419="","",IFERROR(INDEX('Master Evidence'!$L$4:$L$503,MATCH(A419,'Master Evidence'!$A$4:$A$503,0)),""))</x:f>
      </x:c>
      <x:c r="C419" s="174"/>
      <x:c r="D419" s="174"/>
      <x:c r="E419" s="174"/>
      <x:c r="F419" s="174"/>
      <x:c r="G419" s="174"/>
      <x:c r="H419" s="174"/>
      <x:c r="I419" s="174"/>
      <x:c r="J419" s="177"/>
      <x:c r="K419" s="174"/>
      <x:c r="L419" s="174"/>
      <x:c r="M419" s="174"/>
    </x:row>
    <x:row r="420">
      <x:c r="A420" s="174"/>
      <x:c r="B420" s="174" t="str">
        <x:f>IF(A420="","",IFERROR(INDEX('Master Evidence'!$L$4:$L$503,MATCH(A420,'Master Evidence'!$A$4:$A$503,0)),""))</x:f>
      </x:c>
      <x:c r="C420" s="174"/>
      <x:c r="D420" s="174"/>
      <x:c r="E420" s="174"/>
      <x:c r="F420" s="174"/>
      <x:c r="G420" s="174"/>
      <x:c r="H420" s="174"/>
      <x:c r="I420" s="174"/>
      <x:c r="J420" s="177"/>
      <x:c r="K420" s="174"/>
      <x:c r="L420" s="174"/>
      <x:c r="M420" s="174"/>
    </x:row>
    <x:row r="421">
      <x:c r="A421" s="174"/>
      <x:c r="B421" s="174" t="str">
        <x:f>IF(A421="","",IFERROR(INDEX('Master Evidence'!$L$4:$L$503,MATCH(A421,'Master Evidence'!$A$4:$A$503,0)),""))</x:f>
      </x:c>
      <x:c r="C421" s="174"/>
      <x:c r="D421" s="174"/>
      <x:c r="E421" s="174"/>
      <x:c r="F421" s="174"/>
      <x:c r="G421" s="174"/>
      <x:c r="H421" s="174"/>
      <x:c r="I421" s="174"/>
      <x:c r="J421" s="177"/>
      <x:c r="K421" s="174"/>
      <x:c r="L421" s="174"/>
      <x:c r="M421" s="174"/>
    </x:row>
    <x:row r="422">
      <x:c r="A422" s="174"/>
      <x:c r="B422" s="174" t="str">
        <x:f>IF(A422="","",IFERROR(INDEX('Master Evidence'!$L$4:$L$503,MATCH(A422,'Master Evidence'!$A$4:$A$503,0)),""))</x:f>
      </x:c>
      <x:c r="C422" s="174"/>
      <x:c r="D422" s="174"/>
      <x:c r="E422" s="174"/>
      <x:c r="F422" s="174"/>
      <x:c r="G422" s="174"/>
      <x:c r="H422" s="174"/>
      <x:c r="I422" s="174"/>
      <x:c r="J422" s="177"/>
      <x:c r="K422" s="174"/>
      <x:c r="L422" s="174"/>
      <x:c r="M422" s="174"/>
    </x:row>
    <x:row r="423">
      <x:c r="A423" s="174"/>
      <x:c r="B423" s="174" t="str">
        <x:f>IF(A423="","",IFERROR(INDEX('Master Evidence'!$L$4:$L$503,MATCH(A423,'Master Evidence'!$A$4:$A$503,0)),""))</x:f>
      </x:c>
      <x:c r="C423" s="174"/>
      <x:c r="D423" s="174"/>
      <x:c r="E423" s="174"/>
      <x:c r="F423" s="174"/>
      <x:c r="G423" s="174"/>
      <x:c r="H423" s="174"/>
      <x:c r="I423" s="174"/>
      <x:c r="J423" s="177"/>
      <x:c r="K423" s="174"/>
      <x:c r="L423" s="174"/>
      <x:c r="M423" s="174"/>
    </x:row>
    <x:row r="424">
      <x:c r="A424" s="174"/>
      <x:c r="B424" s="174" t="str">
        <x:f>IF(A424="","",IFERROR(INDEX('Master Evidence'!$L$4:$L$503,MATCH(A424,'Master Evidence'!$A$4:$A$503,0)),""))</x:f>
      </x:c>
      <x:c r="C424" s="174"/>
      <x:c r="D424" s="174"/>
      <x:c r="E424" s="174"/>
      <x:c r="F424" s="174"/>
      <x:c r="G424" s="174"/>
      <x:c r="H424" s="174"/>
      <x:c r="I424" s="174"/>
      <x:c r="J424" s="177"/>
      <x:c r="K424" s="174"/>
      <x:c r="L424" s="174"/>
      <x:c r="M424" s="174"/>
    </x:row>
    <x:row r="425">
      <x:c r="A425" s="174"/>
      <x:c r="B425" s="174" t="str">
        <x:f>IF(A425="","",IFERROR(INDEX('Master Evidence'!$L$4:$L$503,MATCH(A425,'Master Evidence'!$A$4:$A$503,0)),""))</x:f>
      </x:c>
      <x:c r="C425" s="174"/>
      <x:c r="D425" s="174"/>
      <x:c r="E425" s="174"/>
      <x:c r="F425" s="174"/>
      <x:c r="G425" s="174"/>
      <x:c r="H425" s="174"/>
      <x:c r="I425" s="174"/>
      <x:c r="J425" s="177"/>
      <x:c r="K425" s="174"/>
      <x:c r="L425" s="174"/>
      <x:c r="M425" s="174"/>
    </x:row>
    <x:row r="426">
      <x:c r="A426" s="174"/>
      <x:c r="B426" s="174" t="str">
        <x:f>IF(A426="","",IFERROR(INDEX('Master Evidence'!$L$4:$L$503,MATCH(A426,'Master Evidence'!$A$4:$A$503,0)),""))</x:f>
      </x:c>
      <x:c r="C426" s="174"/>
      <x:c r="D426" s="174"/>
      <x:c r="E426" s="174"/>
      <x:c r="F426" s="174"/>
      <x:c r="G426" s="174"/>
      <x:c r="H426" s="174"/>
      <x:c r="I426" s="174"/>
      <x:c r="J426" s="177"/>
      <x:c r="K426" s="174"/>
      <x:c r="L426" s="174"/>
      <x:c r="M426" s="174"/>
    </x:row>
    <x:row r="427">
      <x:c r="A427" s="174"/>
      <x:c r="B427" s="174" t="str">
        <x:f>IF(A427="","",IFERROR(INDEX('Master Evidence'!$L$4:$L$503,MATCH(A427,'Master Evidence'!$A$4:$A$503,0)),""))</x:f>
      </x:c>
      <x:c r="C427" s="174"/>
      <x:c r="D427" s="174"/>
      <x:c r="E427" s="174"/>
      <x:c r="F427" s="174"/>
      <x:c r="G427" s="174"/>
      <x:c r="H427" s="174"/>
      <x:c r="I427" s="174"/>
      <x:c r="J427" s="177"/>
      <x:c r="K427" s="174"/>
      <x:c r="L427" s="174"/>
      <x:c r="M427" s="174"/>
    </x:row>
    <x:row r="428">
      <x:c r="A428" s="174"/>
      <x:c r="B428" s="174" t="str">
        <x:f>IF(A428="","",IFERROR(INDEX('Master Evidence'!$L$4:$L$503,MATCH(A428,'Master Evidence'!$A$4:$A$503,0)),""))</x:f>
      </x:c>
      <x:c r="C428" s="174"/>
      <x:c r="D428" s="174"/>
      <x:c r="E428" s="174"/>
      <x:c r="F428" s="174"/>
      <x:c r="G428" s="174"/>
      <x:c r="H428" s="174"/>
      <x:c r="I428" s="174"/>
      <x:c r="J428" s="177"/>
      <x:c r="K428" s="174"/>
      <x:c r="L428" s="174"/>
      <x:c r="M428" s="174"/>
    </x:row>
    <x:row r="429">
      <x:c r="A429" s="174"/>
      <x:c r="B429" s="174" t="str">
        <x:f>IF(A429="","",IFERROR(INDEX('Master Evidence'!$L$4:$L$503,MATCH(A429,'Master Evidence'!$A$4:$A$503,0)),""))</x:f>
      </x:c>
      <x:c r="C429" s="174"/>
      <x:c r="D429" s="174"/>
      <x:c r="E429" s="174"/>
      <x:c r="F429" s="174"/>
      <x:c r="G429" s="174"/>
      <x:c r="H429" s="174"/>
      <x:c r="I429" s="174"/>
      <x:c r="J429" s="177"/>
      <x:c r="K429" s="174"/>
      <x:c r="L429" s="174"/>
      <x:c r="M429" s="174"/>
    </x:row>
    <x:row r="430">
      <x:c r="A430" s="174"/>
      <x:c r="B430" s="174" t="str">
        <x:f>IF(A430="","",IFERROR(INDEX('Master Evidence'!$L$4:$L$503,MATCH(A430,'Master Evidence'!$A$4:$A$503,0)),""))</x:f>
      </x:c>
      <x:c r="C430" s="174"/>
      <x:c r="D430" s="174"/>
      <x:c r="E430" s="174"/>
      <x:c r="F430" s="174"/>
      <x:c r="G430" s="174"/>
      <x:c r="H430" s="174"/>
      <x:c r="I430" s="174"/>
      <x:c r="J430" s="177"/>
      <x:c r="K430" s="174"/>
      <x:c r="L430" s="174"/>
      <x:c r="M430" s="174"/>
    </x:row>
    <x:row r="431">
      <x:c r="A431" s="174"/>
      <x:c r="B431" s="174" t="str">
        <x:f>IF(A431="","",IFERROR(INDEX('Master Evidence'!$L$4:$L$503,MATCH(A431,'Master Evidence'!$A$4:$A$503,0)),""))</x:f>
      </x:c>
      <x:c r="C431" s="174"/>
      <x:c r="D431" s="174"/>
      <x:c r="E431" s="174"/>
      <x:c r="F431" s="174"/>
      <x:c r="G431" s="174"/>
      <x:c r="H431" s="174"/>
      <x:c r="I431" s="174"/>
      <x:c r="J431" s="177"/>
      <x:c r="K431" s="174"/>
      <x:c r="L431" s="174"/>
      <x:c r="M431" s="174"/>
    </x:row>
    <x:row r="432">
      <x:c r="A432" s="174"/>
      <x:c r="B432" s="174" t="str">
        <x:f>IF(A432="","",IFERROR(INDEX('Master Evidence'!$L$4:$L$503,MATCH(A432,'Master Evidence'!$A$4:$A$503,0)),""))</x:f>
      </x:c>
      <x:c r="C432" s="174"/>
      <x:c r="D432" s="174"/>
      <x:c r="E432" s="174"/>
      <x:c r="F432" s="174"/>
      <x:c r="G432" s="174"/>
      <x:c r="H432" s="174"/>
      <x:c r="I432" s="174"/>
      <x:c r="J432" s="177"/>
      <x:c r="K432" s="174"/>
      <x:c r="L432" s="174"/>
      <x:c r="M432" s="174"/>
    </x:row>
    <x:row r="433">
      <x:c r="A433" s="174"/>
      <x:c r="B433" s="174" t="str">
        <x:f>IF(A433="","",IFERROR(INDEX('Master Evidence'!$L$4:$L$503,MATCH(A433,'Master Evidence'!$A$4:$A$503,0)),""))</x:f>
      </x:c>
      <x:c r="C433" s="174"/>
      <x:c r="D433" s="174"/>
      <x:c r="E433" s="174"/>
      <x:c r="F433" s="174"/>
      <x:c r="G433" s="174"/>
      <x:c r="H433" s="174"/>
      <x:c r="I433" s="174"/>
      <x:c r="J433" s="177"/>
      <x:c r="K433" s="174"/>
      <x:c r="L433" s="174"/>
      <x:c r="M433" s="174"/>
    </x:row>
    <x:row r="434">
      <x:c r="A434" s="174"/>
      <x:c r="B434" s="174" t="str">
        <x:f>IF(A434="","",IFERROR(INDEX('Master Evidence'!$L$4:$L$503,MATCH(A434,'Master Evidence'!$A$4:$A$503,0)),""))</x:f>
      </x:c>
      <x:c r="C434" s="174"/>
      <x:c r="D434" s="174"/>
      <x:c r="E434" s="174"/>
      <x:c r="F434" s="174"/>
      <x:c r="G434" s="174"/>
      <x:c r="H434" s="174"/>
      <x:c r="I434" s="174"/>
      <x:c r="J434" s="177"/>
      <x:c r="K434" s="174"/>
      <x:c r="L434" s="174"/>
      <x:c r="M434" s="174"/>
    </x:row>
    <x:row r="435">
      <x:c r="A435" s="174"/>
      <x:c r="B435" s="174" t="str">
        <x:f>IF(A435="","",IFERROR(INDEX('Master Evidence'!$L$4:$L$503,MATCH(A435,'Master Evidence'!$A$4:$A$503,0)),""))</x:f>
      </x:c>
      <x:c r="C435" s="174"/>
      <x:c r="D435" s="174"/>
      <x:c r="E435" s="174"/>
      <x:c r="F435" s="174"/>
      <x:c r="G435" s="174"/>
      <x:c r="H435" s="174"/>
      <x:c r="I435" s="174"/>
      <x:c r="J435" s="177"/>
      <x:c r="K435" s="174"/>
      <x:c r="L435" s="174"/>
      <x:c r="M435" s="174"/>
    </x:row>
    <x:row r="436">
      <x:c r="A436" s="174"/>
      <x:c r="B436" s="174" t="str">
        <x:f>IF(A436="","",IFERROR(INDEX('Master Evidence'!$L$4:$L$503,MATCH(A436,'Master Evidence'!$A$4:$A$503,0)),""))</x:f>
      </x:c>
      <x:c r="C436" s="174"/>
      <x:c r="D436" s="174"/>
      <x:c r="E436" s="174"/>
      <x:c r="F436" s="174"/>
      <x:c r="G436" s="174"/>
      <x:c r="H436" s="174"/>
      <x:c r="I436" s="174"/>
      <x:c r="J436" s="177"/>
      <x:c r="K436" s="174"/>
      <x:c r="L436" s="174"/>
      <x:c r="M436" s="174"/>
    </x:row>
    <x:row r="437">
      <x:c r="A437" s="174"/>
      <x:c r="B437" s="174" t="str">
        <x:f>IF(A437="","",IFERROR(INDEX('Master Evidence'!$L$4:$L$503,MATCH(A437,'Master Evidence'!$A$4:$A$503,0)),""))</x:f>
      </x:c>
      <x:c r="C437" s="174"/>
      <x:c r="D437" s="174"/>
      <x:c r="E437" s="174"/>
      <x:c r="F437" s="174"/>
      <x:c r="G437" s="174"/>
      <x:c r="H437" s="174"/>
      <x:c r="I437" s="174"/>
      <x:c r="J437" s="177"/>
      <x:c r="K437" s="174"/>
      <x:c r="L437" s="174"/>
      <x:c r="M437" s="174"/>
    </x:row>
    <x:row r="438">
      <x:c r="A438" s="174"/>
      <x:c r="B438" s="174" t="str">
        <x:f>IF(A438="","",IFERROR(INDEX('Master Evidence'!$L$4:$L$503,MATCH(A438,'Master Evidence'!$A$4:$A$503,0)),""))</x:f>
      </x:c>
      <x:c r="C438" s="174"/>
      <x:c r="D438" s="174"/>
      <x:c r="E438" s="174"/>
      <x:c r="F438" s="174"/>
      <x:c r="G438" s="174"/>
      <x:c r="H438" s="174"/>
      <x:c r="I438" s="174"/>
      <x:c r="J438" s="177"/>
      <x:c r="K438" s="174"/>
      <x:c r="L438" s="174"/>
      <x:c r="M438" s="174"/>
    </x:row>
    <x:row r="439">
      <x:c r="A439" s="174"/>
      <x:c r="B439" s="174" t="str">
        <x:f>IF(A439="","",IFERROR(INDEX('Master Evidence'!$L$4:$L$503,MATCH(A439,'Master Evidence'!$A$4:$A$503,0)),""))</x:f>
      </x:c>
      <x:c r="C439" s="174"/>
      <x:c r="D439" s="174"/>
      <x:c r="E439" s="174"/>
      <x:c r="F439" s="174"/>
      <x:c r="G439" s="174"/>
      <x:c r="H439" s="174"/>
      <x:c r="I439" s="174"/>
      <x:c r="J439" s="177"/>
      <x:c r="K439" s="174"/>
      <x:c r="L439" s="174"/>
      <x:c r="M439" s="174"/>
    </x:row>
    <x:row r="440">
      <x:c r="A440" s="174"/>
      <x:c r="B440" s="174" t="str">
        <x:f>IF(A440="","",IFERROR(INDEX('Master Evidence'!$L$4:$L$503,MATCH(A440,'Master Evidence'!$A$4:$A$503,0)),""))</x:f>
      </x:c>
      <x:c r="C440" s="174"/>
      <x:c r="D440" s="174"/>
      <x:c r="E440" s="174"/>
      <x:c r="F440" s="174"/>
      <x:c r="G440" s="174"/>
      <x:c r="H440" s="174"/>
      <x:c r="I440" s="174"/>
      <x:c r="J440" s="177"/>
      <x:c r="K440" s="174"/>
      <x:c r="L440" s="174"/>
      <x:c r="M440" s="174"/>
    </x:row>
    <x:row r="441">
      <x:c r="A441" s="174"/>
      <x:c r="B441" s="174" t="str">
        <x:f>IF(A441="","",IFERROR(INDEX('Master Evidence'!$L$4:$L$503,MATCH(A441,'Master Evidence'!$A$4:$A$503,0)),""))</x:f>
      </x:c>
      <x:c r="C441" s="174"/>
      <x:c r="D441" s="174"/>
      <x:c r="E441" s="174"/>
      <x:c r="F441" s="174"/>
      <x:c r="G441" s="174"/>
      <x:c r="H441" s="174"/>
      <x:c r="I441" s="174"/>
      <x:c r="J441" s="177"/>
      <x:c r="K441" s="174"/>
      <x:c r="L441" s="174"/>
      <x:c r="M441" s="174"/>
    </x:row>
    <x:row r="442">
      <x:c r="A442" s="174"/>
      <x:c r="B442" s="174" t="str">
        <x:f>IF(A442="","",IFERROR(INDEX('Master Evidence'!$L$4:$L$503,MATCH(A442,'Master Evidence'!$A$4:$A$503,0)),""))</x:f>
      </x:c>
      <x:c r="C442" s="174"/>
      <x:c r="D442" s="174"/>
      <x:c r="E442" s="174"/>
      <x:c r="F442" s="174"/>
      <x:c r="G442" s="174"/>
      <x:c r="H442" s="174"/>
      <x:c r="I442" s="174"/>
      <x:c r="J442" s="177"/>
      <x:c r="K442" s="174"/>
      <x:c r="L442" s="174"/>
      <x:c r="M442" s="174"/>
    </x:row>
    <x:row r="443">
      <x:c r="A443" s="174"/>
      <x:c r="B443" s="174" t="str">
        <x:f>IF(A443="","",IFERROR(INDEX('Master Evidence'!$L$4:$L$503,MATCH(A443,'Master Evidence'!$A$4:$A$503,0)),""))</x:f>
      </x:c>
      <x:c r="C443" s="174"/>
      <x:c r="D443" s="174"/>
      <x:c r="E443" s="174"/>
      <x:c r="F443" s="174"/>
      <x:c r="G443" s="174"/>
      <x:c r="H443" s="174"/>
      <x:c r="I443" s="174"/>
      <x:c r="J443" s="177"/>
      <x:c r="K443" s="174"/>
      <x:c r="L443" s="174"/>
      <x:c r="M443" s="174"/>
    </x:row>
    <x:row r="444">
      <x:c r="A444" s="174"/>
      <x:c r="B444" s="174" t="str">
        <x:f>IF(A444="","",IFERROR(INDEX('Master Evidence'!$L$4:$L$503,MATCH(A444,'Master Evidence'!$A$4:$A$503,0)),""))</x:f>
      </x:c>
      <x:c r="C444" s="174"/>
      <x:c r="D444" s="174"/>
      <x:c r="E444" s="174"/>
      <x:c r="F444" s="174"/>
      <x:c r="G444" s="174"/>
      <x:c r="H444" s="174"/>
      <x:c r="I444" s="174"/>
      <x:c r="J444" s="177"/>
      <x:c r="K444" s="174"/>
      <x:c r="L444" s="174"/>
      <x:c r="M444" s="174"/>
    </x:row>
    <x:row r="445">
      <x:c r="A445" s="174"/>
      <x:c r="B445" s="174" t="str">
        <x:f>IF(A445="","",IFERROR(INDEX('Master Evidence'!$L$4:$L$503,MATCH(A445,'Master Evidence'!$A$4:$A$503,0)),""))</x:f>
      </x:c>
      <x:c r="C445" s="174"/>
      <x:c r="D445" s="174"/>
      <x:c r="E445" s="174"/>
      <x:c r="F445" s="174"/>
      <x:c r="G445" s="174"/>
      <x:c r="H445" s="174"/>
      <x:c r="I445" s="174"/>
      <x:c r="J445" s="177"/>
      <x:c r="K445" s="174"/>
      <x:c r="L445" s="174"/>
      <x:c r="M445" s="174"/>
    </x:row>
    <x:row r="446">
      <x:c r="A446" s="174"/>
      <x:c r="B446" s="174" t="str">
        <x:f>IF(A446="","",IFERROR(INDEX('Master Evidence'!$L$4:$L$503,MATCH(A446,'Master Evidence'!$A$4:$A$503,0)),""))</x:f>
      </x:c>
      <x:c r="C446" s="174"/>
      <x:c r="D446" s="174"/>
      <x:c r="E446" s="174"/>
      <x:c r="F446" s="174"/>
      <x:c r="G446" s="174"/>
      <x:c r="H446" s="174"/>
      <x:c r="I446" s="174"/>
      <x:c r="J446" s="177"/>
      <x:c r="K446" s="174"/>
      <x:c r="L446" s="174"/>
      <x:c r="M446" s="174"/>
    </x:row>
    <x:row r="447">
      <x:c r="A447" s="174"/>
      <x:c r="B447" s="174" t="str">
        <x:f>IF(A447="","",IFERROR(INDEX('Master Evidence'!$L$4:$L$503,MATCH(A447,'Master Evidence'!$A$4:$A$503,0)),""))</x:f>
      </x:c>
      <x:c r="C447" s="174"/>
      <x:c r="D447" s="174"/>
      <x:c r="E447" s="174"/>
      <x:c r="F447" s="174"/>
      <x:c r="G447" s="174"/>
      <x:c r="H447" s="174"/>
      <x:c r="I447" s="174"/>
      <x:c r="J447" s="177"/>
      <x:c r="K447" s="174"/>
      <x:c r="L447" s="174"/>
      <x:c r="M447" s="174"/>
    </x:row>
    <x:row r="448">
      <x:c r="A448" s="174"/>
      <x:c r="B448" s="174" t="str">
        <x:f>IF(A448="","",IFERROR(INDEX('Master Evidence'!$L$4:$L$503,MATCH(A448,'Master Evidence'!$A$4:$A$503,0)),""))</x:f>
      </x:c>
      <x:c r="C448" s="174"/>
      <x:c r="D448" s="174"/>
      <x:c r="E448" s="174"/>
      <x:c r="F448" s="174"/>
      <x:c r="G448" s="174"/>
      <x:c r="H448" s="174"/>
      <x:c r="I448" s="174"/>
      <x:c r="J448" s="177"/>
      <x:c r="K448" s="174"/>
      <x:c r="L448" s="174"/>
      <x:c r="M448" s="174"/>
    </x:row>
    <x:row r="449">
      <x:c r="A449" s="174"/>
      <x:c r="B449" s="174" t="str">
        <x:f>IF(A449="","",IFERROR(INDEX('Master Evidence'!$L$4:$L$503,MATCH(A449,'Master Evidence'!$A$4:$A$503,0)),""))</x:f>
      </x:c>
      <x:c r="C449" s="174"/>
      <x:c r="D449" s="174"/>
      <x:c r="E449" s="174"/>
      <x:c r="F449" s="174"/>
      <x:c r="G449" s="174"/>
      <x:c r="H449" s="174"/>
      <x:c r="I449" s="174"/>
      <x:c r="J449" s="177"/>
      <x:c r="K449" s="174"/>
      <x:c r="L449" s="174"/>
      <x:c r="M449" s="174"/>
    </x:row>
    <x:row r="450">
      <x:c r="A450" s="174"/>
      <x:c r="B450" s="174" t="str">
        <x:f>IF(A450="","",IFERROR(INDEX('Master Evidence'!$L$4:$L$503,MATCH(A450,'Master Evidence'!$A$4:$A$503,0)),""))</x:f>
      </x:c>
      <x:c r="C450" s="174"/>
      <x:c r="D450" s="174"/>
      <x:c r="E450" s="174"/>
      <x:c r="F450" s="174"/>
      <x:c r="G450" s="174"/>
      <x:c r="H450" s="174"/>
      <x:c r="I450" s="174"/>
      <x:c r="J450" s="177"/>
      <x:c r="K450" s="174"/>
      <x:c r="L450" s="174"/>
      <x:c r="M450" s="174"/>
    </x:row>
    <x:row r="451">
      <x:c r="A451" s="174"/>
      <x:c r="B451" s="174" t="str">
        <x:f>IF(A451="","",IFERROR(INDEX('Master Evidence'!$L$4:$L$503,MATCH(A451,'Master Evidence'!$A$4:$A$503,0)),""))</x:f>
      </x:c>
      <x:c r="C451" s="174"/>
      <x:c r="D451" s="174"/>
      <x:c r="E451" s="174"/>
      <x:c r="F451" s="174"/>
      <x:c r="G451" s="174"/>
      <x:c r="H451" s="174"/>
      <x:c r="I451" s="174"/>
      <x:c r="J451" s="177"/>
      <x:c r="K451" s="174"/>
      <x:c r="L451" s="174"/>
      <x:c r="M451" s="174"/>
    </x:row>
    <x:row r="452">
      <x:c r="A452" s="174"/>
      <x:c r="B452" s="174" t="str">
        <x:f>IF(A452="","",IFERROR(INDEX('Master Evidence'!$L$4:$L$503,MATCH(A452,'Master Evidence'!$A$4:$A$503,0)),""))</x:f>
      </x:c>
      <x:c r="C452" s="174"/>
      <x:c r="D452" s="174"/>
      <x:c r="E452" s="174"/>
      <x:c r="F452" s="174"/>
      <x:c r="G452" s="174"/>
      <x:c r="H452" s="174"/>
      <x:c r="I452" s="174"/>
      <x:c r="J452" s="177"/>
      <x:c r="K452" s="174"/>
      <x:c r="L452" s="174"/>
      <x:c r="M452" s="174"/>
    </x:row>
    <x:row r="453">
      <x:c r="A453" s="174"/>
      <x:c r="B453" s="174" t="str">
        <x:f>IF(A453="","",IFERROR(INDEX('Master Evidence'!$L$4:$L$503,MATCH(A453,'Master Evidence'!$A$4:$A$503,0)),""))</x:f>
      </x:c>
      <x:c r="C453" s="174"/>
      <x:c r="D453" s="174"/>
      <x:c r="E453" s="174"/>
      <x:c r="F453" s="174"/>
      <x:c r="G453" s="174"/>
      <x:c r="H453" s="174"/>
      <x:c r="I453" s="174"/>
      <x:c r="J453" s="177"/>
      <x:c r="K453" s="174"/>
      <x:c r="L453" s="174"/>
      <x:c r="M453" s="174"/>
    </x:row>
    <x:row r="454">
      <x:c r="A454" s="174"/>
      <x:c r="B454" s="174" t="str">
        <x:f>IF(A454="","",IFERROR(INDEX('Master Evidence'!$L$4:$L$503,MATCH(A454,'Master Evidence'!$A$4:$A$503,0)),""))</x:f>
      </x:c>
      <x:c r="C454" s="174"/>
      <x:c r="D454" s="174"/>
      <x:c r="E454" s="174"/>
      <x:c r="F454" s="174"/>
      <x:c r="G454" s="174"/>
      <x:c r="H454" s="174"/>
      <x:c r="I454" s="174"/>
      <x:c r="J454" s="177"/>
      <x:c r="K454" s="174"/>
      <x:c r="L454" s="174"/>
      <x:c r="M454" s="174"/>
    </x:row>
    <x:row r="455">
      <x:c r="A455" s="174"/>
      <x:c r="B455" s="174" t="str">
        <x:f>IF(A455="","",IFERROR(INDEX('Master Evidence'!$L$4:$L$503,MATCH(A455,'Master Evidence'!$A$4:$A$503,0)),""))</x:f>
      </x:c>
      <x:c r="C455" s="174"/>
      <x:c r="D455" s="174"/>
      <x:c r="E455" s="174"/>
      <x:c r="F455" s="174"/>
      <x:c r="G455" s="174"/>
      <x:c r="H455" s="174"/>
      <x:c r="I455" s="174"/>
      <x:c r="J455" s="177"/>
      <x:c r="K455" s="174"/>
      <x:c r="L455" s="174"/>
      <x:c r="M455" s="174"/>
    </x:row>
    <x:row r="456">
      <x:c r="A456" s="174"/>
      <x:c r="B456" s="174" t="str">
        <x:f>IF(A456="","",IFERROR(INDEX('Master Evidence'!$L$4:$L$503,MATCH(A456,'Master Evidence'!$A$4:$A$503,0)),""))</x:f>
      </x:c>
      <x:c r="C456" s="174"/>
      <x:c r="D456" s="174"/>
      <x:c r="E456" s="174"/>
      <x:c r="F456" s="174"/>
      <x:c r="G456" s="174"/>
      <x:c r="H456" s="174"/>
      <x:c r="I456" s="174"/>
      <x:c r="J456" s="177"/>
      <x:c r="K456" s="174"/>
      <x:c r="L456" s="174"/>
      <x:c r="M456" s="174"/>
    </x:row>
    <x:row r="457">
      <x:c r="A457" s="174"/>
      <x:c r="B457" s="174" t="str">
        <x:f>IF(A457="","",IFERROR(INDEX('Master Evidence'!$L$4:$L$503,MATCH(A457,'Master Evidence'!$A$4:$A$503,0)),""))</x:f>
      </x:c>
      <x:c r="C457" s="174"/>
      <x:c r="D457" s="174"/>
      <x:c r="E457" s="174"/>
      <x:c r="F457" s="174"/>
      <x:c r="G457" s="174"/>
      <x:c r="H457" s="174"/>
      <x:c r="I457" s="174"/>
      <x:c r="J457" s="177"/>
      <x:c r="K457" s="174"/>
      <x:c r="L457" s="174"/>
      <x:c r="M457" s="174"/>
    </x:row>
    <x:row r="458">
      <x:c r="A458" s="174"/>
      <x:c r="B458" s="174" t="str">
        <x:f>IF(A458="","",IFERROR(INDEX('Master Evidence'!$L$4:$L$503,MATCH(A458,'Master Evidence'!$A$4:$A$503,0)),""))</x:f>
      </x:c>
      <x:c r="C458" s="174"/>
      <x:c r="D458" s="174"/>
      <x:c r="E458" s="174"/>
      <x:c r="F458" s="174"/>
      <x:c r="G458" s="174"/>
      <x:c r="H458" s="174"/>
      <x:c r="I458" s="174"/>
      <x:c r="J458" s="177"/>
      <x:c r="K458" s="174"/>
      <x:c r="L458" s="174"/>
      <x:c r="M458" s="174"/>
    </x:row>
    <x:row r="459">
      <x:c r="A459" s="174"/>
      <x:c r="B459" s="174" t="str">
        <x:f>IF(A459="","",IFERROR(INDEX('Master Evidence'!$L$4:$L$503,MATCH(A459,'Master Evidence'!$A$4:$A$503,0)),""))</x:f>
      </x:c>
      <x:c r="C459" s="174"/>
      <x:c r="D459" s="174"/>
      <x:c r="E459" s="174"/>
      <x:c r="F459" s="174"/>
      <x:c r="G459" s="174"/>
      <x:c r="H459" s="174"/>
      <x:c r="I459" s="174"/>
      <x:c r="J459" s="177"/>
      <x:c r="K459" s="174"/>
      <x:c r="L459" s="174"/>
      <x:c r="M459" s="174"/>
    </x:row>
    <x:row r="460">
      <x:c r="A460" s="174"/>
      <x:c r="B460" s="174" t="str">
        <x:f>IF(A460="","",IFERROR(INDEX('Master Evidence'!$L$4:$L$503,MATCH(A460,'Master Evidence'!$A$4:$A$503,0)),""))</x:f>
      </x:c>
      <x:c r="C460" s="174"/>
      <x:c r="D460" s="174"/>
      <x:c r="E460" s="174"/>
      <x:c r="F460" s="174"/>
      <x:c r="G460" s="174"/>
      <x:c r="H460" s="174"/>
      <x:c r="I460" s="174"/>
      <x:c r="J460" s="177"/>
      <x:c r="K460" s="174"/>
      <x:c r="L460" s="174"/>
      <x:c r="M460" s="174"/>
    </x:row>
    <x:row r="461">
      <x:c r="A461" s="174"/>
      <x:c r="B461" s="174" t="str">
        <x:f>IF(A461="","",IFERROR(INDEX('Master Evidence'!$L$4:$L$503,MATCH(A461,'Master Evidence'!$A$4:$A$503,0)),""))</x:f>
      </x:c>
      <x:c r="C461" s="174"/>
      <x:c r="D461" s="174"/>
      <x:c r="E461" s="174"/>
      <x:c r="F461" s="174"/>
      <x:c r="G461" s="174"/>
      <x:c r="H461" s="174"/>
      <x:c r="I461" s="174"/>
      <x:c r="J461" s="177"/>
      <x:c r="K461" s="174"/>
      <x:c r="L461" s="174"/>
      <x:c r="M461" s="174"/>
    </x:row>
    <x:row r="462">
      <x:c r="A462" s="174"/>
      <x:c r="B462" s="174" t="str">
        <x:f>IF(A462="","",IFERROR(INDEX('Master Evidence'!$L$4:$L$503,MATCH(A462,'Master Evidence'!$A$4:$A$503,0)),""))</x:f>
      </x:c>
      <x:c r="C462" s="174"/>
      <x:c r="D462" s="174"/>
      <x:c r="E462" s="174"/>
      <x:c r="F462" s="174"/>
      <x:c r="G462" s="174"/>
      <x:c r="H462" s="174"/>
      <x:c r="I462" s="174"/>
      <x:c r="J462" s="177"/>
      <x:c r="K462" s="174"/>
      <x:c r="L462" s="174"/>
      <x:c r="M462" s="174"/>
    </x:row>
    <x:row r="463">
      <x:c r="A463" s="174"/>
      <x:c r="B463" s="174" t="str">
        <x:f>IF(A463="","",IFERROR(INDEX('Master Evidence'!$L$4:$L$503,MATCH(A463,'Master Evidence'!$A$4:$A$503,0)),""))</x:f>
      </x:c>
      <x:c r="C463" s="174"/>
      <x:c r="D463" s="174"/>
      <x:c r="E463" s="174"/>
      <x:c r="F463" s="174"/>
      <x:c r="G463" s="174"/>
      <x:c r="H463" s="174"/>
      <x:c r="I463" s="174"/>
      <x:c r="J463" s="177"/>
      <x:c r="K463" s="174"/>
      <x:c r="L463" s="174"/>
      <x:c r="M463" s="174"/>
    </x:row>
    <x:row r="464">
      <x:c r="A464" s="174"/>
      <x:c r="B464" s="174" t="str">
        <x:f>IF(A464="","",IFERROR(INDEX('Master Evidence'!$L$4:$L$503,MATCH(A464,'Master Evidence'!$A$4:$A$503,0)),""))</x:f>
      </x:c>
      <x:c r="C464" s="174"/>
      <x:c r="D464" s="174"/>
      <x:c r="E464" s="174"/>
      <x:c r="F464" s="174"/>
      <x:c r="G464" s="174"/>
      <x:c r="H464" s="174"/>
      <x:c r="I464" s="174"/>
      <x:c r="J464" s="177"/>
      <x:c r="K464" s="174"/>
      <x:c r="L464" s="174"/>
      <x:c r="M464" s="174"/>
    </x:row>
    <x:row r="465">
      <x:c r="A465" s="174"/>
      <x:c r="B465" s="174" t="str">
        <x:f>IF(A465="","",IFERROR(INDEX('Master Evidence'!$L$4:$L$503,MATCH(A465,'Master Evidence'!$A$4:$A$503,0)),""))</x:f>
      </x:c>
      <x:c r="C465" s="174"/>
      <x:c r="D465" s="174"/>
      <x:c r="E465" s="174"/>
      <x:c r="F465" s="174"/>
      <x:c r="G465" s="174"/>
      <x:c r="H465" s="174"/>
      <x:c r="I465" s="174"/>
      <x:c r="J465" s="177"/>
      <x:c r="K465" s="174"/>
      <x:c r="L465" s="174"/>
      <x:c r="M465" s="174"/>
    </x:row>
    <x:row r="466">
      <x:c r="A466" s="174"/>
      <x:c r="B466" s="174" t="str">
        <x:f>IF(A466="","",IFERROR(INDEX('Master Evidence'!$L$4:$L$503,MATCH(A466,'Master Evidence'!$A$4:$A$503,0)),""))</x:f>
      </x:c>
      <x:c r="C466" s="174"/>
      <x:c r="D466" s="174"/>
      <x:c r="E466" s="174"/>
      <x:c r="F466" s="174"/>
      <x:c r="G466" s="174"/>
      <x:c r="H466" s="174"/>
      <x:c r="I466" s="174"/>
      <x:c r="J466" s="177"/>
      <x:c r="K466" s="174"/>
      <x:c r="L466" s="174"/>
      <x:c r="M466" s="174"/>
    </x:row>
    <x:row r="467">
      <x:c r="A467" s="174"/>
      <x:c r="B467" s="174" t="str">
        <x:f>IF(A467="","",IFERROR(INDEX('Master Evidence'!$L$4:$L$503,MATCH(A467,'Master Evidence'!$A$4:$A$503,0)),""))</x:f>
      </x:c>
      <x:c r="C467" s="174"/>
      <x:c r="D467" s="174"/>
      <x:c r="E467" s="174"/>
      <x:c r="F467" s="174"/>
      <x:c r="G467" s="174"/>
      <x:c r="H467" s="174"/>
      <x:c r="I467" s="174"/>
      <x:c r="J467" s="177"/>
      <x:c r="K467" s="174"/>
      <x:c r="L467" s="174"/>
      <x:c r="M467" s="174"/>
    </x:row>
    <x:row r="468">
      <x:c r="A468" s="174"/>
      <x:c r="B468" s="174" t="str">
        <x:f>IF(A468="","",IFERROR(INDEX('Master Evidence'!$L$4:$L$503,MATCH(A468,'Master Evidence'!$A$4:$A$503,0)),""))</x:f>
      </x:c>
      <x:c r="C468" s="174"/>
      <x:c r="D468" s="174"/>
      <x:c r="E468" s="174"/>
      <x:c r="F468" s="174"/>
      <x:c r="G468" s="174"/>
      <x:c r="H468" s="174"/>
      <x:c r="I468" s="174"/>
      <x:c r="J468" s="177"/>
      <x:c r="K468" s="174"/>
      <x:c r="L468" s="174"/>
      <x:c r="M468" s="174"/>
    </x:row>
    <x:row r="469">
      <x:c r="A469" s="174"/>
      <x:c r="B469" s="174" t="str">
        <x:f>IF(A469="","",IFERROR(INDEX('Master Evidence'!$L$4:$L$503,MATCH(A469,'Master Evidence'!$A$4:$A$503,0)),""))</x:f>
      </x:c>
      <x:c r="C469" s="174"/>
      <x:c r="D469" s="174"/>
      <x:c r="E469" s="174"/>
      <x:c r="F469" s="174"/>
      <x:c r="G469" s="174"/>
      <x:c r="H469" s="174"/>
      <x:c r="I469" s="174"/>
      <x:c r="J469" s="177"/>
      <x:c r="K469" s="174"/>
      <x:c r="L469" s="174"/>
      <x:c r="M469" s="174"/>
    </x:row>
    <x:row r="470">
      <x:c r="A470" s="174"/>
      <x:c r="B470" s="174" t="str">
        <x:f>IF(A470="","",IFERROR(INDEX('Master Evidence'!$L$4:$L$503,MATCH(A470,'Master Evidence'!$A$4:$A$503,0)),""))</x:f>
      </x:c>
      <x:c r="C470" s="174"/>
      <x:c r="D470" s="174"/>
      <x:c r="E470" s="174"/>
      <x:c r="F470" s="174"/>
      <x:c r="G470" s="174"/>
      <x:c r="H470" s="174"/>
      <x:c r="I470" s="174"/>
      <x:c r="J470" s="177"/>
      <x:c r="K470" s="174"/>
      <x:c r="L470" s="174"/>
      <x:c r="M470" s="174"/>
    </x:row>
    <x:row r="471">
      <x:c r="A471" s="174"/>
      <x:c r="B471" s="174" t="str">
        <x:f>IF(A471="","",IFERROR(INDEX('Master Evidence'!$L$4:$L$503,MATCH(A471,'Master Evidence'!$A$4:$A$503,0)),""))</x:f>
      </x:c>
      <x:c r="C471" s="174"/>
      <x:c r="D471" s="174"/>
      <x:c r="E471" s="174"/>
      <x:c r="F471" s="174"/>
      <x:c r="G471" s="174"/>
      <x:c r="H471" s="174"/>
      <x:c r="I471" s="174"/>
      <x:c r="J471" s="177"/>
      <x:c r="K471" s="174"/>
      <x:c r="L471" s="174"/>
      <x:c r="M471" s="174"/>
    </x:row>
    <x:row r="472">
      <x:c r="A472" s="174"/>
      <x:c r="B472" s="174" t="str">
        <x:f>IF(A472="","",IFERROR(INDEX('Master Evidence'!$L$4:$L$503,MATCH(A472,'Master Evidence'!$A$4:$A$503,0)),""))</x:f>
      </x:c>
      <x:c r="C472" s="174"/>
      <x:c r="D472" s="174"/>
      <x:c r="E472" s="174"/>
      <x:c r="F472" s="174"/>
      <x:c r="G472" s="174"/>
      <x:c r="H472" s="174"/>
      <x:c r="I472" s="174"/>
      <x:c r="J472" s="177"/>
      <x:c r="K472" s="174"/>
      <x:c r="L472" s="174"/>
      <x:c r="M472" s="174"/>
    </x:row>
    <x:row r="473">
      <x:c r="A473" s="174"/>
      <x:c r="B473" s="174" t="str">
        <x:f>IF(A473="","",IFERROR(INDEX('Master Evidence'!$L$4:$L$503,MATCH(A473,'Master Evidence'!$A$4:$A$503,0)),""))</x:f>
      </x:c>
      <x:c r="C473" s="174"/>
      <x:c r="D473" s="174"/>
      <x:c r="E473" s="174"/>
      <x:c r="F473" s="174"/>
      <x:c r="G473" s="174"/>
      <x:c r="H473" s="174"/>
      <x:c r="I473" s="174"/>
      <x:c r="J473" s="177"/>
      <x:c r="K473" s="174"/>
      <x:c r="L473" s="174"/>
      <x:c r="M473" s="174"/>
    </x:row>
    <x:row r="474">
      <x:c r="A474" s="174"/>
      <x:c r="B474" s="174" t="str">
        <x:f>IF(A474="","",IFERROR(INDEX('Master Evidence'!$L$4:$L$503,MATCH(A474,'Master Evidence'!$A$4:$A$503,0)),""))</x:f>
      </x:c>
      <x:c r="C474" s="174"/>
      <x:c r="D474" s="174"/>
      <x:c r="E474" s="174"/>
      <x:c r="F474" s="174"/>
      <x:c r="G474" s="174"/>
      <x:c r="H474" s="174"/>
      <x:c r="I474" s="174"/>
      <x:c r="J474" s="177"/>
      <x:c r="K474" s="174"/>
      <x:c r="L474" s="174"/>
      <x:c r="M474" s="174"/>
    </x:row>
    <x:row r="475">
      <x:c r="A475" s="174"/>
      <x:c r="B475" s="174" t="str">
        <x:f>IF(A475="","",IFERROR(INDEX('Master Evidence'!$L$4:$L$503,MATCH(A475,'Master Evidence'!$A$4:$A$503,0)),""))</x:f>
      </x:c>
      <x:c r="C475" s="174"/>
      <x:c r="D475" s="174"/>
      <x:c r="E475" s="174"/>
      <x:c r="F475" s="174"/>
      <x:c r="G475" s="174"/>
      <x:c r="H475" s="174"/>
      <x:c r="I475" s="174"/>
      <x:c r="J475" s="177"/>
      <x:c r="K475" s="174"/>
      <x:c r="L475" s="174"/>
      <x:c r="M475" s="174"/>
    </x:row>
    <x:row r="476">
      <x:c r="A476" s="174"/>
      <x:c r="B476" s="174" t="str">
        <x:f>IF(A476="","",IFERROR(INDEX('Master Evidence'!$L$4:$L$503,MATCH(A476,'Master Evidence'!$A$4:$A$503,0)),""))</x:f>
      </x:c>
      <x:c r="C476" s="174"/>
      <x:c r="D476" s="174"/>
      <x:c r="E476" s="174"/>
      <x:c r="F476" s="174"/>
      <x:c r="G476" s="174"/>
      <x:c r="H476" s="174"/>
      <x:c r="I476" s="174"/>
      <x:c r="J476" s="177"/>
      <x:c r="K476" s="174"/>
      <x:c r="L476" s="174"/>
      <x:c r="M476" s="174"/>
    </x:row>
    <x:row r="477">
      <x:c r="A477" s="174"/>
      <x:c r="B477" s="174" t="str">
        <x:f>IF(A477="","",IFERROR(INDEX('Master Evidence'!$L$4:$L$503,MATCH(A477,'Master Evidence'!$A$4:$A$503,0)),""))</x:f>
      </x:c>
      <x:c r="C477" s="174"/>
      <x:c r="D477" s="174"/>
      <x:c r="E477" s="174"/>
      <x:c r="F477" s="174"/>
      <x:c r="G477" s="174"/>
      <x:c r="H477" s="174"/>
      <x:c r="I477" s="174"/>
      <x:c r="J477" s="177"/>
      <x:c r="K477" s="174"/>
      <x:c r="L477" s="174"/>
      <x:c r="M477" s="174"/>
    </x:row>
    <x:row r="478">
      <x:c r="A478" s="174"/>
      <x:c r="B478" s="174" t="str">
        <x:f>IF(A478="","",IFERROR(INDEX('Master Evidence'!$L$4:$L$503,MATCH(A478,'Master Evidence'!$A$4:$A$503,0)),""))</x:f>
      </x:c>
      <x:c r="C478" s="174"/>
      <x:c r="D478" s="174"/>
      <x:c r="E478" s="174"/>
      <x:c r="F478" s="174"/>
      <x:c r="G478" s="174"/>
      <x:c r="H478" s="174"/>
      <x:c r="I478" s="174"/>
      <x:c r="J478" s="177"/>
      <x:c r="K478" s="174"/>
      <x:c r="L478" s="174"/>
      <x:c r="M478" s="174"/>
    </x:row>
    <x:row r="479">
      <x:c r="A479" s="174"/>
      <x:c r="B479" s="174" t="str">
        <x:f>IF(A479="","",IFERROR(INDEX('Master Evidence'!$L$4:$L$503,MATCH(A479,'Master Evidence'!$A$4:$A$503,0)),""))</x:f>
      </x:c>
      <x:c r="C479" s="174"/>
      <x:c r="D479" s="174"/>
      <x:c r="E479" s="174"/>
      <x:c r="F479" s="174"/>
      <x:c r="G479" s="174"/>
      <x:c r="H479" s="174"/>
      <x:c r="I479" s="174"/>
      <x:c r="J479" s="177"/>
      <x:c r="K479" s="174"/>
      <x:c r="L479" s="174"/>
      <x:c r="M479" s="174"/>
    </x:row>
    <x:row r="480">
      <x:c r="A480" s="174"/>
      <x:c r="B480" s="174" t="str">
        <x:f>IF(A480="","",IFERROR(INDEX('Master Evidence'!$L$4:$L$503,MATCH(A480,'Master Evidence'!$A$4:$A$503,0)),""))</x:f>
      </x:c>
      <x:c r="C480" s="174"/>
      <x:c r="D480" s="174"/>
      <x:c r="E480" s="174"/>
      <x:c r="F480" s="174"/>
      <x:c r="G480" s="174"/>
      <x:c r="H480" s="174"/>
      <x:c r="I480" s="174"/>
      <x:c r="J480" s="177"/>
      <x:c r="K480" s="174"/>
      <x:c r="L480" s="174"/>
      <x:c r="M480" s="174"/>
    </x:row>
    <x:row r="481">
      <x:c r="A481" s="174"/>
      <x:c r="B481" s="174" t="str">
        <x:f>IF(A481="","",IFERROR(INDEX('Master Evidence'!$L$4:$L$503,MATCH(A481,'Master Evidence'!$A$4:$A$503,0)),""))</x:f>
      </x:c>
      <x:c r="C481" s="174"/>
      <x:c r="D481" s="174"/>
      <x:c r="E481" s="174"/>
      <x:c r="F481" s="174"/>
      <x:c r="G481" s="174"/>
      <x:c r="H481" s="174"/>
      <x:c r="I481" s="174"/>
      <x:c r="J481" s="177"/>
      <x:c r="K481" s="174"/>
      <x:c r="L481" s="174"/>
      <x:c r="M481" s="174"/>
    </x:row>
    <x:row r="482">
      <x:c r="A482" s="174"/>
      <x:c r="B482" s="174" t="str">
        <x:f>IF(A482="","",IFERROR(INDEX('Master Evidence'!$L$4:$L$503,MATCH(A482,'Master Evidence'!$A$4:$A$503,0)),""))</x:f>
      </x:c>
      <x:c r="C482" s="174"/>
      <x:c r="D482" s="174"/>
      <x:c r="E482" s="174"/>
      <x:c r="F482" s="174"/>
      <x:c r="G482" s="174"/>
      <x:c r="H482" s="174"/>
      <x:c r="I482" s="174"/>
      <x:c r="J482" s="177"/>
      <x:c r="K482" s="174"/>
      <x:c r="L482" s="174"/>
      <x:c r="M482" s="174"/>
    </x:row>
    <x:row r="483">
      <x:c r="A483" s="174"/>
      <x:c r="B483" s="174" t="str">
        <x:f>IF(A483="","",IFERROR(INDEX('Master Evidence'!$L$4:$L$503,MATCH(A483,'Master Evidence'!$A$4:$A$503,0)),""))</x:f>
      </x:c>
      <x:c r="C483" s="174"/>
      <x:c r="D483" s="174"/>
      <x:c r="E483" s="174"/>
      <x:c r="F483" s="174"/>
      <x:c r="G483" s="174"/>
      <x:c r="H483" s="174"/>
      <x:c r="I483" s="174"/>
      <x:c r="J483" s="177"/>
      <x:c r="K483" s="174"/>
      <x:c r="L483" s="174"/>
      <x:c r="M483" s="174"/>
    </x:row>
    <x:row r="484">
      <x:c r="A484" s="174"/>
      <x:c r="B484" s="174" t="str">
        <x:f>IF(A484="","",IFERROR(INDEX('Master Evidence'!$L$4:$L$503,MATCH(A484,'Master Evidence'!$A$4:$A$503,0)),""))</x:f>
      </x:c>
      <x:c r="C484" s="174"/>
      <x:c r="D484" s="174"/>
      <x:c r="E484" s="174"/>
      <x:c r="F484" s="174"/>
      <x:c r="G484" s="174"/>
      <x:c r="H484" s="174"/>
      <x:c r="I484" s="174"/>
      <x:c r="J484" s="177"/>
      <x:c r="K484" s="174"/>
      <x:c r="L484" s="174"/>
      <x:c r="M484" s="174"/>
    </x:row>
    <x:row r="485">
      <x:c r="A485" s="174"/>
      <x:c r="B485" s="174" t="str">
        <x:f>IF(A485="","",IFERROR(INDEX('Master Evidence'!$L$4:$L$503,MATCH(A485,'Master Evidence'!$A$4:$A$503,0)),""))</x:f>
      </x:c>
      <x:c r="C485" s="174"/>
      <x:c r="D485" s="174"/>
      <x:c r="E485" s="174"/>
      <x:c r="F485" s="174"/>
      <x:c r="G485" s="174"/>
      <x:c r="H485" s="174"/>
      <x:c r="I485" s="174"/>
      <x:c r="J485" s="177"/>
      <x:c r="K485" s="174"/>
      <x:c r="L485" s="174"/>
      <x:c r="M485" s="174"/>
    </x:row>
    <x:row r="486">
      <x:c r="A486" s="174"/>
      <x:c r="B486" s="174" t="str">
        <x:f>IF(A486="","",IFERROR(INDEX('Master Evidence'!$L$4:$L$503,MATCH(A486,'Master Evidence'!$A$4:$A$503,0)),""))</x:f>
      </x:c>
      <x:c r="C486" s="174"/>
      <x:c r="D486" s="174"/>
      <x:c r="E486" s="174"/>
      <x:c r="F486" s="174"/>
      <x:c r="G486" s="174"/>
      <x:c r="H486" s="174"/>
      <x:c r="I486" s="174"/>
      <x:c r="J486" s="177"/>
      <x:c r="K486" s="174"/>
      <x:c r="L486" s="174"/>
      <x:c r="M486" s="174"/>
    </x:row>
    <x:row r="487">
      <x:c r="A487" s="174"/>
      <x:c r="B487" s="174" t="str">
        <x:f>IF(A487="","",IFERROR(INDEX('Master Evidence'!$L$4:$L$503,MATCH(A487,'Master Evidence'!$A$4:$A$503,0)),""))</x:f>
      </x:c>
      <x:c r="C487" s="174"/>
      <x:c r="D487" s="174"/>
      <x:c r="E487" s="174"/>
      <x:c r="F487" s="174"/>
      <x:c r="G487" s="174"/>
      <x:c r="H487" s="174"/>
      <x:c r="I487" s="174"/>
      <x:c r="J487" s="177"/>
      <x:c r="K487" s="174"/>
      <x:c r="L487" s="174"/>
      <x:c r="M487" s="174"/>
    </x:row>
    <x:row r="488">
      <x:c r="A488" s="174"/>
      <x:c r="B488" s="174" t="str">
        <x:f>IF(A488="","",IFERROR(INDEX('Master Evidence'!$L$4:$L$503,MATCH(A488,'Master Evidence'!$A$4:$A$503,0)),""))</x:f>
      </x:c>
      <x:c r="C488" s="174"/>
      <x:c r="D488" s="174"/>
      <x:c r="E488" s="174"/>
      <x:c r="F488" s="174"/>
      <x:c r="G488" s="174"/>
      <x:c r="H488" s="174"/>
      <x:c r="I488" s="174"/>
      <x:c r="J488" s="177"/>
      <x:c r="K488" s="174"/>
      <x:c r="L488" s="174"/>
      <x:c r="M488" s="174"/>
    </x:row>
    <x:row r="489">
      <x:c r="A489" s="174"/>
      <x:c r="B489" s="174" t="str">
        <x:f>IF(A489="","",IFERROR(INDEX('Master Evidence'!$L$4:$L$503,MATCH(A489,'Master Evidence'!$A$4:$A$503,0)),""))</x:f>
      </x:c>
      <x:c r="C489" s="174"/>
      <x:c r="D489" s="174"/>
      <x:c r="E489" s="174"/>
      <x:c r="F489" s="174"/>
      <x:c r="G489" s="174"/>
      <x:c r="H489" s="174"/>
      <x:c r="I489" s="174"/>
      <x:c r="J489" s="177"/>
      <x:c r="K489" s="174"/>
      <x:c r="L489" s="174"/>
      <x:c r="M489" s="174"/>
    </x:row>
    <x:row r="490">
      <x:c r="A490" s="174"/>
      <x:c r="B490" s="174" t="str">
        <x:f>IF(A490="","",IFERROR(INDEX('Master Evidence'!$L$4:$L$503,MATCH(A490,'Master Evidence'!$A$4:$A$503,0)),""))</x:f>
      </x:c>
      <x:c r="C490" s="174"/>
      <x:c r="D490" s="174"/>
      <x:c r="E490" s="174"/>
      <x:c r="F490" s="174"/>
      <x:c r="G490" s="174"/>
      <x:c r="H490" s="174"/>
      <x:c r="I490" s="174"/>
      <x:c r="J490" s="177"/>
      <x:c r="K490" s="174"/>
      <x:c r="L490" s="174"/>
      <x:c r="M490" s="174"/>
    </x:row>
    <x:row r="491">
      <x:c r="A491" s="174"/>
      <x:c r="B491" s="174" t="str">
        <x:f>IF(A491="","",IFERROR(INDEX('Master Evidence'!$L$4:$L$503,MATCH(A491,'Master Evidence'!$A$4:$A$503,0)),""))</x:f>
      </x:c>
      <x:c r="C491" s="174"/>
      <x:c r="D491" s="174"/>
      <x:c r="E491" s="174"/>
      <x:c r="F491" s="174"/>
      <x:c r="G491" s="174"/>
      <x:c r="H491" s="174"/>
      <x:c r="I491" s="174"/>
      <x:c r="J491" s="177"/>
      <x:c r="K491" s="174"/>
      <x:c r="L491" s="174"/>
      <x:c r="M491" s="174"/>
    </x:row>
    <x:row r="492">
      <x:c r="A492" s="174"/>
      <x:c r="B492" s="174" t="str">
        <x:f>IF(A492="","",IFERROR(INDEX('Master Evidence'!$L$4:$L$503,MATCH(A492,'Master Evidence'!$A$4:$A$503,0)),""))</x:f>
      </x:c>
      <x:c r="C492" s="174"/>
      <x:c r="D492" s="174"/>
      <x:c r="E492" s="174"/>
      <x:c r="F492" s="174"/>
      <x:c r="G492" s="174"/>
      <x:c r="H492" s="174"/>
      <x:c r="I492" s="174"/>
      <x:c r="J492" s="177"/>
      <x:c r="K492" s="174"/>
      <x:c r="L492" s="174"/>
      <x:c r="M492" s="174"/>
    </x:row>
    <x:row r="493">
      <x:c r="A493" s="174"/>
      <x:c r="B493" s="174" t="str">
        <x:f>IF(A493="","",IFERROR(INDEX('Master Evidence'!$L$4:$L$503,MATCH(A493,'Master Evidence'!$A$4:$A$503,0)),""))</x:f>
      </x:c>
      <x:c r="C493" s="174"/>
      <x:c r="D493" s="174"/>
      <x:c r="E493" s="174"/>
      <x:c r="F493" s="174"/>
      <x:c r="G493" s="174"/>
      <x:c r="H493" s="174"/>
      <x:c r="I493" s="174"/>
      <x:c r="J493" s="177"/>
      <x:c r="K493" s="174"/>
      <x:c r="L493" s="174"/>
      <x:c r="M493" s="174"/>
    </x:row>
    <x:row r="494">
      <x:c r="A494" s="174"/>
      <x:c r="B494" s="174" t="str">
        <x:f>IF(A494="","",IFERROR(INDEX('Master Evidence'!$L$4:$L$503,MATCH(A494,'Master Evidence'!$A$4:$A$503,0)),""))</x:f>
      </x:c>
      <x:c r="C494" s="174"/>
      <x:c r="D494" s="174"/>
      <x:c r="E494" s="174"/>
      <x:c r="F494" s="174"/>
      <x:c r="G494" s="174"/>
      <x:c r="H494" s="174"/>
      <x:c r="I494" s="174"/>
      <x:c r="J494" s="177"/>
      <x:c r="K494" s="174"/>
      <x:c r="L494" s="174"/>
      <x:c r="M494" s="174"/>
    </x:row>
    <x:row r="495">
      <x:c r="A495" s="174"/>
      <x:c r="B495" s="174" t="str">
        <x:f>IF(A495="","",IFERROR(INDEX('Master Evidence'!$L$4:$L$503,MATCH(A495,'Master Evidence'!$A$4:$A$503,0)),""))</x:f>
      </x:c>
      <x:c r="C495" s="174"/>
      <x:c r="D495" s="174"/>
      <x:c r="E495" s="174"/>
      <x:c r="F495" s="174"/>
      <x:c r="G495" s="174"/>
      <x:c r="H495" s="174"/>
      <x:c r="I495" s="174"/>
      <x:c r="J495" s="177"/>
      <x:c r="K495" s="174"/>
      <x:c r="L495" s="174"/>
      <x:c r="M495" s="174"/>
    </x:row>
    <x:row r="496">
      <x:c r="A496" s="174"/>
      <x:c r="B496" s="174" t="str">
        <x:f>IF(A496="","",IFERROR(INDEX('Master Evidence'!$L$4:$L$503,MATCH(A496,'Master Evidence'!$A$4:$A$503,0)),""))</x:f>
      </x:c>
      <x:c r="C496" s="174"/>
      <x:c r="D496" s="174"/>
      <x:c r="E496" s="174"/>
      <x:c r="F496" s="174"/>
      <x:c r="G496" s="174"/>
      <x:c r="H496" s="174"/>
      <x:c r="I496" s="174"/>
      <x:c r="J496" s="177"/>
      <x:c r="K496" s="174"/>
      <x:c r="L496" s="174"/>
      <x:c r="M496" s="174"/>
    </x:row>
    <x:row r="497">
      <x:c r="A497" s="174"/>
      <x:c r="B497" s="174" t="str">
        <x:f>IF(A497="","",IFERROR(INDEX('Master Evidence'!$L$4:$L$503,MATCH(A497,'Master Evidence'!$A$4:$A$503,0)),""))</x:f>
      </x:c>
      <x:c r="C497" s="174"/>
      <x:c r="D497" s="174"/>
      <x:c r="E497" s="174"/>
      <x:c r="F497" s="174"/>
      <x:c r="G497" s="174"/>
      <x:c r="H497" s="174"/>
      <x:c r="I497" s="174"/>
      <x:c r="J497" s="177"/>
      <x:c r="K497" s="174"/>
      <x:c r="L497" s="174"/>
      <x:c r="M497" s="174"/>
    </x:row>
    <x:row r="498">
      <x:c r="A498" s="174"/>
      <x:c r="B498" s="174" t="str">
        <x:f>IF(A498="","",IFERROR(INDEX('Master Evidence'!$L$4:$L$503,MATCH(A498,'Master Evidence'!$A$4:$A$503,0)),""))</x:f>
      </x:c>
      <x:c r="C498" s="174"/>
      <x:c r="D498" s="174"/>
      <x:c r="E498" s="174"/>
      <x:c r="F498" s="174"/>
      <x:c r="G498" s="174"/>
      <x:c r="H498" s="174"/>
      <x:c r="I498" s="174"/>
      <x:c r="J498" s="177"/>
      <x:c r="K498" s="174"/>
      <x:c r="L498" s="174"/>
      <x:c r="M498" s="174"/>
    </x:row>
    <x:row r="499">
      <x:c r="A499" s="174"/>
      <x:c r="B499" s="174" t="str">
        <x:f>IF(A499="","",IFERROR(INDEX('Master Evidence'!$L$4:$L$503,MATCH(A499,'Master Evidence'!$A$4:$A$503,0)),""))</x:f>
      </x:c>
      <x:c r="C499" s="174"/>
      <x:c r="D499" s="174"/>
      <x:c r="E499" s="174"/>
      <x:c r="F499" s="174"/>
      <x:c r="G499" s="174"/>
      <x:c r="H499" s="174"/>
      <x:c r="I499" s="174"/>
      <x:c r="J499" s="177"/>
      <x:c r="K499" s="174"/>
      <x:c r="L499" s="174"/>
      <x:c r="M499" s="174"/>
    </x:row>
    <x:row r="500">
      <x:c r="A500" s="174"/>
      <x:c r="B500" s="174" t="str">
        <x:f>IF(A500="","",IFERROR(INDEX('Master Evidence'!$L$4:$L$503,MATCH(A500,'Master Evidence'!$A$4:$A$503,0)),""))</x:f>
      </x:c>
      <x:c r="C500" s="174"/>
      <x:c r="D500" s="174"/>
      <x:c r="E500" s="174"/>
      <x:c r="F500" s="174"/>
      <x:c r="G500" s="174"/>
      <x:c r="H500" s="174"/>
      <x:c r="I500" s="174"/>
      <x:c r="J500" s="177"/>
      <x:c r="K500" s="174"/>
      <x:c r="L500" s="174"/>
      <x:c r="M500" s="174"/>
    </x:row>
    <x:row r="501">
      <x:c r="A501" s="174"/>
      <x:c r="B501" s="174" t="str">
        <x:f>IF(A501="","",IFERROR(INDEX('Master Evidence'!$L$4:$L$503,MATCH(A501,'Master Evidence'!$A$4:$A$503,0)),""))</x:f>
      </x:c>
      <x:c r="C501" s="174"/>
      <x:c r="D501" s="174"/>
      <x:c r="E501" s="174"/>
      <x:c r="F501" s="174"/>
      <x:c r="G501" s="174"/>
      <x:c r="H501" s="174"/>
      <x:c r="I501" s="174"/>
      <x:c r="J501" s="177"/>
      <x:c r="K501" s="174"/>
      <x:c r="L501" s="174"/>
      <x:c r="M501" s="174"/>
    </x:row>
    <x:row r="502">
      <x:c r="A502" s="174"/>
      <x:c r="B502" s="174" t="str">
        <x:f>IF(A502="","",IFERROR(INDEX('Master Evidence'!$L$4:$L$503,MATCH(A502,'Master Evidence'!$A$4:$A$503,0)),""))</x:f>
      </x:c>
      <x:c r="C502" s="174"/>
      <x:c r="D502" s="174"/>
      <x:c r="E502" s="174"/>
      <x:c r="F502" s="174"/>
      <x:c r="G502" s="174"/>
      <x:c r="H502" s="174"/>
      <x:c r="I502" s="174"/>
      <x:c r="J502" s="177"/>
      <x:c r="K502" s="174"/>
      <x:c r="L502" s="174"/>
      <x:c r="M502" s="174"/>
    </x:row>
    <x:row r="503">
      <x:c r="A503" s="174"/>
      <x:c r="B503" s="174" t="str">
        <x:f>IF(A503="","",IFERROR(INDEX('Master Evidence'!$L$4:$L$503,MATCH(A503,'Master Evidence'!$A$4:$A$503,0)),""))</x:f>
      </x:c>
      <x:c r="C503" s="174"/>
      <x:c r="D503" s="174"/>
      <x:c r="E503" s="174"/>
      <x:c r="F503" s="174"/>
      <x:c r="G503" s="174"/>
      <x:c r="H503" s="174"/>
      <x:c r="I503" s="174"/>
      <x:c r="J503" s="177"/>
      <x:c r="K503" s="174"/>
      <x:c r="L503" s="174"/>
      <x:c r="M503" s="174"/>
    </x:row>
  </x:sheetData>
  <x:mergeCells>
    <x:mergeCell ref="A1:M1"/>
    <x:mergeCell ref="A2:M2"/>
  </x:mergeCells>
  <x:dataValidations count="3">
    <x:dataValidation type="list" sqref="C4:C503">
      <x:formula1>"Yes,No,Pending,Not required"</x:formula1>
    </x:dataValidation>
    <x:dataValidation type="list" sqref="D4:D503">
      <x:formula1>"Available lawful,Pending,Unavailable,Not required"</x:formula1>
    </x:dataValidation>
    <x:dataValidation type="list" sqref="E4:E503">
      <x:formula1>"Zotero,Google Drive,Publisher,Institutional repository,Not stored"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cc629e047c41d8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28" hidden="0" customWidth="1"/>
    <x:col min="5" max="5" width="32" hidden="0" customWidth="1"/>
    <x:col min="6" max="6" width="24" hidden="0" customWidth="1"/>
    <x:col min="7" max="7" width="28" hidden="0" customWidth="1"/>
    <x:col min="8" max="8" width="16" hidden="0" customWidth="1"/>
    <x:col min="9" max="9" width="16" hidden="0" customWidth="1"/>
    <x:col min="10" max="10" width="34" hidden="0" customWidth="1"/>
    <x:col min="11" max="11" width="34" hidden="0" customWidth="1"/>
    <x:col min="12" max="12" width="28" hidden="0" customWidth="1"/>
    <x:col min="13" max="13" width="20" hidden="0" customWidth="1"/>
    <x:col min="14" max="14" width="18" hidden="0" customWidth="1"/>
    <x:col min="15" max="15" width="18" hidden="0" customWidth="1"/>
  </x:cols>
  <x:sheetData>
    <x:row r="1" ht="34" customHeight="1">
      <x:c r="A1" s="366" t="str">
        <x:v>EVIDENCE GAPS &amp; FUTURE RESEARCH AGENDA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8"/>
    </x:row>
    <x:row r="2" ht="30" customHeight="1">
      <x:c r="A2" s="369" t="str">
        <x:v>Log only evidence-informed gaps; absence from the current workbook is not itself proof that a literature gap exists.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</x:row>
    <x:row r="3">
      <x:c r="A3" s="371" t="str">
        <x:v>Gap ID</x:v>
      </x:c>
      <x:c r="B3" s="371" t="str">
        <x:v>Domain</x:v>
      </x:c>
      <x:c r="C3" s="371" t="str">
        <x:v>Gap Statement</x:v>
      </x:c>
      <x:c r="D3" s="371" t="str">
        <x:v>Evidence Basis / IDs</x:v>
      </x:c>
      <x:c r="E3" s="371" t="str">
        <x:v>Brazil Relevance</x:v>
      </x:c>
      <x:c r="F3" s="371" t="str">
        <x:v>Population</x:v>
      </x:c>
      <x:c r="G3" s="371" t="str">
        <x:v>Proposed Study Design</x:v>
      </x:c>
      <x:c r="H3" s="371" t="str">
        <x:v>Priority</x:v>
      </x:c>
      <x:c r="I3" s="371" t="str">
        <x:v>Feasibility</x:v>
      </x:c>
      <x:c r="J3" s="371" t="str">
        <x:v>Ethical / Legal Constraints</x:v>
      </x:c>
      <x:c r="K3" s="371" t="str">
        <x:v>Expected Readiness Contribution</x:v>
      </x:c>
      <x:c r="L3" s="371" t="str">
        <x:v>Dependencies</x:v>
      </x:c>
      <x:c r="M3" s="371" t="str">
        <x:v>Owner</x:v>
      </x:c>
      <x:c r="N3" s="371" t="str">
        <x:v>Target Horizon</x:v>
      </x:c>
      <x:c r="O3" s="371" t="str">
        <x:v>Status</x:v>
      </x:c>
    </x:row>
    <x:row r="4">
      <x:c r="A4" s="174" t="str">
        <x:f>IF(C4="","","GAP-"&amp;TEXT(ROW()-3,"0000"))</x:f>
      </x:c>
      <x:c r="B4" s="174"/>
      <x:c r="C4" s="174"/>
      <x:c r="D4" s="174"/>
      <x:c r="E4" s="174"/>
      <x:c r="F4" s="174"/>
      <x:c r="G4" s="174"/>
      <x:c r="H4" s="174"/>
      <x:c r="I4" s="174"/>
      <x:c r="J4" s="174"/>
      <x:c r="K4" s="174"/>
      <x:c r="L4" s="174"/>
      <x:c r="M4" s="174"/>
      <x:c r="N4" s="174"/>
      <x:c r="O4" s="174"/>
    </x:row>
    <x:row r="5">
      <x:c r="A5" s="174" t="str">
        <x:f>IF(C5="","","GAP-"&amp;TEXT(ROW()-3,"0000"))</x:f>
      </x:c>
      <x:c r="B5" s="174"/>
      <x:c r="C5" s="174"/>
      <x:c r="D5" s="174"/>
      <x:c r="E5" s="174"/>
      <x:c r="F5" s="174"/>
      <x:c r="G5" s="174"/>
      <x:c r="H5" s="174"/>
      <x:c r="I5" s="174"/>
      <x:c r="J5" s="174"/>
      <x:c r="K5" s="174"/>
      <x:c r="L5" s="174"/>
      <x:c r="M5" s="174"/>
      <x:c r="N5" s="174"/>
      <x:c r="O5" s="174"/>
    </x:row>
    <x:row r="6">
      <x:c r="A6" s="174" t="str">
        <x:f>IF(C6="","","GAP-"&amp;TEXT(ROW()-3,"0000"))</x:f>
      </x:c>
      <x:c r="B6" s="174"/>
      <x:c r="C6" s="174"/>
      <x:c r="D6" s="174"/>
      <x:c r="E6" s="174"/>
      <x:c r="F6" s="174"/>
      <x:c r="G6" s="174"/>
      <x:c r="H6" s="174"/>
      <x:c r="I6" s="174"/>
      <x:c r="J6" s="174"/>
      <x:c r="K6" s="174"/>
      <x:c r="L6" s="174"/>
      <x:c r="M6" s="174"/>
      <x:c r="N6" s="174"/>
      <x:c r="O6" s="174"/>
    </x:row>
    <x:row r="7">
      <x:c r="A7" s="174" t="str">
        <x:f>IF(C7="","","GAP-"&amp;TEXT(ROW()-3,"0000"))</x:f>
      </x:c>
      <x:c r="B7" s="174"/>
      <x:c r="C7" s="174"/>
      <x:c r="D7" s="174"/>
      <x:c r="E7" s="174"/>
      <x:c r="F7" s="174"/>
      <x:c r="G7" s="174"/>
      <x:c r="H7" s="174"/>
      <x:c r="I7" s="174"/>
      <x:c r="J7" s="174"/>
      <x:c r="K7" s="174"/>
      <x:c r="L7" s="174"/>
      <x:c r="M7" s="174"/>
      <x:c r="N7" s="174"/>
      <x:c r="O7" s="174"/>
    </x:row>
    <x:row r="8">
      <x:c r="A8" s="174" t="str">
        <x:f>IF(C8="","","GAP-"&amp;TEXT(ROW()-3,"0000"))</x:f>
      </x:c>
      <x:c r="B8" s="174"/>
      <x:c r="C8" s="174"/>
      <x:c r="D8" s="174"/>
      <x:c r="E8" s="174"/>
      <x:c r="F8" s="174"/>
      <x:c r="G8" s="174"/>
      <x:c r="H8" s="174"/>
      <x:c r="I8" s="174"/>
      <x:c r="J8" s="174"/>
      <x:c r="K8" s="174"/>
      <x:c r="L8" s="174"/>
      <x:c r="M8" s="174"/>
      <x:c r="N8" s="174"/>
      <x:c r="O8" s="174"/>
    </x:row>
    <x:row r="9">
      <x:c r="A9" s="174" t="str">
        <x:f>IF(C9="","","GAP-"&amp;TEXT(ROW()-3,"0000"))</x:f>
      </x:c>
      <x:c r="B9" s="174"/>
      <x:c r="C9" s="174"/>
      <x:c r="D9" s="174"/>
      <x:c r="E9" s="174"/>
      <x:c r="F9" s="174"/>
      <x:c r="G9" s="174"/>
      <x:c r="H9" s="174"/>
      <x:c r="I9" s="174"/>
      <x:c r="J9" s="174"/>
      <x:c r="K9" s="174"/>
      <x:c r="L9" s="174"/>
      <x:c r="M9" s="174"/>
      <x:c r="N9" s="174"/>
      <x:c r="O9" s="174"/>
    </x:row>
    <x:row r="10">
      <x:c r="A10" s="174" t="str">
        <x:f>IF(C10="","","GAP-"&amp;TEXT(ROW()-3,"0000"))</x:f>
      </x:c>
      <x:c r="B10" s="174"/>
      <x:c r="C10" s="174"/>
      <x:c r="D10" s="174"/>
      <x:c r="E10" s="174"/>
      <x:c r="F10" s="174"/>
      <x:c r="G10" s="174"/>
      <x:c r="H10" s="174"/>
      <x:c r="I10" s="174"/>
      <x:c r="J10" s="174"/>
      <x:c r="K10" s="174"/>
      <x:c r="L10" s="174"/>
      <x:c r="M10" s="174"/>
      <x:c r="N10" s="174"/>
      <x:c r="O10" s="174"/>
    </x:row>
    <x:row r="11">
      <x:c r="A11" s="174" t="str">
        <x:f>IF(C11="","","GAP-"&amp;TEXT(ROW()-3,"0000"))</x:f>
      </x:c>
      <x:c r="B11" s="174"/>
      <x:c r="C11" s="174"/>
      <x:c r="D11" s="174"/>
      <x:c r="E11" s="174"/>
      <x:c r="F11" s="174"/>
      <x:c r="G11" s="174"/>
      <x:c r="H11" s="174"/>
      <x:c r="I11" s="174"/>
      <x:c r="J11" s="174"/>
      <x:c r="K11" s="174"/>
      <x:c r="L11" s="174"/>
      <x:c r="M11" s="174"/>
      <x:c r="N11" s="174"/>
      <x:c r="O11" s="174"/>
    </x:row>
    <x:row r="12">
      <x:c r="A12" s="174" t="str">
        <x:f>IF(C12="","","GAP-"&amp;TEXT(ROW()-3,"0000"))</x:f>
      </x:c>
      <x:c r="B12" s="174"/>
      <x:c r="C12" s="174"/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</x:row>
    <x:row r="13">
      <x:c r="A13" s="174" t="str">
        <x:f>IF(C13="","","GAP-"&amp;TEXT(ROW()-3,"0000"))</x:f>
      </x:c>
      <x:c r="B13" s="174"/>
      <x:c r="C13" s="174"/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</x:row>
    <x:row r="14">
      <x:c r="A14" s="174" t="str">
        <x:f>IF(C14="","","GAP-"&amp;TEXT(ROW()-3,"0000"))</x:f>
      </x:c>
      <x:c r="B14" s="174"/>
      <x:c r="C14" s="174"/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</x:row>
    <x:row r="15">
      <x:c r="A15" s="174" t="str">
        <x:f>IF(C15="","","GAP-"&amp;TEXT(ROW()-3,"0000"))</x:f>
      </x:c>
      <x:c r="B15" s="174"/>
      <x:c r="C15" s="174"/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</x:row>
    <x:row r="16">
      <x:c r="A16" s="174" t="str">
        <x:f>IF(C16="","","GAP-"&amp;TEXT(ROW()-3,"0000"))</x:f>
      </x:c>
      <x:c r="B16" s="174"/>
      <x:c r="C16" s="174"/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</x:row>
    <x:row r="17">
      <x:c r="A17" s="174" t="str">
        <x:f>IF(C17="","","GAP-"&amp;TEXT(ROW()-3,"0000"))</x:f>
      </x:c>
      <x:c r="B17" s="174"/>
      <x:c r="C17" s="174"/>
      <x:c r="D17" s="174"/>
      <x:c r="E17" s="174"/>
      <x:c r="F17" s="174"/>
      <x:c r="G17" s="174"/>
      <x:c r="H17" s="174"/>
      <x:c r="I17" s="174"/>
      <x:c r="J17" s="174"/>
      <x:c r="K17" s="174"/>
      <x:c r="L17" s="174"/>
      <x:c r="M17" s="174"/>
      <x:c r="N17" s="174"/>
      <x:c r="O17" s="174"/>
    </x:row>
    <x:row r="18">
      <x:c r="A18" s="174" t="str">
        <x:f>IF(C18="","","GAP-"&amp;TEXT(ROW()-3,"0000"))</x:f>
      </x:c>
      <x:c r="B18" s="174"/>
      <x:c r="C18" s="174"/>
      <x:c r="D18" s="174"/>
      <x:c r="E18" s="174"/>
      <x:c r="F18" s="174"/>
      <x:c r="G18" s="174"/>
      <x:c r="H18" s="174"/>
      <x:c r="I18" s="174"/>
      <x:c r="J18" s="174"/>
      <x:c r="K18" s="174"/>
      <x:c r="L18" s="174"/>
      <x:c r="M18" s="174"/>
      <x:c r="N18" s="174"/>
      <x:c r="O18" s="174"/>
    </x:row>
    <x:row r="19">
      <x:c r="A19" s="174" t="str">
        <x:f>IF(C19="","","GAP-"&amp;TEXT(ROW()-3,"0000"))</x:f>
      </x:c>
      <x:c r="B19" s="174"/>
      <x:c r="C19" s="174"/>
      <x:c r="D19" s="174"/>
      <x:c r="E19" s="174"/>
      <x:c r="F19" s="174"/>
      <x:c r="G19" s="174"/>
      <x:c r="H19" s="174"/>
      <x:c r="I19" s="174"/>
      <x:c r="J19" s="174"/>
      <x:c r="K19" s="174"/>
      <x:c r="L19" s="174"/>
      <x:c r="M19" s="174"/>
      <x:c r="N19" s="174"/>
      <x:c r="O19" s="174"/>
    </x:row>
    <x:row r="20">
      <x:c r="A20" s="174" t="str">
        <x:f>IF(C20="","","GAP-"&amp;TEXT(ROW()-3,"0000"))</x:f>
      </x:c>
      <x:c r="B20" s="174"/>
      <x:c r="C20" s="174"/>
      <x:c r="D20" s="174"/>
      <x:c r="E20" s="174"/>
      <x:c r="F20" s="174"/>
      <x:c r="G20" s="174"/>
      <x:c r="H20" s="174"/>
      <x:c r="I20" s="174"/>
      <x:c r="J20" s="174"/>
      <x:c r="K20" s="174"/>
      <x:c r="L20" s="174"/>
      <x:c r="M20" s="174"/>
      <x:c r="N20" s="174"/>
      <x:c r="O20" s="174"/>
    </x:row>
    <x:row r="21">
      <x:c r="A21" s="174" t="str">
        <x:f>IF(C21="","","GAP-"&amp;TEXT(ROW()-3,"0000"))</x:f>
      </x:c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</x:row>
    <x:row r="22">
      <x:c r="A22" s="174" t="str">
        <x:f>IF(C22="","","GAP-"&amp;TEXT(ROW()-3,"0000"))</x:f>
      </x:c>
      <x:c r="B22" s="174"/>
      <x:c r="C22" s="174"/>
      <x:c r="D22" s="174"/>
      <x:c r="E22" s="174"/>
      <x:c r="F22" s="174"/>
      <x:c r="G22" s="174"/>
      <x:c r="H22" s="174"/>
      <x:c r="I22" s="174"/>
      <x:c r="J22" s="174"/>
      <x:c r="K22" s="174"/>
      <x:c r="L22" s="174"/>
      <x:c r="M22" s="174"/>
      <x:c r="N22" s="174"/>
      <x:c r="O22" s="174"/>
    </x:row>
    <x:row r="23">
      <x:c r="A23" s="174" t="str">
        <x:f>IF(C23="","","GAP-"&amp;TEXT(ROW()-3,"0000"))</x:f>
      </x:c>
      <x:c r="B23" s="174"/>
      <x:c r="C23" s="174"/>
      <x:c r="D23" s="174"/>
      <x:c r="E23" s="174"/>
      <x:c r="F23" s="174"/>
      <x:c r="G23" s="174"/>
      <x:c r="H23" s="174"/>
      <x:c r="I23" s="174"/>
      <x:c r="J23" s="174"/>
      <x:c r="K23" s="174"/>
      <x:c r="L23" s="174"/>
      <x:c r="M23" s="174"/>
      <x:c r="N23" s="174"/>
      <x:c r="O23" s="174"/>
    </x:row>
    <x:row r="24">
      <x:c r="A24" s="174" t="str">
        <x:f>IF(C24="","","GAP-"&amp;TEXT(ROW()-3,"0000"))</x:f>
      </x:c>
      <x:c r="B24" s="174"/>
      <x:c r="C24" s="174"/>
      <x:c r="D24" s="174"/>
      <x:c r="E24" s="174"/>
      <x:c r="F24" s="174"/>
      <x:c r="G24" s="174"/>
      <x:c r="H24" s="174"/>
      <x:c r="I24" s="174"/>
      <x:c r="J24" s="174"/>
      <x:c r="K24" s="174"/>
      <x:c r="L24" s="174"/>
      <x:c r="M24" s="174"/>
      <x:c r="N24" s="174"/>
      <x:c r="O24" s="174"/>
    </x:row>
    <x:row r="25">
      <x:c r="A25" s="174" t="str">
        <x:f>IF(C25="","","GAP-"&amp;TEXT(ROW()-3,"0000"))</x:f>
      </x:c>
      <x:c r="B25" s="174"/>
      <x:c r="C25" s="174"/>
      <x:c r="D25" s="174"/>
      <x:c r="E25" s="174"/>
      <x:c r="F25" s="174"/>
      <x:c r="G25" s="174"/>
      <x:c r="H25" s="174"/>
      <x:c r="I25" s="174"/>
      <x:c r="J25" s="174"/>
      <x:c r="K25" s="174"/>
      <x:c r="L25" s="174"/>
      <x:c r="M25" s="174"/>
      <x:c r="N25" s="174"/>
      <x:c r="O25" s="174"/>
    </x:row>
    <x:row r="26">
      <x:c r="A26" s="174" t="str">
        <x:f>IF(C26="","","GAP-"&amp;TEXT(ROW()-3,"0000"))</x:f>
      </x:c>
      <x:c r="B26" s="174"/>
      <x:c r="C26" s="174"/>
      <x:c r="D26" s="174"/>
      <x:c r="E26" s="174"/>
      <x:c r="F26" s="174"/>
      <x:c r="G26" s="174"/>
      <x:c r="H26" s="174"/>
      <x:c r="I26" s="174"/>
      <x:c r="J26" s="174"/>
      <x:c r="K26" s="174"/>
      <x:c r="L26" s="174"/>
      <x:c r="M26" s="174"/>
      <x:c r="N26" s="174"/>
      <x:c r="O26" s="174"/>
    </x:row>
    <x:row r="27">
      <x:c r="A27" s="174" t="str">
        <x:f>IF(C27="","","GAP-"&amp;TEXT(ROW()-3,"0000"))</x:f>
      </x:c>
      <x:c r="B27" s="174"/>
      <x:c r="C27" s="174"/>
      <x:c r="D27" s="174"/>
      <x:c r="E27" s="174"/>
      <x:c r="F27" s="174"/>
      <x:c r="G27" s="174"/>
      <x:c r="H27" s="174"/>
      <x:c r="I27" s="174"/>
      <x:c r="J27" s="174"/>
      <x:c r="K27" s="174"/>
      <x:c r="L27" s="174"/>
      <x:c r="M27" s="174"/>
      <x:c r="N27" s="174"/>
      <x:c r="O27" s="174"/>
    </x:row>
    <x:row r="28">
      <x:c r="A28" s="174" t="str">
        <x:f>IF(C28="","","GAP-"&amp;TEXT(ROW()-3,"0000"))</x:f>
      </x:c>
      <x:c r="B28" s="174"/>
      <x:c r="C28" s="174"/>
      <x:c r="D28" s="174"/>
      <x:c r="E28" s="174"/>
      <x:c r="F28" s="174"/>
      <x:c r="G28" s="174"/>
      <x:c r="H28" s="174"/>
      <x:c r="I28" s="174"/>
      <x:c r="J28" s="174"/>
      <x:c r="K28" s="174"/>
      <x:c r="L28" s="174"/>
      <x:c r="M28" s="174"/>
      <x:c r="N28" s="174"/>
      <x:c r="O28" s="174"/>
    </x:row>
    <x:row r="29">
      <x:c r="A29" s="174" t="str">
        <x:f>IF(C29="","","GAP-"&amp;TEXT(ROW()-3,"0000"))</x:f>
      </x:c>
      <x:c r="B29" s="174"/>
      <x:c r="C29" s="174"/>
      <x:c r="D29" s="174"/>
      <x:c r="E29" s="174"/>
      <x:c r="F29" s="174"/>
      <x:c r="G29" s="174"/>
      <x:c r="H29" s="174"/>
      <x:c r="I29" s="174"/>
      <x:c r="J29" s="174"/>
      <x:c r="K29" s="174"/>
      <x:c r="L29" s="174"/>
      <x:c r="M29" s="174"/>
      <x:c r="N29" s="174"/>
      <x:c r="O29" s="174"/>
    </x:row>
    <x:row r="30">
      <x:c r="A30" s="174" t="str">
        <x:f>IF(C30="","","GAP-"&amp;TEXT(ROW()-3,"0000"))</x:f>
      </x:c>
      <x:c r="B30" s="174"/>
      <x:c r="C30" s="174"/>
      <x:c r="D30" s="174"/>
      <x:c r="E30" s="174"/>
      <x:c r="F30" s="174"/>
      <x:c r="G30" s="174"/>
      <x:c r="H30" s="174"/>
      <x:c r="I30" s="174"/>
      <x:c r="J30" s="174"/>
      <x:c r="K30" s="174"/>
      <x:c r="L30" s="174"/>
      <x:c r="M30" s="174"/>
      <x:c r="N30" s="174"/>
      <x:c r="O30" s="174"/>
    </x:row>
    <x:row r="31">
      <x:c r="A31" s="174" t="str">
        <x:f>IF(C31="","","GAP-"&amp;TEXT(ROW()-3,"0000"))</x:f>
      </x:c>
      <x:c r="B31" s="174"/>
      <x:c r="C31" s="174"/>
      <x:c r="D31" s="174"/>
      <x:c r="E31" s="174"/>
      <x:c r="F31" s="174"/>
      <x:c r="G31" s="174"/>
      <x:c r="H31" s="174"/>
      <x:c r="I31" s="174"/>
      <x:c r="J31" s="174"/>
      <x:c r="K31" s="174"/>
      <x:c r="L31" s="174"/>
      <x:c r="M31" s="174"/>
      <x:c r="N31" s="174"/>
      <x:c r="O31" s="174"/>
    </x:row>
    <x:row r="32">
      <x:c r="A32" s="174" t="str">
        <x:f>IF(C32="","","GAP-"&amp;TEXT(ROW()-3,"0000"))</x:f>
      </x:c>
      <x:c r="B32" s="174"/>
      <x:c r="C32" s="174"/>
      <x:c r="D32" s="174"/>
      <x:c r="E32" s="174"/>
      <x:c r="F32" s="174"/>
      <x:c r="G32" s="174"/>
      <x:c r="H32" s="174"/>
      <x:c r="I32" s="174"/>
      <x:c r="J32" s="174"/>
      <x:c r="K32" s="174"/>
      <x:c r="L32" s="174"/>
      <x:c r="M32" s="174"/>
      <x:c r="N32" s="174"/>
      <x:c r="O32" s="174"/>
    </x:row>
    <x:row r="33">
      <x:c r="A33" s="174" t="str">
        <x:f>IF(C33="","","GAP-"&amp;TEXT(ROW()-3,"0000"))</x:f>
      </x:c>
      <x:c r="B33" s="174"/>
      <x:c r="C33" s="174"/>
      <x:c r="D33" s="174"/>
      <x:c r="E33" s="174"/>
      <x:c r="F33" s="174"/>
      <x:c r="G33" s="174"/>
      <x:c r="H33" s="174"/>
      <x:c r="I33" s="174"/>
      <x:c r="J33" s="174"/>
      <x:c r="K33" s="174"/>
      <x:c r="L33" s="174"/>
      <x:c r="M33" s="174"/>
      <x:c r="N33" s="174"/>
      <x:c r="O33" s="174"/>
    </x:row>
    <x:row r="34">
      <x:c r="A34" s="174" t="str">
        <x:f>IF(C34="","","GAP-"&amp;TEXT(ROW()-3,"0000"))</x:f>
      </x:c>
      <x:c r="B34" s="174"/>
      <x:c r="C34" s="174"/>
      <x:c r="D34" s="174"/>
      <x:c r="E34" s="174"/>
      <x:c r="F34" s="174"/>
      <x:c r="G34" s="174"/>
      <x:c r="H34" s="174"/>
      <x:c r="I34" s="174"/>
      <x:c r="J34" s="174"/>
      <x:c r="K34" s="174"/>
      <x:c r="L34" s="174"/>
      <x:c r="M34" s="174"/>
      <x:c r="N34" s="174"/>
      <x:c r="O34" s="174"/>
    </x:row>
    <x:row r="35">
      <x:c r="A35" s="174" t="str">
        <x:f>IF(C35="","","GAP-"&amp;TEXT(ROW()-3,"0000"))</x:f>
      </x:c>
      <x:c r="B35" s="174"/>
      <x:c r="C35" s="174"/>
      <x:c r="D35" s="174"/>
      <x:c r="E35" s="174"/>
      <x:c r="F35" s="174"/>
      <x:c r="G35" s="174"/>
      <x:c r="H35" s="174"/>
      <x:c r="I35" s="174"/>
      <x:c r="J35" s="174"/>
      <x:c r="K35" s="174"/>
      <x:c r="L35" s="174"/>
      <x:c r="M35" s="174"/>
      <x:c r="N35" s="174"/>
      <x:c r="O35" s="174"/>
    </x:row>
    <x:row r="36">
      <x:c r="A36" s="174" t="str">
        <x:f>IF(C36="","","GAP-"&amp;TEXT(ROW()-3,"0000"))</x:f>
      </x:c>
      <x:c r="B36" s="174"/>
      <x:c r="C36" s="174"/>
      <x:c r="D36" s="174"/>
      <x:c r="E36" s="174"/>
      <x:c r="F36" s="174"/>
      <x:c r="G36" s="174"/>
      <x:c r="H36" s="174"/>
      <x:c r="I36" s="174"/>
      <x:c r="J36" s="174"/>
      <x:c r="K36" s="174"/>
      <x:c r="L36" s="174"/>
      <x:c r="M36" s="174"/>
      <x:c r="N36" s="174"/>
      <x:c r="O36" s="174"/>
    </x:row>
    <x:row r="37">
      <x:c r="A37" s="174" t="str">
        <x:f>IF(C37="","","GAP-"&amp;TEXT(ROW()-3,"0000"))</x:f>
      </x:c>
      <x:c r="B37" s="174"/>
      <x:c r="C37" s="174"/>
      <x:c r="D37" s="174"/>
      <x:c r="E37" s="174"/>
      <x:c r="F37" s="174"/>
      <x:c r="G37" s="174"/>
      <x:c r="H37" s="174"/>
      <x:c r="I37" s="174"/>
      <x:c r="J37" s="174"/>
      <x:c r="K37" s="174"/>
      <x:c r="L37" s="174"/>
      <x:c r="M37" s="174"/>
      <x:c r="N37" s="174"/>
      <x:c r="O37" s="174"/>
    </x:row>
    <x:row r="38">
      <x:c r="A38" s="174" t="str">
        <x:f>IF(C38="","","GAP-"&amp;TEXT(ROW()-3,"0000"))</x:f>
      </x:c>
      <x:c r="B38" s="174"/>
      <x:c r="C38" s="174"/>
      <x:c r="D38" s="174"/>
      <x:c r="E38" s="174"/>
      <x:c r="F38" s="174"/>
      <x:c r="G38" s="174"/>
      <x:c r="H38" s="174"/>
      <x:c r="I38" s="174"/>
      <x:c r="J38" s="174"/>
      <x:c r="K38" s="174"/>
      <x:c r="L38" s="174"/>
      <x:c r="M38" s="174"/>
      <x:c r="N38" s="174"/>
      <x:c r="O38" s="174"/>
    </x:row>
    <x:row r="39">
      <x:c r="A39" s="174" t="str">
        <x:f>IF(C39="","","GAP-"&amp;TEXT(ROW()-3,"0000"))</x:f>
      </x:c>
      <x:c r="B39" s="174"/>
      <x:c r="C39" s="174"/>
      <x:c r="D39" s="174"/>
      <x:c r="E39" s="174"/>
      <x:c r="F39" s="174"/>
      <x:c r="G39" s="174"/>
      <x:c r="H39" s="174"/>
      <x:c r="I39" s="174"/>
      <x:c r="J39" s="174"/>
      <x:c r="K39" s="174"/>
      <x:c r="L39" s="174"/>
      <x:c r="M39" s="174"/>
      <x:c r="N39" s="174"/>
      <x:c r="O39" s="174"/>
    </x:row>
    <x:row r="40">
      <x:c r="A40" s="174" t="str">
        <x:f>IF(C40="","","GAP-"&amp;TEXT(ROW()-3,"0000"))</x:f>
      </x:c>
      <x:c r="B40" s="174"/>
      <x:c r="C40" s="174"/>
      <x:c r="D40" s="174"/>
      <x:c r="E40" s="174"/>
      <x:c r="F40" s="174"/>
      <x:c r="G40" s="174"/>
      <x:c r="H40" s="174"/>
      <x:c r="I40" s="174"/>
      <x:c r="J40" s="174"/>
      <x:c r="K40" s="174"/>
      <x:c r="L40" s="174"/>
      <x:c r="M40" s="174"/>
      <x:c r="N40" s="174"/>
      <x:c r="O40" s="174"/>
    </x:row>
    <x:row r="41">
      <x:c r="A41" s="174" t="str">
        <x:f>IF(C41="","","GAP-"&amp;TEXT(ROW()-3,"0000"))</x:f>
      </x:c>
      <x:c r="B41" s="174"/>
      <x:c r="C41" s="174"/>
      <x:c r="D41" s="174"/>
      <x:c r="E41" s="174"/>
      <x:c r="F41" s="174"/>
      <x:c r="G41" s="174"/>
      <x:c r="H41" s="174"/>
      <x:c r="I41" s="174"/>
      <x:c r="J41" s="174"/>
      <x:c r="K41" s="174"/>
      <x:c r="L41" s="174"/>
      <x:c r="M41" s="174"/>
      <x:c r="N41" s="174"/>
      <x:c r="O41" s="174"/>
    </x:row>
    <x:row r="42">
      <x:c r="A42" s="174" t="str">
        <x:f>IF(C42="","","GAP-"&amp;TEXT(ROW()-3,"0000"))</x:f>
      </x:c>
      <x:c r="B42" s="174"/>
      <x:c r="C42" s="174"/>
      <x:c r="D42" s="174"/>
      <x:c r="E42" s="174"/>
      <x:c r="F42" s="174"/>
      <x:c r="G42" s="174"/>
      <x:c r="H42" s="174"/>
      <x:c r="I42" s="174"/>
      <x:c r="J42" s="174"/>
      <x:c r="K42" s="174"/>
      <x:c r="L42" s="174"/>
      <x:c r="M42" s="174"/>
      <x:c r="N42" s="174"/>
      <x:c r="O42" s="174"/>
    </x:row>
    <x:row r="43">
      <x:c r="A43" s="174" t="str">
        <x:f>IF(C43="","","GAP-"&amp;TEXT(ROW()-3,"0000"))</x:f>
      </x:c>
      <x:c r="B43" s="174"/>
      <x:c r="C43" s="174"/>
      <x:c r="D43" s="174"/>
      <x:c r="E43" s="174"/>
      <x:c r="F43" s="174"/>
      <x:c r="G43" s="174"/>
      <x:c r="H43" s="174"/>
      <x:c r="I43" s="174"/>
      <x:c r="J43" s="174"/>
      <x:c r="K43" s="174"/>
      <x:c r="L43" s="174"/>
      <x:c r="M43" s="174"/>
      <x:c r="N43" s="174"/>
      <x:c r="O43" s="174"/>
    </x:row>
    <x:row r="44">
      <x:c r="A44" s="174" t="str">
        <x:f>IF(C44="","","GAP-"&amp;TEXT(ROW()-3,"0000"))</x:f>
      </x:c>
      <x:c r="B44" s="174"/>
      <x:c r="C44" s="174"/>
      <x:c r="D44" s="174"/>
      <x:c r="E44" s="174"/>
      <x:c r="F44" s="174"/>
      <x:c r="G44" s="174"/>
      <x:c r="H44" s="174"/>
      <x:c r="I44" s="174"/>
      <x:c r="J44" s="174"/>
      <x:c r="K44" s="174"/>
      <x:c r="L44" s="174"/>
      <x:c r="M44" s="174"/>
      <x:c r="N44" s="174"/>
      <x:c r="O44" s="174"/>
    </x:row>
    <x:row r="45">
      <x:c r="A45" s="174" t="str">
        <x:f>IF(C45="","","GAP-"&amp;TEXT(ROW()-3,"0000"))</x:f>
      </x:c>
      <x:c r="B45" s="174"/>
      <x:c r="C45" s="174"/>
      <x:c r="D45" s="174"/>
      <x:c r="E45" s="174"/>
      <x:c r="F45" s="174"/>
      <x:c r="G45" s="174"/>
      <x:c r="H45" s="174"/>
      <x:c r="I45" s="174"/>
      <x:c r="J45" s="174"/>
      <x:c r="K45" s="174"/>
      <x:c r="L45" s="174"/>
      <x:c r="M45" s="174"/>
      <x:c r="N45" s="174"/>
      <x:c r="O45" s="174"/>
    </x:row>
    <x:row r="46">
      <x:c r="A46" s="174" t="str">
        <x:f>IF(C46="","","GAP-"&amp;TEXT(ROW()-3,"0000"))</x:f>
      </x:c>
      <x:c r="B46" s="174"/>
      <x:c r="C46" s="174"/>
      <x:c r="D46" s="174"/>
      <x:c r="E46" s="174"/>
      <x:c r="F46" s="174"/>
      <x:c r="G46" s="174"/>
      <x:c r="H46" s="174"/>
      <x:c r="I46" s="174"/>
      <x:c r="J46" s="174"/>
      <x:c r="K46" s="174"/>
      <x:c r="L46" s="174"/>
      <x:c r="M46" s="174"/>
      <x:c r="N46" s="174"/>
      <x:c r="O46" s="174"/>
    </x:row>
    <x:row r="47">
      <x:c r="A47" s="174" t="str">
        <x:f>IF(C47="","","GAP-"&amp;TEXT(ROW()-3,"0000"))</x:f>
      </x:c>
      <x:c r="B47" s="174"/>
      <x:c r="C47" s="174"/>
      <x:c r="D47" s="174"/>
      <x:c r="E47" s="174"/>
      <x:c r="F47" s="174"/>
      <x:c r="G47" s="174"/>
      <x:c r="H47" s="174"/>
      <x:c r="I47" s="174"/>
      <x:c r="J47" s="174"/>
      <x:c r="K47" s="174"/>
      <x:c r="L47" s="174"/>
      <x:c r="M47" s="174"/>
      <x:c r="N47" s="174"/>
      <x:c r="O47" s="174"/>
    </x:row>
    <x:row r="48">
      <x:c r="A48" s="174" t="str">
        <x:f>IF(C48="","","GAP-"&amp;TEXT(ROW()-3,"0000"))</x:f>
      </x:c>
      <x:c r="B48" s="174"/>
      <x:c r="C48" s="174"/>
      <x:c r="D48" s="174"/>
      <x:c r="E48" s="174"/>
      <x:c r="F48" s="174"/>
      <x:c r="G48" s="174"/>
      <x:c r="H48" s="174"/>
      <x:c r="I48" s="174"/>
      <x:c r="J48" s="174"/>
      <x:c r="K48" s="174"/>
      <x:c r="L48" s="174"/>
      <x:c r="M48" s="174"/>
      <x:c r="N48" s="174"/>
      <x:c r="O48" s="174"/>
    </x:row>
    <x:row r="49">
      <x:c r="A49" s="174" t="str">
        <x:f>IF(C49="","","GAP-"&amp;TEXT(ROW()-3,"0000"))</x:f>
      </x:c>
      <x:c r="B49" s="174"/>
      <x:c r="C49" s="174"/>
      <x:c r="D49" s="174"/>
      <x:c r="E49" s="174"/>
      <x:c r="F49" s="174"/>
      <x:c r="G49" s="174"/>
      <x:c r="H49" s="174"/>
      <x:c r="I49" s="174"/>
      <x:c r="J49" s="174"/>
      <x:c r="K49" s="174"/>
      <x:c r="L49" s="174"/>
      <x:c r="M49" s="174"/>
      <x:c r="N49" s="174"/>
      <x:c r="O49" s="174"/>
    </x:row>
    <x:row r="50">
      <x:c r="A50" s="174" t="str">
        <x:f>IF(C50="","","GAP-"&amp;TEXT(ROW()-3,"0000"))</x:f>
      </x:c>
      <x:c r="B50" s="174"/>
      <x:c r="C50" s="174"/>
      <x:c r="D50" s="174"/>
      <x:c r="E50" s="174"/>
      <x:c r="F50" s="174"/>
      <x:c r="G50" s="174"/>
      <x:c r="H50" s="174"/>
      <x:c r="I50" s="174"/>
      <x:c r="J50" s="174"/>
      <x:c r="K50" s="174"/>
      <x:c r="L50" s="174"/>
      <x:c r="M50" s="174"/>
      <x:c r="N50" s="174"/>
      <x:c r="O50" s="174"/>
    </x:row>
    <x:row r="51">
      <x:c r="A51" s="174" t="str">
        <x:f>IF(C51="","","GAP-"&amp;TEXT(ROW()-3,"0000"))</x:f>
      </x:c>
      <x:c r="B51" s="174"/>
      <x:c r="C51" s="174"/>
      <x:c r="D51" s="174"/>
      <x:c r="E51" s="174"/>
      <x:c r="F51" s="174"/>
      <x:c r="G51" s="174"/>
      <x:c r="H51" s="174"/>
      <x:c r="I51" s="174"/>
      <x:c r="J51" s="174"/>
      <x:c r="K51" s="174"/>
      <x:c r="L51" s="174"/>
      <x:c r="M51" s="174"/>
      <x:c r="N51" s="174"/>
      <x:c r="O51" s="174"/>
    </x:row>
    <x:row r="52">
      <x:c r="A52" s="174" t="str">
        <x:f>IF(C52="","","GAP-"&amp;TEXT(ROW()-3,"0000"))</x:f>
      </x:c>
      <x:c r="B52" s="174"/>
      <x:c r="C52" s="174"/>
      <x:c r="D52" s="174"/>
      <x:c r="E52" s="174"/>
      <x:c r="F52" s="174"/>
      <x:c r="G52" s="174"/>
      <x:c r="H52" s="174"/>
      <x:c r="I52" s="174"/>
      <x:c r="J52" s="174"/>
      <x:c r="K52" s="174"/>
      <x:c r="L52" s="174"/>
      <x:c r="M52" s="174"/>
      <x:c r="N52" s="174"/>
      <x:c r="O52" s="174"/>
    </x:row>
    <x:row r="53">
      <x:c r="A53" s="174" t="str">
        <x:f>IF(C53="","","GAP-"&amp;TEXT(ROW()-3,"0000"))</x:f>
      </x:c>
      <x:c r="B53" s="174"/>
      <x:c r="C53" s="174"/>
      <x:c r="D53" s="174"/>
      <x:c r="E53" s="174"/>
      <x:c r="F53" s="174"/>
      <x:c r="G53" s="174"/>
      <x:c r="H53" s="174"/>
      <x:c r="I53" s="174"/>
      <x:c r="J53" s="174"/>
      <x:c r="K53" s="174"/>
      <x:c r="L53" s="174"/>
      <x:c r="M53" s="174"/>
      <x:c r="N53" s="174"/>
      <x:c r="O53" s="174"/>
    </x:row>
    <x:row r="54">
      <x:c r="A54" s="174" t="str">
        <x:f>IF(C54="","","GAP-"&amp;TEXT(ROW()-3,"0000"))</x:f>
      </x:c>
      <x:c r="B54" s="174"/>
      <x:c r="C54" s="174"/>
      <x:c r="D54" s="174"/>
      <x:c r="E54" s="174"/>
      <x:c r="F54" s="174"/>
      <x:c r="G54" s="174"/>
      <x:c r="H54" s="174"/>
      <x:c r="I54" s="174"/>
      <x:c r="J54" s="174"/>
      <x:c r="K54" s="174"/>
      <x:c r="L54" s="174"/>
      <x:c r="M54" s="174"/>
      <x:c r="N54" s="174"/>
      <x:c r="O54" s="174"/>
    </x:row>
    <x:row r="55">
      <x:c r="A55" s="174" t="str">
        <x:f>IF(C55="","","GAP-"&amp;TEXT(ROW()-3,"0000"))</x:f>
      </x:c>
      <x:c r="B55" s="174"/>
      <x:c r="C55" s="174"/>
      <x:c r="D55" s="174"/>
      <x:c r="E55" s="174"/>
      <x:c r="F55" s="174"/>
      <x:c r="G55" s="174"/>
      <x:c r="H55" s="174"/>
      <x:c r="I55" s="174"/>
      <x:c r="J55" s="174"/>
      <x:c r="K55" s="174"/>
      <x:c r="L55" s="174"/>
      <x:c r="M55" s="174"/>
      <x:c r="N55" s="174"/>
      <x:c r="O55" s="174"/>
    </x:row>
    <x:row r="56">
      <x:c r="A56" s="174" t="str">
        <x:f>IF(C56="","","GAP-"&amp;TEXT(ROW()-3,"0000"))</x:f>
      </x:c>
      <x:c r="B56" s="174"/>
      <x:c r="C56" s="174"/>
      <x:c r="D56" s="174"/>
      <x:c r="E56" s="174"/>
      <x:c r="F56" s="174"/>
      <x:c r="G56" s="174"/>
      <x:c r="H56" s="174"/>
      <x:c r="I56" s="174"/>
      <x:c r="J56" s="174"/>
      <x:c r="K56" s="174"/>
      <x:c r="L56" s="174"/>
      <x:c r="M56" s="174"/>
      <x:c r="N56" s="174"/>
      <x:c r="O56" s="174"/>
    </x:row>
    <x:row r="57">
      <x:c r="A57" s="174" t="str">
        <x:f>IF(C57="","","GAP-"&amp;TEXT(ROW()-3,"0000"))</x:f>
      </x:c>
      <x:c r="B57" s="174"/>
      <x:c r="C57" s="174"/>
      <x:c r="D57" s="174"/>
      <x:c r="E57" s="174"/>
      <x:c r="F57" s="174"/>
      <x:c r="G57" s="174"/>
      <x:c r="H57" s="174"/>
      <x:c r="I57" s="174"/>
      <x:c r="J57" s="174"/>
      <x:c r="K57" s="174"/>
      <x:c r="L57" s="174"/>
      <x:c r="M57" s="174"/>
      <x:c r="N57" s="174"/>
      <x:c r="O57" s="174"/>
    </x:row>
    <x:row r="58">
      <x:c r="A58" s="174" t="str">
        <x:f>IF(C58="","","GAP-"&amp;TEXT(ROW()-3,"0000"))</x:f>
      </x:c>
      <x:c r="B58" s="174"/>
      <x:c r="C58" s="174"/>
      <x:c r="D58" s="174"/>
      <x:c r="E58" s="174"/>
      <x:c r="F58" s="174"/>
      <x:c r="G58" s="174"/>
      <x:c r="H58" s="174"/>
      <x:c r="I58" s="174"/>
      <x:c r="J58" s="174"/>
      <x:c r="K58" s="174"/>
      <x:c r="L58" s="174"/>
      <x:c r="M58" s="174"/>
      <x:c r="N58" s="174"/>
      <x:c r="O58" s="174"/>
    </x:row>
    <x:row r="59">
      <x:c r="A59" s="174" t="str">
        <x:f>IF(C59="","","GAP-"&amp;TEXT(ROW()-3,"0000"))</x:f>
      </x:c>
      <x:c r="B59" s="174"/>
      <x:c r="C59" s="174"/>
      <x:c r="D59" s="174"/>
      <x:c r="E59" s="174"/>
      <x:c r="F59" s="174"/>
      <x:c r="G59" s="174"/>
      <x:c r="H59" s="174"/>
      <x:c r="I59" s="174"/>
      <x:c r="J59" s="174"/>
      <x:c r="K59" s="174"/>
      <x:c r="L59" s="174"/>
      <x:c r="M59" s="174"/>
      <x:c r="N59" s="174"/>
      <x:c r="O59" s="174"/>
    </x:row>
    <x:row r="60">
      <x:c r="A60" s="174" t="str">
        <x:f>IF(C60="","","GAP-"&amp;TEXT(ROW()-3,"0000"))</x:f>
      </x:c>
      <x:c r="B60" s="174"/>
      <x:c r="C60" s="174"/>
      <x:c r="D60" s="174"/>
      <x:c r="E60" s="174"/>
      <x:c r="F60" s="174"/>
      <x:c r="G60" s="174"/>
      <x:c r="H60" s="174"/>
      <x:c r="I60" s="174"/>
      <x:c r="J60" s="174"/>
      <x:c r="K60" s="174"/>
      <x:c r="L60" s="174"/>
      <x:c r="M60" s="174"/>
      <x:c r="N60" s="174"/>
      <x:c r="O60" s="174"/>
    </x:row>
    <x:row r="61">
      <x:c r="A61" s="174" t="str">
        <x:f>IF(C61="","","GAP-"&amp;TEXT(ROW()-3,"0000"))</x:f>
      </x:c>
      <x:c r="B61" s="174"/>
      <x:c r="C61" s="174"/>
      <x:c r="D61" s="174"/>
      <x:c r="E61" s="174"/>
      <x:c r="F61" s="174"/>
      <x:c r="G61" s="174"/>
      <x:c r="H61" s="174"/>
      <x:c r="I61" s="174"/>
      <x:c r="J61" s="174"/>
      <x:c r="K61" s="174"/>
      <x:c r="L61" s="174"/>
      <x:c r="M61" s="174"/>
      <x:c r="N61" s="174"/>
      <x:c r="O61" s="174"/>
    </x:row>
    <x:row r="62">
      <x:c r="A62" s="174" t="str">
        <x:f>IF(C62="","","GAP-"&amp;TEXT(ROW()-3,"0000"))</x:f>
      </x:c>
      <x:c r="B62" s="174"/>
      <x:c r="C62" s="174"/>
      <x:c r="D62" s="174"/>
      <x:c r="E62" s="174"/>
      <x:c r="F62" s="174"/>
      <x:c r="G62" s="174"/>
      <x:c r="H62" s="174"/>
      <x:c r="I62" s="174"/>
      <x:c r="J62" s="174"/>
      <x:c r="K62" s="174"/>
      <x:c r="L62" s="174"/>
      <x:c r="M62" s="174"/>
      <x:c r="N62" s="174"/>
      <x:c r="O62" s="174"/>
    </x:row>
    <x:row r="63">
      <x:c r="A63" s="174" t="str">
        <x:f>IF(C63="","","GAP-"&amp;TEXT(ROW()-3,"0000"))</x:f>
      </x:c>
      <x:c r="B63" s="174"/>
      <x:c r="C63" s="174"/>
      <x:c r="D63" s="174"/>
      <x:c r="E63" s="174"/>
      <x:c r="F63" s="174"/>
      <x:c r="G63" s="174"/>
      <x:c r="H63" s="174"/>
      <x:c r="I63" s="174"/>
      <x:c r="J63" s="174"/>
      <x:c r="K63" s="174"/>
      <x:c r="L63" s="174"/>
      <x:c r="M63" s="174"/>
      <x:c r="N63" s="174"/>
      <x:c r="O63" s="174"/>
    </x:row>
    <x:row r="64">
      <x:c r="A64" s="174" t="str">
        <x:f>IF(C64="","","GAP-"&amp;TEXT(ROW()-3,"0000"))</x:f>
      </x:c>
      <x:c r="B64" s="174"/>
      <x:c r="C64" s="174"/>
      <x:c r="D64" s="174"/>
      <x:c r="E64" s="174"/>
      <x:c r="F64" s="174"/>
      <x:c r="G64" s="174"/>
      <x:c r="H64" s="174"/>
      <x:c r="I64" s="174"/>
      <x:c r="J64" s="174"/>
      <x:c r="K64" s="174"/>
      <x:c r="L64" s="174"/>
      <x:c r="M64" s="174"/>
      <x:c r="N64" s="174"/>
      <x:c r="O64" s="174"/>
    </x:row>
    <x:row r="65">
      <x:c r="A65" s="174" t="str">
        <x:f>IF(C65="","","GAP-"&amp;TEXT(ROW()-3,"0000"))</x:f>
      </x:c>
      <x:c r="B65" s="174"/>
      <x:c r="C65" s="174"/>
      <x:c r="D65" s="174"/>
      <x:c r="E65" s="174"/>
      <x:c r="F65" s="174"/>
      <x:c r="G65" s="174"/>
      <x:c r="H65" s="174"/>
      <x:c r="I65" s="174"/>
      <x:c r="J65" s="174"/>
      <x:c r="K65" s="174"/>
      <x:c r="L65" s="174"/>
      <x:c r="M65" s="174"/>
      <x:c r="N65" s="174"/>
      <x:c r="O65" s="174"/>
    </x:row>
    <x:row r="66">
      <x:c r="A66" s="174" t="str">
        <x:f>IF(C66="","","GAP-"&amp;TEXT(ROW()-3,"0000"))</x:f>
      </x:c>
      <x:c r="B66" s="174"/>
      <x:c r="C66" s="174"/>
      <x:c r="D66" s="174"/>
      <x:c r="E66" s="174"/>
      <x:c r="F66" s="174"/>
      <x:c r="G66" s="174"/>
      <x:c r="H66" s="174"/>
      <x:c r="I66" s="174"/>
      <x:c r="J66" s="174"/>
      <x:c r="K66" s="174"/>
      <x:c r="L66" s="174"/>
      <x:c r="M66" s="174"/>
      <x:c r="N66" s="174"/>
      <x:c r="O66" s="174"/>
    </x:row>
    <x:row r="67">
      <x:c r="A67" s="174" t="str">
        <x:f>IF(C67="","","GAP-"&amp;TEXT(ROW()-3,"0000"))</x:f>
      </x:c>
      <x:c r="B67" s="174"/>
      <x:c r="C67" s="174"/>
      <x:c r="D67" s="174"/>
      <x:c r="E67" s="174"/>
      <x:c r="F67" s="174"/>
      <x:c r="G67" s="174"/>
      <x:c r="H67" s="174"/>
      <x:c r="I67" s="174"/>
      <x:c r="J67" s="174"/>
      <x:c r="K67" s="174"/>
      <x:c r="L67" s="174"/>
      <x:c r="M67" s="174"/>
      <x:c r="N67" s="174"/>
      <x:c r="O67" s="174"/>
    </x:row>
    <x:row r="68">
      <x:c r="A68" s="174" t="str">
        <x:f>IF(C68="","","GAP-"&amp;TEXT(ROW()-3,"0000"))</x:f>
      </x:c>
      <x:c r="B68" s="174"/>
      <x:c r="C68" s="174"/>
      <x:c r="D68" s="174"/>
      <x:c r="E68" s="174"/>
      <x:c r="F68" s="174"/>
      <x:c r="G68" s="174"/>
      <x:c r="H68" s="174"/>
      <x:c r="I68" s="174"/>
      <x:c r="J68" s="174"/>
      <x:c r="K68" s="174"/>
      <x:c r="L68" s="174"/>
      <x:c r="M68" s="174"/>
      <x:c r="N68" s="174"/>
      <x:c r="O68" s="174"/>
    </x:row>
    <x:row r="69">
      <x:c r="A69" s="174" t="str">
        <x:f>IF(C69="","","GAP-"&amp;TEXT(ROW()-3,"0000"))</x:f>
      </x:c>
      <x:c r="B69" s="174"/>
      <x:c r="C69" s="174"/>
      <x:c r="D69" s="174"/>
      <x:c r="E69" s="174"/>
      <x:c r="F69" s="174"/>
      <x:c r="G69" s="174"/>
      <x:c r="H69" s="174"/>
      <x:c r="I69" s="174"/>
      <x:c r="J69" s="174"/>
      <x:c r="K69" s="174"/>
      <x:c r="L69" s="174"/>
      <x:c r="M69" s="174"/>
      <x:c r="N69" s="174"/>
      <x:c r="O69" s="174"/>
    </x:row>
    <x:row r="70">
      <x:c r="A70" s="174" t="str">
        <x:f>IF(C70="","","GAP-"&amp;TEXT(ROW()-3,"0000"))</x:f>
      </x:c>
      <x:c r="B70" s="174"/>
      <x:c r="C70" s="174"/>
      <x:c r="D70" s="174"/>
      <x:c r="E70" s="174"/>
      <x:c r="F70" s="174"/>
      <x:c r="G70" s="174"/>
      <x:c r="H70" s="174"/>
      <x:c r="I70" s="174"/>
      <x:c r="J70" s="174"/>
      <x:c r="K70" s="174"/>
      <x:c r="L70" s="174"/>
      <x:c r="M70" s="174"/>
      <x:c r="N70" s="174"/>
      <x:c r="O70" s="174"/>
    </x:row>
    <x:row r="71">
      <x:c r="A71" s="174" t="str">
        <x:f>IF(C71="","","GAP-"&amp;TEXT(ROW()-3,"0000"))</x:f>
      </x:c>
      <x:c r="B71" s="174"/>
      <x:c r="C71" s="174"/>
      <x:c r="D71" s="174"/>
      <x:c r="E71" s="174"/>
      <x:c r="F71" s="174"/>
      <x:c r="G71" s="174"/>
      <x:c r="H71" s="174"/>
      <x:c r="I71" s="174"/>
      <x:c r="J71" s="174"/>
      <x:c r="K71" s="174"/>
      <x:c r="L71" s="174"/>
      <x:c r="M71" s="174"/>
      <x:c r="N71" s="174"/>
      <x:c r="O71" s="174"/>
    </x:row>
    <x:row r="72">
      <x:c r="A72" s="174" t="str">
        <x:f>IF(C72="","","GAP-"&amp;TEXT(ROW()-3,"0000"))</x:f>
      </x:c>
      <x:c r="B72" s="174"/>
      <x:c r="C72" s="174"/>
      <x:c r="D72" s="174"/>
      <x:c r="E72" s="174"/>
      <x:c r="F72" s="174"/>
      <x:c r="G72" s="174"/>
      <x:c r="H72" s="174"/>
      <x:c r="I72" s="174"/>
      <x:c r="J72" s="174"/>
      <x:c r="K72" s="174"/>
      <x:c r="L72" s="174"/>
      <x:c r="M72" s="174"/>
      <x:c r="N72" s="174"/>
      <x:c r="O72" s="174"/>
    </x:row>
    <x:row r="73">
      <x:c r="A73" s="174" t="str">
        <x:f>IF(C73="","","GAP-"&amp;TEXT(ROW()-3,"0000"))</x:f>
      </x:c>
      <x:c r="B73" s="174"/>
      <x:c r="C73" s="174"/>
      <x:c r="D73" s="174"/>
      <x:c r="E73" s="174"/>
      <x:c r="F73" s="174"/>
      <x:c r="G73" s="174"/>
      <x:c r="H73" s="174"/>
      <x:c r="I73" s="174"/>
      <x:c r="J73" s="174"/>
      <x:c r="K73" s="174"/>
      <x:c r="L73" s="174"/>
      <x:c r="M73" s="174"/>
      <x:c r="N73" s="174"/>
      <x:c r="O73" s="174"/>
    </x:row>
    <x:row r="74">
      <x:c r="A74" s="174" t="str">
        <x:f>IF(C74="","","GAP-"&amp;TEXT(ROW()-3,"0000"))</x:f>
      </x:c>
      <x:c r="B74" s="174"/>
      <x:c r="C74" s="174"/>
      <x:c r="D74" s="174"/>
      <x:c r="E74" s="174"/>
      <x:c r="F74" s="174"/>
      <x:c r="G74" s="174"/>
      <x:c r="H74" s="174"/>
      <x:c r="I74" s="174"/>
      <x:c r="J74" s="174"/>
      <x:c r="K74" s="174"/>
      <x:c r="L74" s="174"/>
      <x:c r="M74" s="174"/>
      <x:c r="N74" s="174"/>
      <x:c r="O74" s="174"/>
    </x:row>
    <x:row r="75">
      <x:c r="A75" s="174" t="str">
        <x:f>IF(C75="","","GAP-"&amp;TEXT(ROW()-3,"0000"))</x:f>
      </x:c>
      <x:c r="B75" s="174"/>
      <x:c r="C75" s="174"/>
      <x:c r="D75" s="174"/>
      <x:c r="E75" s="174"/>
      <x:c r="F75" s="174"/>
      <x:c r="G75" s="174"/>
      <x:c r="H75" s="174"/>
      <x:c r="I75" s="174"/>
      <x:c r="J75" s="174"/>
      <x:c r="K75" s="174"/>
      <x:c r="L75" s="174"/>
      <x:c r="M75" s="174"/>
      <x:c r="N75" s="174"/>
      <x:c r="O75" s="174"/>
    </x:row>
    <x:row r="76">
      <x:c r="A76" s="174" t="str">
        <x:f>IF(C76="","","GAP-"&amp;TEXT(ROW()-3,"0000"))</x:f>
      </x:c>
      <x:c r="B76" s="174"/>
      <x:c r="C76" s="174"/>
      <x:c r="D76" s="174"/>
      <x:c r="E76" s="174"/>
      <x:c r="F76" s="174"/>
      <x:c r="G76" s="174"/>
      <x:c r="H76" s="174"/>
      <x:c r="I76" s="174"/>
      <x:c r="J76" s="174"/>
      <x:c r="K76" s="174"/>
      <x:c r="L76" s="174"/>
      <x:c r="M76" s="174"/>
      <x:c r="N76" s="174"/>
      <x:c r="O76" s="174"/>
    </x:row>
    <x:row r="77">
      <x:c r="A77" s="174" t="str">
        <x:f>IF(C77="","","GAP-"&amp;TEXT(ROW()-3,"0000"))</x:f>
      </x:c>
      <x:c r="B77" s="174"/>
      <x:c r="C77" s="174"/>
      <x:c r="D77" s="174"/>
      <x:c r="E77" s="174"/>
      <x:c r="F77" s="174"/>
      <x:c r="G77" s="174"/>
      <x:c r="H77" s="174"/>
      <x:c r="I77" s="174"/>
      <x:c r="J77" s="174"/>
      <x:c r="K77" s="174"/>
      <x:c r="L77" s="174"/>
      <x:c r="M77" s="174"/>
      <x:c r="N77" s="174"/>
      <x:c r="O77" s="174"/>
    </x:row>
    <x:row r="78">
      <x:c r="A78" s="174" t="str">
        <x:f>IF(C78="","","GAP-"&amp;TEXT(ROW()-3,"0000"))</x:f>
      </x:c>
      <x:c r="B78" s="174"/>
      <x:c r="C78" s="174"/>
      <x:c r="D78" s="174"/>
      <x:c r="E78" s="174"/>
      <x:c r="F78" s="174"/>
      <x:c r="G78" s="174"/>
      <x:c r="H78" s="174"/>
      <x:c r="I78" s="174"/>
      <x:c r="J78" s="174"/>
      <x:c r="K78" s="174"/>
      <x:c r="L78" s="174"/>
      <x:c r="M78" s="174"/>
      <x:c r="N78" s="174"/>
      <x:c r="O78" s="174"/>
    </x:row>
    <x:row r="79">
      <x:c r="A79" s="174" t="str">
        <x:f>IF(C79="","","GAP-"&amp;TEXT(ROW()-3,"0000"))</x:f>
      </x:c>
      <x:c r="B79" s="174"/>
      <x:c r="C79" s="174"/>
      <x:c r="D79" s="174"/>
      <x:c r="E79" s="174"/>
      <x:c r="F79" s="174"/>
      <x:c r="G79" s="174"/>
      <x:c r="H79" s="174"/>
      <x:c r="I79" s="174"/>
      <x:c r="J79" s="174"/>
      <x:c r="K79" s="174"/>
      <x:c r="L79" s="174"/>
      <x:c r="M79" s="174"/>
      <x:c r="N79" s="174"/>
      <x:c r="O79" s="174"/>
    </x:row>
    <x:row r="80">
      <x:c r="A80" s="174" t="str">
        <x:f>IF(C80="","","GAP-"&amp;TEXT(ROW()-3,"0000"))</x:f>
      </x:c>
      <x:c r="B80" s="174"/>
      <x:c r="C80" s="174"/>
      <x:c r="D80" s="174"/>
      <x:c r="E80" s="174"/>
      <x:c r="F80" s="174"/>
      <x:c r="G80" s="174"/>
      <x:c r="H80" s="174"/>
      <x:c r="I80" s="174"/>
      <x:c r="J80" s="174"/>
      <x:c r="K80" s="174"/>
      <x:c r="L80" s="174"/>
      <x:c r="M80" s="174"/>
      <x:c r="N80" s="174"/>
      <x:c r="O80" s="174"/>
    </x:row>
    <x:row r="81">
      <x:c r="A81" s="174" t="str">
        <x:f>IF(C81="","","GAP-"&amp;TEXT(ROW()-3,"0000"))</x:f>
      </x:c>
      <x:c r="B81" s="174"/>
      <x:c r="C81" s="174"/>
      <x:c r="D81" s="174"/>
      <x:c r="E81" s="174"/>
      <x:c r="F81" s="174"/>
      <x:c r="G81" s="174"/>
      <x:c r="H81" s="174"/>
      <x:c r="I81" s="174"/>
      <x:c r="J81" s="174"/>
      <x:c r="K81" s="174"/>
      <x:c r="L81" s="174"/>
      <x:c r="M81" s="174"/>
      <x:c r="N81" s="174"/>
      <x:c r="O81" s="174"/>
    </x:row>
    <x:row r="82">
      <x:c r="A82" s="174" t="str">
        <x:f>IF(C82="","","GAP-"&amp;TEXT(ROW()-3,"0000"))</x:f>
      </x:c>
      <x:c r="B82" s="174"/>
      <x:c r="C82" s="174"/>
      <x:c r="D82" s="174"/>
      <x:c r="E82" s="174"/>
      <x:c r="F82" s="174"/>
      <x:c r="G82" s="174"/>
      <x:c r="H82" s="174"/>
      <x:c r="I82" s="174"/>
      <x:c r="J82" s="174"/>
      <x:c r="K82" s="174"/>
      <x:c r="L82" s="174"/>
      <x:c r="M82" s="174"/>
      <x:c r="N82" s="174"/>
      <x:c r="O82" s="174"/>
    </x:row>
    <x:row r="83">
      <x:c r="A83" s="174" t="str">
        <x:f>IF(C83="","","GAP-"&amp;TEXT(ROW()-3,"0000"))</x:f>
      </x:c>
      <x:c r="B83" s="174"/>
      <x:c r="C83" s="174"/>
      <x:c r="D83" s="174"/>
      <x:c r="E83" s="174"/>
      <x:c r="F83" s="174"/>
      <x:c r="G83" s="174"/>
      <x:c r="H83" s="174"/>
      <x:c r="I83" s="174"/>
      <x:c r="J83" s="174"/>
      <x:c r="K83" s="174"/>
      <x:c r="L83" s="174"/>
      <x:c r="M83" s="174"/>
      <x:c r="N83" s="174"/>
      <x:c r="O83" s="174"/>
    </x:row>
    <x:row r="84">
      <x:c r="A84" s="174" t="str">
        <x:f>IF(C84="","","GAP-"&amp;TEXT(ROW()-3,"0000"))</x:f>
      </x:c>
      <x:c r="B84" s="174"/>
      <x:c r="C84" s="174"/>
      <x:c r="D84" s="174"/>
      <x:c r="E84" s="174"/>
      <x:c r="F84" s="174"/>
      <x:c r="G84" s="174"/>
      <x:c r="H84" s="174"/>
      <x:c r="I84" s="174"/>
      <x:c r="J84" s="174"/>
      <x:c r="K84" s="174"/>
      <x:c r="L84" s="174"/>
      <x:c r="M84" s="174"/>
      <x:c r="N84" s="174"/>
      <x:c r="O84" s="174"/>
    </x:row>
    <x:row r="85">
      <x:c r="A85" s="174" t="str">
        <x:f>IF(C85="","","GAP-"&amp;TEXT(ROW()-3,"0000"))</x:f>
      </x:c>
      <x:c r="B85" s="174"/>
      <x:c r="C85" s="174"/>
      <x:c r="D85" s="174"/>
      <x:c r="E85" s="174"/>
      <x:c r="F85" s="174"/>
      <x:c r="G85" s="174"/>
      <x:c r="H85" s="174"/>
      <x:c r="I85" s="174"/>
      <x:c r="J85" s="174"/>
      <x:c r="K85" s="174"/>
      <x:c r="L85" s="174"/>
      <x:c r="M85" s="174"/>
      <x:c r="N85" s="174"/>
      <x:c r="O85" s="174"/>
    </x:row>
    <x:row r="86">
      <x:c r="A86" s="174" t="str">
        <x:f>IF(C86="","","GAP-"&amp;TEXT(ROW()-3,"0000"))</x:f>
      </x:c>
      <x:c r="B86" s="174"/>
      <x:c r="C86" s="174"/>
      <x:c r="D86" s="174"/>
      <x:c r="E86" s="174"/>
      <x:c r="F86" s="174"/>
      <x:c r="G86" s="174"/>
      <x:c r="H86" s="174"/>
      <x:c r="I86" s="174"/>
      <x:c r="J86" s="174"/>
      <x:c r="K86" s="174"/>
      <x:c r="L86" s="174"/>
      <x:c r="M86" s="174"/>
      <x:c r="N86" s="174"/>
      <x:c r="O86" s="174"/>
    </x:row>
    <x:row r="87">
      <x:c r="A87" s="174" t="str">
        <x:f>IF(C87="","","GAP-"&amp;TEXT(ROW()-3,"0000"))</x:f>
      </x:c>
      <x:c r="B87" s="174"/>
      <x:c r="C87" s="174"/>
      <x:c r="D87" s="174"/>
      <x:c r="E87" s="174"/>
      <x:c r="F87" s="174"/>
      <x:c r="G87" s="174"/>
      <x:c r="H87" s="174"/>
      <x:c r="I87" s="174"/>
      <x:c r="J87" s="174"/>
      <x:c r="K87" s="174"/>
      <x:c r="L87" s="174"/>
      <x:c r="M87" s="174"/>
      <x:c r="N87" s="174"/>
      <x:c r="O87" s="174"/>
    </x:row>
    <x:row r="88">
      <x:c r="A88" s="174" t="str">
        <x:f>IF(C88="","","GAP-"&amp;TEXT(ROW()-3,"0000"))</x:f>
      </x:c>
      <x:c r="B88" s="174"/>
      <x:c r="C88" s="174"/>
      <x:c r="D88" s="174"/>
      <x:c r="E88" s="174"/>
      <x:c r="F88" s="174"/>
      <x:c r="G88" s="174"/>
      <x:c r="H88" s="174"/>
      <x:c r="I88" s="174"/>
      <x:c r="J88" s="174"/>
      <x:c r="K88" s="174"/>
      <x:c r="L88" s="174"/>
      <x:c r="M88" s="174"/>
      <x:c r="N88" s="174"/>
      <x:c r="O88" s="174"/>
    </x:row>
    <x:row r="89">
      <x:c r="A89" s="174" t="str">
        <x:f>IF(C89="","","GAP-"&amp;TEXT(ROW()-3,"0000"))</x:f>
      </x:c>
      <x:c r="B89" s="174"/>
      <x:c r="C89" s="174"/>
      <x:c r="D89" s="174"/>
      <x:c r="E89" s="174"/>
      <x:c r="F89" s="174"/>
      <x:c r="G89" s="174"/>
      <x:c r="H89" s="174"/>
      <x:c r="I89" s="174"/>
      <x:c r="J89" s="174"/>
      <x:c r="K89" s="174"/>
      <x:c r="L89" s="174"/>
      <x:c r="M89" s="174"/>
      <x:c r="N89" s="174"/>
      <x:c r="O89" s="174"/>
    </x:row>
    <x:row r="90">
      <x:c r="A90" s="174" t="str">
        <x:f>IF(C90="","","GAP-"&amp;TEXT(ROW()-3,"0000"))</x:f>
      </x:c>
      <x:c r="B90" s="174"/>
      <x:c r="C90" s="174"/>
      <x:c r="D90" s="174"/>
      <x:c r="E90" s="174"/>
      <x:c r="F90" s="174"/>
      <x:c r="G90" s="174"/>
      <x:c r="H90" s="174"/>
      <x:c r="I90" s="174"/>
      <x:c r="J90" s="174"/>
      <x:c r="K90" s="174"/>
      <x:c r="L90" s="174"/>
      <x:c r="M90" s="174"/>
      <x:c r="N90" s="174"/>
      <x:c r="O90" s="174"/>
    </x:row>
    <x:row r="91">
      <x:c r="A91" s="174" t="str">
        <x:f>IF(C91="","","GAP-"&amp;TEXT(ROW()-3,"0000"))</x:f>
      </x:c>
      <x:c r="B91" s="174"/>
      <x:c r="C91" s="174"/>
      <x:c r="D91" s="174"/>
      <x:c r="E91" s="174"/>
      <x:c r="F91" s="174"/>
      <x:c r="G91" s="174"/>
      <x:c r="H91" s="174"/>
      <x:c r="I91" s="174"/>
      <x:c r="J91" s="174"/>
      <x:c r="K91" s="174"/>
      <x:c r="L91" s="174"/>
      <x:c r="M91" s="174"/>
      <x:c r="N91" s="174"/>
      <x:c r="O91" s="174"/>
    </x:row>
    <x:row r="92">
      <x:c r="A92" s="174" t="str">
        <x:f>IF(C92="","","GAP-"&amp;TEXT(ROW()-3,"0000"))</x:f>
      </x:c>
      <x:c r="B92" s="174"/>
      <x:c r="C92" s="174"/>
      <x:c r="D92" s="174"/>
      <x:c r="E92" s="174"/>
      <x:c r="F92" s="174"/>
      <x:c r="G92" s="174"/>
      <x:c r="H92" s="174"/>
      <x:c r="I92" s="174"/>
      <x:c r="J92" s="174"/>
      <x:c r="K92" s="174"/>
      <x:c r="L92" s="174"/>
      <x:c r="M92" s="174"/>
      <x:c r="N92" s="174"/>
      <x:c r="O92" s="174"/>
    </x:row>
    <x:row r="93">
      <x:c r="A93" s="174" t="str">
        <x:f>IF(C93="","","GAP-"&amp;TEXT(ROW()-3,"0000"))</x:f>
      </x:c>
      <x:c r="B93" s="174"/>
      <x:c r="C93" s="174"/>
      <x:c r="D93" s="174"/>
      <x:c r="E93" s="174"/>
      <x:c r="F93" s="174"/>
      <x:c r="G93" s="174"/>
      <x:c r="H93" s="174"/>
      <x:c r="I93" s="174"/>
      <x:c r="J93" s="174"/>
      <x:c r="K93" s="174"/>
      <x:c r="L93" s="174"/>
      <x:c r="M93" s="174"/>
      <x:c r="N93" s="174"/>
      <x:c r="O93" s="174"/>
    </x:row>
    <x:row r="94">
      <x:c r="A94" s="174" t="str">
        <x:f>IF(C94="","","GAP-"&amp;TEXT(ROW()-3,"0000"))</x:f>
      </x:c>
      <x:c r="B94" s="174"/>
      <x:c r="C94" s="174"/>
      <x:c r="D94" s="174"/>
      <x:c r="E94" s="174"/>
      <x:c r="F94" s="174"/>
      <x:c r="G94" s="174"/>
      <x:c r="H94" s="174"/>
      <x:c r="I94" s="174"/>
      <x:c r="J94" s="174"/>
      <x:c r="K94" s="174"/>
      <x:c r="L94" s="174"/>
      <x:c r="M94" s="174"/>
      <x:c r="N94" s="174"/>
      <x:c r="O94" s="174"/>
    </x:row>
    <x:row r="95">
      <x:c r="A95" s="174" t="str">
        <x:f>IF(C95="","","GAP-"&amp;TEXT(ROW()-3,"0000"))</x:f>
      </x:c>
      <x:c r="B95" s="174"/>
      <x:c r="C95" s="174"/>
      <x:c r="D95" s="174"/>
      <x:c r="E95" s="174"/>
      <x:c r="F95" s="174"/>
      <x:c r="G95" s="174"/>
      <x:c r="H95" s="174"/>
      <x:c r="I95" s="174"/>
      <x:c r="J95" s="174"/>
      <x:c r="K95" s="174"/>
      <x:c r="L95" s="174"/>
      <x:c r="M95" s="174"/>
      <x:c r="N95" s="174"/>
      <x:c r="O95" s="174"/>
    </x:row>
    <x:row r="96">
      <x:c r="A96" s="174" t="str">
        <x:f>IF(C96="","","GAP-"&amp;TEXT(ROW()-3,"0000"))</x:f>
      </x:c>
      <x:c r="B96" s="174"/>
      <x:c r="C96" s="174"/>
      <x:c r="D96" s="174"/>
      <x:c r="E96" s="174"/>
      <x:c r="F96" s="174"/>
      <x:c r="G96" s="174"/>
      <x:c r="H96" s="174"/>
      <x:c r="I96" s="174"/>
      <x:c r="J96" s="174"/>
      <x:c r="K96" s="174"/>
      <x:c r="L96" s="174"/>
      <x:c r="M96" s="174"/>
      <x:c r="N96" s="174"/>
      <x:c r="O96" s="174"/>
    </x:row>
    <x:row r="97">
      <x:c r="A97" s="174" t="str">
        <x:f>IF(C97="","","GAP-"&amp;TEXT(ROW()-3,"0000"))</x:f>
      </x:c>
      <x:c r="B97" s="174"/>
      <x:c r="C97" s="174"/>
      <x:c r="D97" s="174"/>
      <x:c r="E97" s="174"/>
      <x:c r="F97" s="174"/>
      <x:c r="G97" s="174"/>
      <x:c r="H97" s="174"/>
      <x:c r="I97" s="174"/>
      <x:c r="J97" s="174"/>
      <x:c r="K97" s="174"/>
      <x:c r="L97" s="174"/>
      <x:c r="M97" s="174"/>
      <x:c r="N97" s="174"/>
      <x:c r="O97" s="174"/>
    </x:row>
    <x:row r="98">
      <x:c r="A98" s="174" t="str">
        <x:f>IF(C98="","","GAP-"&amp;TEXT(ROW()-3,"0000"))</x:f>
      </x:c>
      <x:c r="B98" s="174"/>
      <x:c r="C98" s="174"/>
      <x:c r="D98" s="174"/>
      <x:c r="E98" s="174"/>
      <x:c r="F98" s="174"/>
      <x:c r="G98" s="174"/>
      <x:c r="H98" s="174"/>
      <x:c r="I98" s="174"/>
      <x:c r="J98" s="174"/>
      <x:c r="K98" s="174"/>
      <x:c r="L98" s="174"/>
      <x:c r="M98" s="174"/>
      <x:c r="N98" s="174"/>
      <x:c r="O98" s="174"/>
    </x:row>
    <x:row r="99">
      <x:c r="A99" s="174" t="str">
        <x:f>IF(C99="","","GAP-"&amp;TEXT(ROW()-3,"0000"))</x:f>
      </x:c>
      <x:c r="B99" s="174"/>
      <x:c r="C99" s="174"/>
      <x:c r="D99" s="174"/>
      <x:c r="E99" s="174"/>
      <x:c r="F99" s="174"/>
      <x:c r="G99" s="174"/>
      <x:c r="H99" s="174"/>
      <x:c r="I99" s="174"/>
      <x:c r="J99" s="174"/>
      <x:c r="K99" s="174"/>
      <x:c r="L99" s="174"/>
      <x:c r="M99" s="174"/>
      <x:c r="N99" s="174"/>
      <x:c r="O99" s="174"/>
    </x:row>
    <x:row r="100">
      <x:c r="A100" s="174" t="str">
        <x:f>IF(C100="","","GAP-"&amp;TEXT(ROW()-3,"0000"))</x:f>
      </x:c>
      <x:c r="B100" s="174"/>
      <x:c r="C100" s="174"/>
      <x:c r="D100" s="174"/>
      <x:c r="E100" s="174"/>
      <x:c r="F100" s="174"/>
      <x:c r="G100" s="174"/>
      <x:c r="H100" s="174"/>
      <x:c r="I100" s="174"/>
      <x:c r="J100" s="174"/>
      <x:c r="K100" s="174"/>
      <x:c r="L100" s="174"/>
      <x:c r="M100" s="174"/>
      <x:c r="N100" s="174"/>
      <x:c r="O100" s="174"/>
    </x:row>
    <x:row r="101">
      <x:c r="A101" s="174" t="str">
        <x:f>IF(C101="","","GAP-"&amp;TEXT(ROW()-3,"0000"))</x:f>
      </x:c>
      <x:c r="B101" s="174"/>
      <x:c r="C101" s="174"/>
      <x:c r="D101" s="174"/>
      <x:c r="E101" s="174"/>
      <x:c r="F101" s="174"/>
      <x:c r="G101" s="174"/>
      <x:c r="H101" s="174"/>
      <x:c r="I101" s="174"/>
      <x:c r="J101" s="174"/>
      <x:c r="K101" s="174"/>
      <x:c r="L101" s="174"/>
      <x:c r="M101" s="174"/>
      <x:c r="N101" s="174"/>
      <x:c r="O101" s="174"/>
    </x:row>
    <x:row r="102">
      <x:c r="A102" s="174" t="str">
        <x:f>IF(C102="","","GAP-"&amp;TEXT(ROW()-3,"0000"))</x:f>
      </x:c>
      <x:c r="B102" s="174"/>
      <x:c r="C102" s="174"/>
      <x:c r="D102" s="174"/>
      <x:c r="E102" s="174"/>
      <x:c r="F102" s="174"/>
      <x:c r="G102" s="174"/>
      <x:c r="H102" s="174"/>
      <x:c r="I102" s="174"/>
      <x:c r="J102" s="174"/>
      <x:c r="K102" s="174"/>
      <x:c r="L102" s="174"/>
      <x:c r="M102" s="174"/>
      <x:c r="N102" s="174"/>
      <x:c r="O102" s="174"/>
    </x:row>
    <x:row r="103">
      <x:c r="A103" s="174" t="str">
        <x:f>IF(C103="","","GAP-"&amp;TEXT(ROW()-3,"0000"))</x:f>
      </x:c>
      <x:c r="B103" s="174"/>
      <x:c r="C103" s="174"/>
      <x:c r="D103" s="174"/>
      <x:c r="E103" s="174"/>
      <x:c r="F103" s="174"/>
      <x:c r="G103" s="174"/>
      <x:c r="H103" s="174"/>
      <x:c r="I103" s="174"/>
      <x:c r="J103" s="174"/>
      <x:c r="K103" s="174"/>
      <x:c r="L103" s="174"/>
      <x:c r="M103" s="174"/>
      <x:c r="N103" s="174"/>
      <x:c r="O103" s="174"/>
    </x:row>
    <x:row r="104">
      <x:c r="A104" s="174" t="str">
        <x:f>IF(C104="","","GAP-"&amp;TEXT(ROW()-3,"0000"))</x:f>
      </x:c>
      <x:c r="B104" s="174"/>
      <x:c r="C104" s="174"/>
      <x:c r="D104" s="174"/>
      <x:c r="E104" s="174"/>
      <x:c r="F104" s="174"/>
      <x:c r="G104" s="174"/>
      <x:c r="H104" s="174"/>
      <x:c r="I104" s="174"/>
      <x:c r="J104" s="174"/>
      <x:c r="K104" s="174"/>
      <x:c r="L104" s="174"/>
      <x:c r="M104" s="174"/>
      <x:c r="N104" s="174"/>
      <x:c r="O104" s="174"/>
    </x:row>
    <x:row r="105">
      <x:c r="A105" s="174" t="str">
        <x:f>IF(C105="","","GAP-"&amp;TEXT(ROW()-3,"0000"))</x:f>
      </x:c>
      <x:c r="B105" s="174"/>
      <x:c r="C105" s="174"/>
      <x:c r="D105" s="174"/>
      <x:c r="E105" s="174"/>
      <x:c r="F105" s="174"/>
      <x:c r="G105" s="174"/>
      <x:c r="H105" s="174"/>
      <x:c r="I105" s="174"/>
      <x:c r="J105" s="174"/>
      <x:c r="K105" s="174"/>
      <x:c r="L105" s="174"/>
      <x:c r="M105" s="174"/>
      <x:c r="N105" s="174"/>
      <x:c r="O105" s="174"/>
    </x:row>
    <x:row r="106">
      <x:c r="A106" s="174" t="str">
        <x:f>IF(C106="","","GAP-"&amp;TEXT(ROW()-3,"0000"))</x:f>
      </x:c>
      <x:c r="B106" s="174"/>
      <x:c r="C106" s="174"/>
      <x:c r="D106" s="174"/>
      <x:c r="E106" s="174"/>
      <x:c r="F106" s="174"/>
      <x:c r="G106" s="174"/>
      <x:c r="H106" s="174"/>
      <x:c r="I106" s="174"/>
      <x:c r="J106" s="174"/>
      <x:c r="K106" s="174"/>
      <x:c r="L106" s="174"/>
      <x:c r="M106" s="174"/>
      <x:c r="N106" s="174"/>
      <x:c r="O106" s="174"/>
    </x:row>
    <x:row r="107">
      <x:c r="A107" s="174" t="str">
        <x:f>IF(C107="","","GAP-"&amp;TEXT(ROW()-3,"0000"))</x:f>
      </x:c>
      <x:c r="B107" s="174"/>
      <x:c r="C107" s="174"/>
      <x:c r="D107" s="174"/>
      <x:c r="E107" s="174"/>
      <x:c r="F107" s="174"/>
      <x:c r="G107" s="174"/>
      <x:c r="H107" s="174"/>
      <x:c r="I107" s="174"/>
      <x:c r="J107" s="174"/>
      <x:c r="K107" s="174"/>
      <x:c r="L107" s="174"/>
      <x:c r="M107" s="174"/>
      <x:c r="N107" s="174"/>
      <x:c r="O107" s="174"/>
    </x:row>
    <x:row r="108">
      <x:c r="A108" s="174" t="str">
        <x:f>IF(C108="","","GAP-"&amp;TEXT(ROW()-3,"0000"))</x:f>
      </x:c>
      <x:c r="B108" s="174"/>
      <x:c r="C108" s="174"/>
      <x:c r="D108" s="174"/>
      <x:c r="E108" s="174"/>
      <x:c r="F108" s="174"/>
      <x:c r="G108" s="174"/>
      <x:c r="H108" s="174"/>
      <x:c r="I108" s="174"/>
      <x:c r="J108" s="174"/>
      <x:c r="K108" s="174"/>
      <x:c r="L108" s="174"/>
      <x:c r="M108" s="174"/>
      <x:c r="N108" s="174"/>
      <x:c r="O108" s="174"/>
    </x:row>
    <x:row r="109">
      <x:c r="A109" s="174" t="str">
        <x:f>IF(C109="","","GAP-"&amp;TEXT(ROW()-3,"0000"))</x:f>
      </x:c>
      <x:c r="B109" s="174"/>
      <x:c r="C109" s="174"/>
      <x:c r="D109" s="174"/>
      <x:c r="E109" s="174"/>
      <x:c r="F109" s="174"/>
      <x:c r="G109" s="174"/>
      <x:c r="H109" s="174"/>
      <x:c r="I109" s="174"/>
      <x:c r="J109" s="174"/>
      <x:c r="K109" s="174"/>
      <x:c r="L109" s="174"/>
      <x:c r="M109" s="174"/>
      <x:c r="N109" s="174"/>
      <x:c r="O109" s="174"/>
    </x:row>
    <x:row r="110">
      <x:c r="A110" s="174" t="str">
        <x:f>IF(C110="","","GAP-"&amp;TEXT(ROW()-3,"0000"))</x:f>
      </x:c>
      <x:c r="B110" s="174"/>
      <x:c r="C110" s="174"/>
      <x:c r="D110" s="174"/>
      <x:c r="E110" s="174"/>
      <x:c r="F110" s="174"/>
      <x:c r="G110" s="174"/>
      <x:c r="H110" s="174"/>
      <x:c r="I110" s="174"/>
      <x:c r="J110" s="174"/>
      <x:c r="K110" s="174"/>
      <x:c r="L110" s="174"/>
      <x:c r="M110" s="174"/>
      <x:c r="N110" s="174"/>
      <x:c r="O110" s="174"/>
    </x:row>
    <x:row r="111">
      <x:c r="A111" s="174" t="str">
        <x:f>IF(C111="","","GAP-"&amp;TEXT(ROW()-3,"0000"))</x:f>
      </x:c>
      <x:c r="B111" s="174"/>
      <x:c r="C111" s="174"/>
      <x:c r="D111" s="174"/>
      <x:c r="E111" s="174"/>
      <x:c r="F111" s="174"/>
      <x:c r="G111" s="174"/>
      <x:c r="H111" s="174"/>
      <x:c r="I111" s="174"/>
      <x:c r="J111" s="174"/>
      <x:c r="K111" s="174"/>
      <x:c r="L111" s="174"/>
      <x:c r="M111" s="174"/>
      <x:c r="N111" s="174"/>
      <x:c r="O111" s="174"/>
    </x:row>
    <x:row r="112">
      <x:c r="A112" s="174" t="str">
        <x:f>IF(C112="","","GAP-"&amp;TEXT(ROW()-3,"0000"))</x:f>
      </x:c>
      <x:c r="B112" s="174"/>
      <x:c r="C112" s="174"/>
      <x:c r="D112" s="174"/>
      <x:c r="E112" s="174"/>
      <x:c r="F112" s="174"/>
      <x:c r="G112" s="174"/>
      <x:c r="H112" s="174"/>
      <x:c r="I112" s="174"/>
      <x:c r="J112" s="174"/>
      <x:c r="K112" s="174"/>
      <x:c r="L112" s="174"/>
      <x:c r="M112" s="174"/>
      <x:c r="N112" s="174"/>
      <x:c r="O112" s="174"/>
    </x:row>
    <x:row r="113">
      <x:c r="A113" s="174" t="str">
        <x:f>IF(C113="","","GAP-"&amp;TEXT(ROW()-3,"0000"))</x:f>
      </x:c>
      <x:c r="B113" s="174"/>
      <x:c r="C113" s="174"/>
      <x:c r="D113" s="174"/>
      <x:c r="E113" s="174"/>
      <x:c r="F113" s="174"/>
      <x:c r="G113" s="174"/>
      <x:c r="H113" s="174"/>
      <x:c r="I113" s="174"/>
      <x:c r="J113" s="174"/>
      <x:c r="K113" s="174"/>
      <x:c r="L113" s="174"/>
      <x:c r="M113" s="174"/>
      <x:c r="N113" s="174"/>
      <x:c r="O113" s="174"/>
    </x:row>
    <x:row r="114">
      <x:c r="A114" s="174" t="str">
        <x:f>IF(C114="","","GAP-"&amp;TEXT(ROW()-3,"0000"))</x:f>
      </x:c>
      <x:c r="B114" s="174"/>
      <x:c r="C114" s="174"/>
      <x:c r="D114" s="174"/>
      <x:c r="E114" s="174"/>
      <x:c r="F114" s="174"/>
      <x:c r="G114" s="174"/>
      <x:c r="H114" s="174"/>
      <x:c r="I114" s="174"/>
      <x:c r="J114" s="174"/>
      <x:c r="K114" s="174"/>
      <x:c r="L114" s="174"/>
      <x:c r="M114" s="174"/>
      <x:c r="N114" s="174"/>
      <x:c r="O114" s="174"/>
    </x:row>
    <x:row r="115">
      <x:c r="A115" s="174" t="str">
        <x:f>IF(C115="","","GAP-"&amp;TEXT(ROW()-3,"0000"))</x:f>
      </x:c>
      <x:c r="B115" s="174"/>
      <x:c r="C115" s="174"/>
      <x:c r="D115" s="174"/>
      <x:c r="E115" s="174"/>
      <x:c r="F115" s="174"/>
      <x:c r="G115" s="174"/>
      <x:c r="H115" s="174"/>
      <x:c r="I115" s="174"/>
      <x:c r="J115" s="174"/>
      <x:c r="K115" s="174"/>
      <x:c r="L115" s="174"/>
      <x:c r="M115" s="174"/>
      <x:c r="N115" s="174"/>
      <x:c r="O115" s="174"/>
    </x:row>
    <x:row r="116">
      <x:c r="A116" s="174" t="str">
        <x:f>IF(C116="","","GAP-"&amp;TEXT(ROW()-3,"0000"))</x:f>
      </x:c>
      <x:c r="B116" s="174"/>
      <x:c r="C116" s="174"/>
      <x:c r="D116" s="174"/>
      <x:c r="E116" s="174"/>
      <x:c r="F116" s="174"/>
      <x:c r="G116" s="174"/>
      <x:c r="H116" s="174"/>
      <x:c r="I116" s="174"/>
      <x:c r="J116" s="174"/>
      <x:c r="K116" s="174"/>
      <x:c r="L116" s="174"/>
      <x:c r="M116" s="174"/>
      <x:c r="N116" s="174"/>
      <x:c r="O116" s="174"/>
    </x:row>
    <x:row r="117">
      <x:c r="A117" s="174" t="str">
        <x:f>IF(C117="","","GAP-"&amp;TEXT(ROW()-3,"0000"))</x:f>
      </x:c>
      <x:c r="B117" s="174"/>
      <x:c r="C117" s="174"/>
      <x:c r="D117" s="174"/>
      <x:c r="E117" s="174"/>
      <x:c r="F117" s="174"/>
      <x:c r="G117" s="174"/>
      <x:c r="H117" s="174"/>
      <x:c r="I117" s="174"/>
      <x:c r="J117" s="174"/>
      <x:c r="K117" s="174"/>
      <x:c r="L117" s="174"/>
      <x:c r="M117" s="174"/>
      <x:c r="N117" s="174"/>
      <x:c r="O117" s="174"/>
    </x:row>
    <x:row r="118">
      <x:c r="A118" s="174" t="str">
        <x:f>IF(C118="","","GAP-"&amp;TEXT(ROW()-3,"0000"))</x:f>
      </x:c>
      <x:c r="B118" s="174"/>
      <x:c r="C118" s="174"/>
      <x:c r="D118" s="174"/>
      <x:c r="E118" s="174"/>
      <x:c r="F118" s="174"/>
      <x:c r="G118" s="174"/>
      <x:c r="H118" s="174"/>
      <x:c r="I118" s="174"/>
      <x:c r="J118" s="174"/>
      <x:c r="K118" s="174"/>
      <x:c r="L118" s="174"/>
      <x:c r="M118" s="174"/>
      <x:c r="N118" s="174"/>
      <x:c r="O118" s="174"/>
    </x:row>
    <x:row r="119">
      <x:c r="A119" s="174" t="str">
        <x:f>IF(C119="","","GAP-"&amp;TEXT(ROW()-3,"0000"))</x:f>
      </x:c>
      <x:c r="B119" s="174"/>
      <x:c r="C119" s="174"/>
      <x:c r="D119" s="174"/>
      <x:c r="E119" s="174"/>
      <x:c r="F119" s="174"/>
      <x:c r="G119" s="174"/>
      <x:c r="H119" s="174"/>
      <x:c r="I119" s="174"/>
      <x:c r="J119" s="174"/>
      <x:c r="K119" s="174"/>
      <x:c r="L119" s="174"/>
      <x:c r="M119" s="174"/>
      <x:c r="N119" s="174"/>
      <x:c r="O119" s="174"/>
    </x:row>
    <x:row r="120">
      <x:c r="A120" s="174" t="str">
        <x:f>IF(C120="","","GAP-"&amp;TEXT(ROW()-3,"0000"))</x:f>
      </x:c>
      <x:c r="B120" s="174"/>
      <x:c r="C120" s="174"/>
      <x:c r="D120" s="174"/>
      <x:c r="E120" s="174"/>
      <x:c r="F120" s="174"/>
      <x:c r="G120" s="174"/>
      <x:c r="H120" s="174"/>
      <x:c r="I120" s="174"/>
      <x:c r="J120" s="174"/>
      <x:c r="K120" s="174"/>
      <x:c r="L120" s="174"/>
      <x:c r="M120" s="174"/>
      <x:c r="N120" s="174"/>
      <x:c r="O120" s="174"/>
    </x:row>
    <x:row r="121">
      <x:c r="A121" s="174" t="str">
        <x:f>IF(C121="","","GAP-"&amp;TEXT(ROW()-3,"0000"))</x:f>
      </x:c>
      <x:c r="B121" s="174"/>
      <x:c r="C121" s="174"/>
      <x:c r="D121" s="174"/>
      <x:c r="E121" s="174"/>
      <x:c r="F121" s="174"/>
      <x:c r="G121" s="174"/>
      <x:c r="H121" s="174"/>
      <x:c r="I121" s="174"/>
      <x:c r="J121" s="174"/>
      <x:c r="K121" s="174"/>
      <x:c r="L121" s="174"/>
      <x:c r="M121" s="174"/>
      <x:c r="N121" s="174"/>
      <x:c r="O121" s="174"/>
    </x:row>
    <x:row r="122">
      <x:c r="A122" s="174" t="str">
        <x:f>IF(C122="","","GAP-"&amp;TEXT(ROW()-3,"0000"))</x:f>
      </x:c>
      <x:c r="B122" s="174"/>
      <x:c r="C122" s="174"/>
      <x:c r="D122" s="174"/>
      <x:c r="E122" s="174"/>
      <x:c r="F122" s="174"/>
      <x:c r="G122" s="174"/>
      <x:c r="H122" s="174"/>
      <x:c r="I122" s="174"/>
      <x:c r="J122" s="174"/>
      <x:c r="K122" s="174"/>
      <x:c r="L122" s="174"/>
      <x:c r="M122" s="174"/>
      <x:c r="N122" s="174"/>
      <x:c r="O122" s="174"/>
    </x:row>
    <x:row r="123">
      <x:c r="A123" s="174" t="str">
        <x:f>IF(C123="","","GAP-"&amp;TEXT(ROW()-3,"0000"))</x:f>
      </x:c>
      <x:c r="B123" s="174"/>
      <x:c r="C123" s="174"/>
      <x:c r="D123" s="174"/>
      <x:c r="E123" s="174"/>
      <x:c r="F123" s="174"/>
      <x:c r="G123" s="174"/>
      <x:c r="H123" s="174"/>
      <x:c r="I123" s="174"/>
      <x:c r="J123" s="174"/>
      <x:c r="K123" s="174"/>
      <x:c r="L123" s="174"/>
      <x:c r="M123" s="174"/>
      <x:c r="N123" s="174"/>
      <x:c r="O123" s="174"/>
    </x:row>
    <x:row r="124">
      <x:c r="A124" s="174" t="str">
        <x:f>IF(C124="","","GAP-"&amp;TEXT(ROW()-3,"0000"))</x:f>
      </x:c>
      <x:c r="B124" s="174"/>
      <x:c r="C124" s="174"/>
      <x:c r="D124" s="174"/>
      <x:c r="E124" s="174"/>
      <x:c r="F124" s="174"/>
      <x:c r="G124" s="174"/>
      <x:c r="H124" s="174"/>
      <x:c r="I124" s="174"/>
      <x:c r="J124" s="174"/>
      <x:c r="K124" s="174"/>
      <x:c r="L124" s="174"/>
      <x:c r="M124" s="174"/>
      <x:c r="N124" s="174"/>
      <x:c r="O124" s="174"/>
    </x:row>
    <x:row r="125">
      <x:c r="A125" s="174" t="str">
        <x:f>IF(C125="","","GAP-"&amp;TEXT(ROW()-3,"0000"))</x:f>
      </x:c>
      <x:c r="B125" s="174"/>
      <x:c r="C125" s="174"/>
      <x:c r="D125" s="174"/>
      <x:c r="E125" s="174"/>
      <x:c r="F125" s="174"/>
      <x:c r="G125" s="174"/>
      <x:c r="H125" s="174"/>
      <x:c r="I125" s="174"/>
      <x:c r="J125" s="174"/>
      <x:c r="K125" s="174"/>
      <x:c r="L125" s="174"/>
      <x:c r="M125" s="174"/>
      <x:c r="N125" s="174"/>
      <x:c r="O125" s="174"/>
    </x:row>
    <x:row r="126">
      <x:c r="A126" s="174" t="str">
        <x:f>IF(C126="","","GAP-"&amp;TEXT(ROW()-3,"0000"))</x:f>
      </x:c>
      <x:c r="B126" s="174"/>
      <x:c r="C126" s="174"/>
      <x:c r="D126" s="174"/>
      <x:c r="E126" s="174"/>
      <x:c r="F126" s="174"/>
      <x:c r="G126" s="174"/>
      <x:c r="H126" s="174"/>
      <x:c r="I126" s="174"/>
      <x:c r="J126" s="174"/>
      <x:c r="K126" s="174"/>
      <x:c r="L126" s="174"/>
      <x:c r="M126" s="174"/>
      <x:c r="N126" s="174"/>
      <x:c r="O126" s="174"/>
    </x:row>
    <x:row r="127">
      <x:c r="A127" s="174" t="str">
        <x:f>IF(C127="","","GAP-"&amp;TEXT(ROW()-3,"0000"))</x:f>
      </x:c>
      <x:c r="B127" s="174"/>
      <x:c r="C127" s="174"/>
      <x:c r="D127" s="174"/>
      <x:c r="E127" s="174"/>
      <x:c r="F127" s="174"/>
      <x:c r="G127" s="174"/>
      <x:c r="H127" s="174"/>
      <x:c r="I127" s="174"/>
      <x:c r="J127" s="174"/>
      <x:c r="K127" s="174"/>
      <x:c r="L127" s="174"/>
      <x:c r="M127" s="174"/>
      <x:c r="N127" s="174"/>
      <x:c r="O127" s="174"/>
    </x:row>
    <x:row r="128">
      <x:c r="A128" s="174" t="str">
        <x:f>IF(C128="","","GAP-"&amp;TEXT(ROW()-3,"0000"))</x:f>
      </x:c>
      <x:c r="B128" s="174"/>
      <x:c r="C128" s="174"/>
      <x:c r="D128" s="174"/>
      <x:c r="E128" s="174"/>
      <x:c r="F128" s="174"/>
      <x:c r="G128" s="174"/>
      <x:c r="H128" s="174"/>
      <x:c r="I128" s="174"/>
      <x:c r="J128" s="174"/>
      <x:c r="K128" s="174"/>
      <x:c r="L128" s="174"/>
      <x:c r="M128" s="174"/>
      <x:c r="N128" s="174"/>
      <x:c r="O128" s="174"/>
    </x:row>
    <x:row r="129">
      <x:c r="A129" s="174" t="str">
        <x:f>IF(C129="","","GAP-"&amp;TEXT(ROW()-3,"0000"))</x:f>
      </x:c>
      <x:c r="B129" s="174"/>
      <x:c r="C129" s="174"/>
      <x:c r="D129" s="174"/>
      <x:c r="E129" s="174"/>
      <x:c r="F129" s="174"/>
      <x:c r="G129" s="174"/>
      <x:c r="H129" s="174"/>
      <x:c r="I129" s="174"/>
      <x:c r="J129" s="174"/>
      <x:c r="K129" s="174"/>
      <x:c r="L129" s="174"/>
      <x:c r="M129" s="174"/>
      <x:c r="N129" s="174"/>
      <x:c r="O129" s="174"/>
    </x:row>
    <x:row r="130">
      <x:c r="A130" s="174" t="str">
        <x:f>IF(C130="","","GAP-"&amp;TEXT(ROW()-3,"0000"))</x:f>
      </x:c>
      <x:c r="B130" s="174"/>
      <x:c r="C130" s="174"/>
      <x:c r="D130" s="174"/>
      <x:c r="E130" s="174"/>
      <x:c r="F130" s="174"/>
      <x:c r="G130" s="174"/>
      <x:c r="H130" s="174"/>
      <x:c r="I130" s="174"/>
      <x:c r="J130" s="174"/>
      <x:c r="K130" s="174"/>
      <x:c r="L130" s="174"/>
      <x:c r="M130" s="174"/>
      <x:c r="N130" s="174"/>
      <x:c r="O130" s="174"/>
    </x:row>
    <x:row r="131">
      <x:c r="A131" s="174" t="str">
        <x:f>IF(C131="","","GAP-"&amp;TEXT(ROW()-3,"0000"))</x:f>
      </x:c>
      <x:c r="B131" s="174"/>
      <x:c r="C131" s="174"/>
      <x:c r="D131" s="174"/>
      <x:c r="E131" s="174"/>
      <x:c r="F131" s="174"/>
      <x:c r="G131" s="174"/>
      <x:c r="H131" s="174"/>
      <x:c r="I131" s="174"/>
      <x:c r="J131" s="174"/>
      <x:c r="K131" s="174"/>
      <x:c r="L131" s="174"/>
      <x:c r="M131" s="174"/>
      <x:c r="N131" s="174"/>
      <x:c r="O131" s="174"/>
    </x:row>
    <x:row r="132">
      <x:c r="A132" s="174" t="str">
        <x:f>IF(C132="","","GAP-"&amp;TEXT(ROW()-3,"0000"))</x:f>
      </x:c>
      <x:c r="B132" s="174"/>
      <x:c r="C132" s="174"/>
      <x:c r="D132" s="174"/>
      <x:c r="E132" s="174"/>
      <x:c r="F132" s="174"/>
      <x:c r="G132" s="174"/>
      <x:c r="H132" s="174"/>
      <x:c r="I132" s="174"/>
      <x:c r="J132" s="174"/>
      <x:c r="K132" s="174"/>
      <x:c r="L132" s="174"/>
      <x:c r="M132" s="174"/>
      <x:c r="N132" s="174"/>
      <x:c r="O132" s="174"/>
    </x:row>
    <x:row r="133">
      <x:c r="A133" s="174" t="str">
        <x:f>IF(C133="","","GAP-"&amp;TEXT(ROW()-3,"0000"))</x:f>
      </x:c>
      <x:c r="B133" s="174"/>
      <x:c r="C133" s="174"/>
      <x:c r="D133" s="174"/>
      <x:c r="E133" s="174"/>
      <x:c r="F133" s="174"/>
      <x:c r="G133" s="174"/>
      <x:c r="H133" s="174"/>
      <x:c r="I133" s="174"/>
      <x:c r="J133" s="174"/>
      <x:c r="K133" s="174"/>
      <x:c r="L133" s="174"/>
      <x:c r="M133" s="174"/>
      <x:c r="N133" s="174"/>
      <x:c r="O133" s="174"/>
    </x:row>
    <x:row r="134">
      <x:c r="A134" s="174" t="str">
        <x:f>IF(C134="","","GAP-"&amp;TEXT(ROW()-3,"0000"))</x:f>
      </x:c>
      <x:c r="B134" s="174"/>
      <x:c r="C134" s="174"/>
      <x:c r="D134" s="174"/>
      <x:c r="E134" s="174"/>
      <x:c r="F134" s="174"/>
      <x:c r="G134" s="174"/>
      <x:c r="H134" s="174"/>
      <x:c r="I134" s="174"/>
      <x:c r="J134" s="174"/>
      <x:c r="K134" s="174"/>
      <x:c r="L134" s="174"/>
      <x:c r="M134" s="174"/>
      <x:c r="N134" s="174"/>
      <x:c r="O134" s="174"/>
    </x:row>
    <x:row r="135">
      <x:c r="A135" s="174" t="str">
        <x:f>IF(C135="","","GAP-"&amp;TEXT(ROW()-3,"0000"))</x:f>
      </x:c>
      <x:c r="B135" s="174"/>
      <x:c r="C135" s="174"/>
      <x:c r="D135" s="174"/>
      <x:c r="E135" s="174"/>
      <x:c r="F135" s="174"/>
      <x:c r="G135" s="174"/>
      <x:c r="H135" s="174"/>
      <x:c r="I135" s="174"/>
      <x:c r="J135" s="174"/>
      <x:c r="K135" s="174"/>
      <x:c r="L135" s="174"/>
      <x:c r="M135" s="174"/>
      <x:c r="N135" s="174"/>
      <x:c r="O135" s="174"/>
    </x:row>
    <x:row r="136">
      <x:c r="A136" s="174" t="str">
        <x:f>IF(C136="","","GAP-"&amp;TEXT(ROW()-3,"0000"))</x:f>
      </x:c>
      <x:c r="B136" s="174"/>
      <x:c r="C136" s="174"/>
      <x:c r="D136" s="174"/>
      <x:c r="E136" s="174"/>
      <x:c r="F136" s="174"/>
      <x:c r="G136" s="174"/>
      <x:c r="H136" s="174"/>
      <x:c r="I136" s="174"/>
      <x:c r="J136" s="174"/>
      <x:c r="K136" s="174"/>
      <x:c r="L136" s="174"/>
      <x:c r="M136" s="174"/>
      <x:c r="N136" s="174"/>
      <x:c r="O136" s="174"/>
    </x:row>
    <x:row r="137">
      <x:c r="A137" s="174" t="str">
        <x:f>IF(C137="","","GAP-"&amp;TEXT(ROW()-3,"0000"))</x:f>
      </x:c>
      <x:c r="B137" s="174"/>
      <x:c r="C137" s="174"/>
      <x:c r="D137" s="174"/>
      <x:c r="E137" s="174"/>
      <x:c r="F137" s="174"/>
      <x:c r="G137" s="174"/>
      <x:c r="H137" s="174"/>
      <x:c r="I137" s="174"/>
      <x:c r="J137" s="174"/>
      <x:c r="K137" s="174"/>
      <x:c r="L137" s="174"/>
      <x:c r="M137" s="174"/>
      <x:c r="N137" s="174"/>
      <x:c r="O137" s="174"/>
    </x:row>
    <x:row r="138">
      <x:c r="A138" s="174" t="str">
        <x:f>IF(C138="","","GAP-"&amp;TEXT(ROW()-3,"0000"))</x:f>
      </x:c>
      <x:c r="B138" s="174"/>
      <x:c r="C138" s="174"/>
      <x:c r="D138" s="174"/>
      <x:c r="E138" s="174"/>
      <x:c r="F138" s="174"/>
      <x:c r="G138" s="174"/>
      <x:c r="H138" s="174"/>
      <x:c r="I138" s="174"/>
      <x:c r="J138" s="174"/>
      <x:c r="K138" s="174"/>
      <x:c r="L138" s="174"/>
      <x:c r="M138" s="174"/>
      <x:c r="N138" s="174"/>
      <x:c r="O138" s="174"/>
    </x:row>
    <x:row r="139">
      <x:c r="A139" s="174" t="str">
        <x:f>IF(C139="","","GAP-"&amp;TEXT(ROW()-3,"0000"))</x:f>
      </x:c>
      <x:c r="B139" s="174"/>
      <x:c r="C139" s="174"/>
      <x:c r="D139" s="174"/>
      <x:c r="E139" s="174"/>
      <x:c r="F139" s="174"/>
      <x:c r="G139" s="174"/>
      <x:c r="H139" s="174"/>
      <x:c r="I139" s="174"/>
      <x:c r="J139" s="174"/>
      <x:c r="K139" s="174"/>
      <x:c r="L139" s="174"/>
      <x:c r="M139" s="174"/>
      <x:c r="N139" s="174"/>
      <x:c r="O139" s="174"/>
    </x:row>
    <x:row r="140">
      <x:c r="A140" s="174" t="str">
        <x:f>IF(C140="","","GAP-"&amp;TEXT(ROW()-3,"0000"))</x:f>
      </x:c>
      <x:c r="B140" s="174"/>
      <x:c r="C140" s="174"/>
      <x:c r="D140" s="174"/>
      <x:c r="E140" s="174"/>
      <x:c r="F140" s="174"/>
      <x:c r="G140" s="174"/>
      <x:c r="H140" s="174"/>
      <x:c r="I140" s="174"/>
      <x:c r="J140" s="174"/>
      <x:c r="K140" s="174"/>
      <x:c r="L140" s="174"/>
      <x:c r="M140" s="174"/>
      <x:c r="N140" s="174"/>
      <x:c r="O140" s="174"/>
    </x:row>
    <x:row r="141">
      <x:c r="A141" s="174" t="str">
        <x:f>IF(C141="","","GAP-"&amp;TEXT(ROW()-3,"0000"))</x:f>
      </x:c>
      <x:c r="B141" s="174"/>
      <x:c r="C141" s="174"/>
      <x:c r="D141" s="174"/>
      <x:c r="E141" s="174"/>
      <x:c r="F141" s="174"/>
      <x:c r="G141" s="174"/>
      <x:c r="H141" s="174"/>
      <x:c r="I141" s="174"/>
      <x:c r="J141" s="174"/>
      <x:c r="K141" s="174"/>
      <x:c r="L141" s="174"/>
      <x:c r="M141" s="174"/>
      <x:c r="N141" s="174"/>
      <x:c r="O141" s="174"/>
    </x:row>
    <x:row r="142">
      <x:c r="A142" s="174" t="str">
        <x:f>IF(C142="","","GAP-"&amp;TEXT(ROW()-3,"0000"))</x:f>
      </x:c>
      <x:c r="B142" s="174"/>
      <x:c r="C142" s="174"/>
      <x:c r="D142" s="174"/>
      <x:c r="E142" s="174"/>
      <x:c r="F142" s="174"/>
      <x:c r="G142" s="174"/>
      <x:c r="H142" s="174"/>
      <x:c r="I142" s="174"/>
      <x:c r="J142" s="174"/>
      <x:c r="K142" s="174"/>
      <x:c r="L142" s="174"/>
      <x:c r="M142" s="174"/>
      <x:c r="N142" s="174"/>
      <x:c r="O142" s="174"/>
    </x:row>
    <x:row r="143">
      <x:c r="A143" s="174" t="str">
        <x:f>IF(C143="","","GAP-"&amp;TEXT(ROW()-3,"0000"))</x:f>
      </x:c>
      <x:c r="B143" s="174"/>
      <x:c r="C143" s="174"/>
      <x:c r="D143" s="174"/>
      <x:c r="E143" s="174"/>
      <x:c r="F143" s="174"/>
      <x:c r="G143" s="174"/>
      <x:c r="H143" s="174"/>
      <x:c r="I143" s="174"/>
      <x:c r="J143" s="174"/>
      <x:c r="K143" s="174"/>
      <x:c r="L143" s="174"/>
      <x:c r="M143" s="174"/>
      <x:c r="N143" s="174"/>
      <x:c r="O143" s="174"/>
    </x:row>
    <x:row r="144">
      <x:c r="A144" s="174" t="str">
        <x:f>IF(C144="","","GAP-"&amp;TEXT(ROW()-3,"0000"))</x:f>
      </x:c>
      <x:c r="B144" s="174"/>
      <x:c r="C144" s="174"/>
      <x:c r="D144" s="174"/>
      <x:c r="E144" s="174"/>
      <x:c r="F144" s="174"/>
      <x:c r="G144" s="174"/>
      <x:c r="H144" s="174"/>
      <x:c r="I144" s="174"/>
      <x:c r="J144" s="174"/>
      <x:c r="K144" s="174"/>
      <x:c r="L144" s="174"/>
      <x:c r="M144" s="174"/>
      <x:c r="N144" s="174"/>
      <x:c r="O144" s="174"/>
    </x:row>
    <x:row r="145">
      <x:c r="A145" s="174" t="str">
        <x:f>IF(C145="","","GAP-"&amp;TEXT(ROW()-3,"0000"))</x:f>
      </x:c>
      <x:c r="B145" s="174"/>
      <x:c r="C145" s="174"/>
      <x:c r="D145" s="174"/>
      <x:c r="E145" s="174"/>
      <x:c r="F145" s="174"/>
      <x:c r="G145" s="174"/>
      <x:c r="H145" s="174"/>
      <x:c r="I145" s="174"/>
      <x:c r="J145" s="174"/>
      <x:c r="K145" s="174"/>
      <x:c r="L145" s="174"/>
      <x:c r="M145" s="174"/>
      <x:c r="N145" s="174"/>
      <x:c r="O145" s="174"/>
    </x:row>
    <x:row r="146">
      <x:c r="A146" s="174" t="str">
        <x:f>IF(C146="","","GAP-"&amp;TEXT(ROW()-3,"0000"))</x:f>
      </x:c>
      <x:c r="B146" s="174"/>
      <x:c r="C146" s="174"/>
      <x:c r="D146" s="174"/>
      <x:c r="E146" s="174"/>
      <x:c r="F146" s="174"/>
      <x:c r="G146" s="174"/>
      <x:c r="H146" s="174"/>
      <x:c r="I146" s="174"/>
      <x:c r="J146" s="174"/>
      <x:c r="K146" s="174"/>
      <x:c r="L146" s="174"/>
      <x:c r="M146" s="174"/>
      <x:c r="N146" s="174"/>
      <x:c r="O146" s="174"/>
    </x:row>
    <x:row r="147">
      <x:c r="A147" s="174" t="str">
        <x:f>IF(C147="","","GAP-"&amp;TEXT(ROW()-3,"0000"))</x:f>
      </x:c>
      <x:c r="B147" s="174"/>
      <x:c r="C147" s="174"/>
      <x:c r="D147" s="174"/>
      <x:c r="E147" s="174"/>
      <x:c r="F147" s="174"/>
      <x:c r="G147" s="174"/>
      <x:c r="H147" s="174"/>
      <x:c r="I147" s="174"/>
      <x:c r="J147" s="174"/>
      <x:c r="K147" s="174"/>
      <x:c r="L147" s="174"/>
      <x:c r="M147" s="174"/>
      <x:c r="N147" s="174"/>
      <x:c r="O147" s="174"/>
    </x:row>
    <x:row r="148">
      <x:c r="A148" s="174" t="str">
        <x:f>IF(C148="","","GAP-"&amp;TEXT(ROW()-3,"0000"))</x:f>
      </x:c>
      <x:c r="B148" s="174"/>
      <x:c r="C148" s="174"/>
      <x:c r="D148" s="174"/>
      <x:c r="E148" s="174"/>
      <x:c r="F148" s="174"/>
      <x:c r="G148" s="174"/>
      <x:c r="H148" s="174"/>
      <x:c r="I148" s="174"/>
      <x:c r="J148" s="174"/>
      <x:c r="K148" s="174"/>
      <x:c r="L148" s="174"/>
      <x:c r="M148" s="174"/>
      <x:c r="N148" s="174"/>
      <x:c r="O148" s="174"/>
    </x:row>
    <x:row r="149">
      <x:c r="A149" s="174" t="str">
        <x:f>IF(C149="","","GAP-"&amp;TEXT(ROW()-3,"0000"))</x:f>
      </x:c>
      <x:c r="B149" s="174"/>
      <x:c r="C149" s="174"/>
      <x:c r="D149" s="174"/>
      <x:c r="E149" s="174"/>
      <x:c r="F149" s="174"/>
      <x:c r="G149" s="174"/>
      <x:c r="H149" s="174"/>
      <x:c r="I149" s="174"/>
      <x:c r="J149" s="174"/>
      <x:c r="K149" s="174"/>
      <x:c r="L149" s="174"/>
      <x:c r="M149" s="174"/>
      <x:c r="N149" s="174"/>
      <x:c r="O149" s="174"/>
    </x:row>
    <x:row r="150">
      <x:c r="A150" s="174" t="str">
        <x:f>IF(C150="","","GAP-"&amp;TEXT(ROW()-3,"0000"))</x:f>
      </x:c>
      <x:c r="B150" s="174"/>
      <x:c r="C150" s="174"/>
      <x:c r="D150" s="174"/>
      <x:c r="E150" s="174"/>
      <x:c r="F150" s="174"/>
      <x:c r="G150" s="174"/>
      <x:c r="H150" s="174"/>
      <x:c r="I150" s="174"/>
      <x:c r="J150" s="174"/>
      <x:c r="K150" s="174"/>
      <x:c r="L150" s="174"/>
      <x:c r="M150" s="174"/>
      <x:c r="N150" s="174"/>
      <x:c r="O150" s="174"/>
    </x:row>
    <x:row r="151">
      <x:c r="A151" s="174" t="str">
        <x:f>IF(C151="","","GAP-"&amp;TEXT(ROW()-3,"0000"))</x:f>
      </x:c>
      <x:c r="B151" s="174"/>
      <x:c r="C151" s="174"/>
      <x:c r="D151" s="174"/>
      <x:c r="E151" s="174"/>
      <x:c r="F151" s="174"/>
      <x:c r="G151" s="174"/>
      <x:c r="H151" s="174"/>
      <x:c r="I151" s="174"/>
      <x:c r="J151" s="174"/>
      <x:c r="K151" s="174"/>
      <x:c r="L151" s="174"/>
      <x:c r="M151" s="174"/>
      <x:c r="N151" s="174"/>
      <x:c r="O151" s="174"/>
    </x:row>
    <x:row r="152">
      <x:c r="A152" s="174" t="str">
        <x:f>IF(C152="","","GAP-"&amp;TEXT(ROW()-3,"0000"))</x:f>
      </x:c>
      <x:c r="B152" s="174"/>
      <x:c r="C152" s="174"/>
      <x:c r="D152" s="174"/>
      <x:c r="E152" s="174"/>
      <x:c r="F152" s="174"/>
      <x:c r="G152" s="174"/>
      <x:c r="H152" s="174"/>
      <x:c r="I152" s="174"/>
      <x:c r="J152" s="174"/>
      <x:c r="K152" s="174"/>
      <x:c r="L152" s="174"/>
      <x:c r="M152" s="174"/>
      <x:c r="N152" s="174"/>
      <x:c r="O152" s="174"/>
    </x:row>
    <x:row r="153">
      <x:c r="A153" s="174" t="str">
        <x:f>IF(C153="","","GAP-"&amp;TEXT(ROW()-3,"0000"))</x:f>
      </x:c>
      <x:c r="B153" s="174"/>
      <x:c r="C153" s="174"/>
      <x:c r="D153" s="174"/>
      <x:c r="E153" s="174"/>
      <x:c r="F153" s="174"/>
      <x:c r="G153" s="174"/>
      <x:c r="H153" s="174"/>
      <x:c r="I153" s="174"/>
      <x:c r="J153" s="174"/>
      <x:c r="K153" s="174"/>
      <x:c r="L153" s="174"/>
      <x:c r="M153" s="174"/>
      <x:c r="N153" s="174"/>
      <x:c r="O153" s="174"/>
    </x:row>
    <x:row r="154">
      <x:c r="A154" s="174" t="str">
        <x:f>IF(C154="","","GAP-"&amp;TEXT(ROW()-3,"0000"))</x:f>
      </x:c>
      <x:c r="B154" s="174"/>
      <x:c r="C154" s="174"/>
      <x:c r="D154" s="174"/>
      <x:c r="E154" s="174"/>
      <x:c r="F154" s="174"/>
      <x:c r="G154" s="174"/>
      <x:c r="H154" s="174"/>
      <x:c r="I154" s="174"/>
      <x:c r="J154" s="174"/>
      <x:c r="K154" s="174"/>
      <x:c r="L154" s="174"/>
      <x:c r="M154" s="174"/>
      <x:c r="N154" s="174"/>
      <x:c r="O154" s="174"/>
    </x:row>
    <x:row r="155">
      <x:c r="A155" s="174" t="str">
        <x:f>IF(C155="","","GAP-"&amp;TEXT(ROW()-3,"0000"))</x:f>
      </x:c>
      <x:c r="B155" s="174"/>
      <x:c r="C155" s="174"/>
      <x:c r="D155" s="174"/>
      <x:c r="E155" s="174"/>
      <x:c r="F155" s="174"/>
      <x:c r="G155" s="174"/>
      <x:c r="H155" s="174"/>
      <x:c r="I155" s="174"/>
      <x:c r="J155" s="174"/>
      <x:c r="K155" s="174"/>
      <x:c r="L155" s="174"/>
      <x:c r="M155" s="174"/>
      <x:c r="N155" s="174"/>
      <x:c r="O155" s="174"/>
    </x:row>
    <x:row r="156">
      <x:c r="A156" s="174" t="str">
        <x:f>IF(C156="","","GAP-"&amp;TEXT(ROW()-3,"0000"))</x:f>
      </x:c>
      <x:c r="B156" s="174"/>
      <x:c r="C156" s="174"/>
      <x:c r="D156" s="174"/>
      <x:c r="E156" s="174"/>
      <x:c r="F156" s="174"/>
      <x:c r="G156" s="174"/>
      <x:c r="H156" s="174"/>
      <x:c r="I156" s="174"/>
      <x:c r="J156" s="174"/>
      <x:c r="K156" s="174"/>
      <x:c r="L156" s="174"/>
      <x:c r="M156" s="174"/>
      <x:c r="N156" s="174"/>
      <x:c r="O156" s="174"/>
    </x:row>
    <x:row r="157">
      <x:c r="A157" s="174" t="str">
        <x:f>IF(C157="","","GAP-"&amp;TEXT(ROW()-3,"0000"))</x:f>
      </x:c>
      <x:c r="B157" s="174"/>
      <x:c r="C157" s="174"/>
      <x:c r="D157" s="174"/>
      <x:c r="E157" s="174"/>
      <x:c r="F157" s="174"/>
      <x:c r="G157" s="174"/>
      <x:c r="H157" s="174"/>
      <x:c r="I157" s="174"/>
      <x:c r="J157" s="174"/>
      <x:c r="K157" s="174"/>
      <x:c r="L157" s="174"/>
      <x:c r="M157" s="174"/>
      <x:c r="N157" s="174"/>
      <x:c r="O157" s="174"/>
    </x:row>
    <x:row r="158">
      <x:c r="A158" s="174" t="str">
        <x:f>IF(C158="","","GAP-"&amp;TEXT(ROW()-3,"0000"))</x:f>
      </x:c>
      <x:c r="B158" s="174"/>
      <x:c r="C158" s="174"/>
      <x:c r="D158" s="174"/>
      <x:c r="E158" s="174"/>
      <x:c r="F158" s="174"/>
      <x:c r="G158" s="174"/>
      <x:c r="H158" s="174"/>
      <x:c r="I158" s="174"/>
      <x:c r="J158" s="174"/>
      <x:c r="K158" s="174"/>
      <x:c r="L158" s="174"/>
      <x:c r="M158" s="174"/>
      <x:c r="N158" s="174"/>
      <x:c r="O158" s="174"/>
    </x:row>
    <x:row r="159">
      <x:c r="A159" s="174" t="str">
        <x:f>IF(C159="","","GAP-"&amp;TEXT(ROW()-3,"0000"))</x:f>
      </x:c>
      <x:c r="B159" s="174"/>
      <x:c r="C159" s="174"/>
      <x:c r="D159" s="174"/>
      <x:c r="E159" s="174"/>
      <x:c r="F159" s="174"/>
      <x:c r="G159" s="174"/>
      <x:c r="H159" s="174"/>
      <x:c r="I159" s="174"/>
      <x:c r="J159" s="174"/>
      <x:c r="K159" s="174"/>
      <x:c r="L159" s="174"/>
      <x:c r="M159" s="174"/>
      <x:c r="N159" s="174"/>
      <x:c r="O159" s="174"/>
    </x:row>
    <x:row r="160">
      <x:c r="A160" s="174" t="str">
        <x:f>IF(C160="","","GAP-"&amp;TEXT(ROW()-3,"0000"))</x:f>
      </x:c>
      <x:c r="B160" s="174"/>
      <x:c r="C160" s="174"/>
      <x:c r="D160" s="174"/>
      <x:c r="E160" s="174"/>
      <x:c r="F160" s="174"/>
      <x:c r="G160" s="174"/>
      <x:c r="H160" s="174"/>
      <x:c r="I160" s="174"/>
      <x:c r="J160" s="174"/>
      <x:c r="K160" s="174"/>
      <x:c r="L160" s="174"/>
      <x:c r="M160" s="174"/>
      <x:c r="N160" s="174"/>
      <x:c r="O160" s="174"/>
    </x:row>
    <x:row r="161">
      <x:c r="A161" s="174" t="str">
        <x:f>IF(C161="","","GAP-"&amp;TEXT(ROW()-3,"0000"))</x:f>
      </x:c>
      <x:c r="B161" s="174"/>
      <x:c r="C161" s="174"/>
      <x:c r="D161" s="174"/>
      <x:c r="E161" s="174"/>
      <x:c r="F161" s="174"/>
      <x:c r="G161" s="174"/>
      <x:c r="H161" s="174"/>
      <x:c r="I161" s="174"/>
      <x:c r="J161" s="174"/>
      <x:c r="K161" s="174"/>
      <x:c r="L161" s="174"/>
      <x:c r="M161" s="174"/>
      <x:c r="N161" s="174"/>
      <x:c r="O161" s="174"/>
    </x:row>
    <x:row r="162">
      <x:c r="A162" s="174" t="str">
        <x:f>IF(C162="","","GAP-"&amp;TEXT(ROW()-3,"0000"))</x:f>
      </x:c>
      <x:c r="B162" s="174"/>
      <x:c r="C162" s="174"/>
      <x:c r="D162" s="174"/>
      <x:c r="E162" s="174"/>
      <x:c r="F162" s="174"/>
      <x:c r="G162" s="174"/>
      <x:c r="H162" s="174"/>
      <x:c r="I162" s="174"/>
      <x:c r="J162" s="174"/>
      <x:c r="K162" s="174"/>
      <x:c r="L162" s="174"/>
      <x:c r="M162" s="174"/>
      <x:c r="N162" s="174"/>
      <x:c r="O162" s="174"/>
    </x:row>
    <x:row r="163">
      <x:c r="A163" s="174" t="str">
        <x:f>IF(C163="","","GAP-"&amp;TEXT(ROW()-3,"0000"))</x:f>
      </x:c>
      <x:c r="B163" s="174"/>
      <x:c r="C163" s="174"/>
      <x:c r="D163" s="174"/>
      <x:c r="E163" s="174"/>
      <x:c r="F163" s="174"/>
      <x:c r="G163" s="174"/>
      <x:c r="H163" s="174"/>
      <x:c r="I163" s="174"/>
      <x:c r="J163" s="174"/>
      <x:c r="K163" s="174"/>
      <x:c r="L163" s="174"/>
      <x:c r="M163" s="174"/>
      <x:c r="N163" s="174"/>
      <x:c r="O163" s="174"/>
    </x:row>
    <x:row r="164">
      <x:c r="A164" s="174" t="str">
        <x:f>IF(C164="","","GAP-"&amp;TEXT(ROW()-3,"0000"))</x:f>
      </x:c>
      <x:c r="B164" s="174"/>
      <x:c r="C164" s="174"/>
      <x:c r="D164" s="174"/>
      <x:c r="E164" s="174"/>
      <x:c r="F164" s="174"/>
      <x:c r="G164" s="174"/>
      <x:c r="H164" s="174"/>
      <x:c r="I164" s="174"/>
      <x:c r="J164" s="174"/>
      <x:c r="K164" s="174"/>
      <x:c r="L164" s="174"/>
      <x:c r="M164" s="174"/>
      <x:c r="N164" s="174"/>
      <x:c r="O164" s="174"/>
    </x:row>
    <x:row r="165">
      <x:c r="A165" s="174" t="str">
        <x:f>IF(C165="","","GAP-"&amp;TEXT(ROW()-3,"0000"))</x:f>
      </x:c>
      <x:c r="B165" s="174"/>
      <x:c r="C165" s="174"/>
      <x:c r="D165" s="174"/>
      <x:c r="E165" s="174"/>
      <x:c r="F165" s="174"/>
      <x:c r="G165" s="174"/>
      <x:c r="H165" s="174"/>
      <x:c r="I165" s="174"/>
      <x:c r="J165" s="174"/>
      <x:c r="K165" s="174"/>
      <x:c r="L165" s="174"/>
      <x:c r="M165" s="174"/>
      <x:c r="N165" s="174"/>
      <x:c r="O165" s="174"/>
    </x:row>
    <x:row r="166">
      <x:c r="A166" s="174" t="str">
        <x:f>IF(C166="","","GAP-"&amp;TEXT(ROW()-3,"0000"))</x:f>
      </x:c>
      <x:c r="B166" s="174"/>
      <x:c r="C166" s="174"/>
      <x:c r="D166" s="174"/>
      <x:c r="E166" s="174"/>
      <x:c r="F166" s="174"/>
      <x:c r="G166" s="174"/>
      <x:c r="H166" s="174"/>
      <x:c r="I166" s="174"/>
      <x:c r="J166" s="174"/>
      <x:c r="K166" s="174"/>
      <x:c r="L166" s="174"/>
      <x:c r="M166" s="174"/>
      <x:c r="N166" s="174"/>
      <x:c r="O166" s="174"/>
    </x:row>
    <x:row r="167">
      <x:c r="A167" s="174" t="str">
        <x:f>IF(C167="","","GAP-"&amp;TEXT(ROW()-3,"0000"))</x:f>
      </x:c>
      <x:c r="B167" s="174"/>
      <x:c r="C167" s="174"/>
      <x:c r="D167" s="174"/>
      <x:c r="E167" s="174"/>
      <x:c r="F167" s="174"/>
      <x:c r="G167" s="174"/>
      <x:c r="H167" s="174"/>
      <x:c r="I167" s="174"/>
      <x:c r="J167" s="174"/>
      <x:c r="K167" s="174"/>
      <x:c r="L167" s="174"/>
      <x:c r="M167" s="174"/>
      <x:c r="N167" s="174"/>
      <x:c r="O167" s="174"/>
    </x:row>
    <x:row r="168">
      <x:c r="A168" s="174" t="str">
        <x:f>IF(C168="","","GAP-"&amp;TEXT(ROW()-3,"0000"))</x:f>
      </x:c>
      <x:c r="B168" s="174"/>
      <x:c r="C168" s="174"/>
      <x:c r="D168" s="174"/>
      <x:c r="E168" s="174"/>
      <x:c r="F168" s="174"/>
      <x:c r="G168" s="174"/>
      <x:c r="H168" s="174"/>
      <x:c r="I168" s="174"/>
      <x:c r="J168" s="174"/>
      <x:c r="K168" s="174"/>
      <x:c r="L168" s="174"/>
      <x:c r="M168" s="174"/>
      <x:c r="N168" s="174"/>
      <x:c r="O168" s="174"/>
    </x:row>
    <x:row r="169">
      <x:c r="A169" s="174" t="str">
        <x:f>IF(C169="","","GAP-"&amp;TEXT(ROW()-3,"0000"))</x:f>
      </x:c>
      <x:c r="B169" s="174"/>
      <x:c r="C169" s="174"/>
      <x:c r="D169" s="174"/>
      <x:c r="E169" s="174"/>
      <x:c r="F169" s="174"/>
      <x:c r="G169" s="174"/>
      <x:c r="H169" s="174"/>
      <x:c r="I169" s="174"/>
      <x:c r="J169" s="174"/>
      <x:c r="K169" s="174"/>
      <x:c r="L169" s="174"/>
      <x:c r="M169" s="174"/>
      <x:c r="N169" s="174"/>
      <x:c r="O169" s="174"/>
    </x:row>
    <x:row r="170">
      <x:c r="A170" s="174" t="str">
        <x:f>IF(C170="","","GAP-"&amp;TEXT(ROW()-3,"0000"))</x:f>
      </x:c>
      <x:c r="B170" s="174"/>
      <x:c r="C170" s="174"/>
      <x:c r="D170" s="174"/>
      <x:c r="E170" s="174"/>
      <x:c r="F170" s="174"/>
      <x:c r="G170" s="174"/>
      <x:c r="H170" s="174"/>
      <x:c r="I170" s="174"/>
      <x:c r="J170" s="174"/>
      <x:c r="K170" s="174"/>
      <x:c r="L170" s="174"/>
      <x:c r="M170" s="174"/>
      <x:c r="N170" s="174"/>
      <x:c r="O170" s="174"/>
    </x:row>
    <x:row r="171">
      <x:c r="A171" s="174" t="str">
        <x:f>IF(C171="","","GAP-"&amp;TEXT(ROW()-3,"0000"))</x:f>
      </x:c>
      <x:c r="B171" s="174"/>
      <x:c r="C171" s="174"/>
      <x:c r="D171" s="174"/>
      <x:c r="E171" s="174"/>
      <x:c r="F171" s="174"/>
      <x:c r="G171" s="174"/>
      <x:c r="H171" s="174"/>
      <x:c r="I171" s="174"/>
      <x:c r="J171" s="174"/>
      <x:c r="K171" s="174"/>
      <x:c r="L171" s="174"/>
      <x:c r="M171" s="174"/>
      <x:c r="N171" s="174"/>
      <x:c r="O171" s="174"/>
    </x:row>
    <x:row r="172">
      <x:c r="A172" s="174" t="str">
        <x:f>IF(C172="","","GAP-"&amp;TEXT(ROW()-3,"0000"))</x:f>
      </x:c>
      <x:c r="B172" s="174"/>
      <x:c r="C172" s="174"/>
      <x:c r="D172" s="174"/>
      <x:c r="E172" s="174"/>
      <x:c r="F172" s="174"/>
      <x:c r="G172" s="174"/>
      <x:c r="H172" s="174"/>
      <x:c r="I172" s="174"/>
      <x:c r="J172" s="174"/>
      <x:c r="K172" s="174"/>
      <x:c r="L172" s="174"/>
      <x:c r="M172" s="174"/>
      <x:c r="N172" s="174"/>
      <x:c r="O172" s="174"/>
    </x:row>
    <x:row r="173">
      <x:c r="A173" s="174" t="str">
        <x:f>IF(C173="","","GAP-"&amp;TEXT(ROW()-3,"0000"))</x:f>
      </x:c>
      <x:c r="B173" s="174"/>
      <x:c r="C173" s="174"/>
      <x:c r="D173" s="174"/>
      <x:c r="E173" s="174"/>
      <x:c r="F173" s="174"/>
      <x:c r="G173" s="174"/>
      <x:c r="H173" s="174"/>
      <x:c r="I173" s="174"/>
      <x:c r="J173" s="174"/>
      <x:c r="K173" s="174"/>
      <x:c r="L173" s="174"/>
      <x:c r="M173" s="174"/>
      <x:c r="N173" s="174"/>
      <x:c r="O173" s="174"/>
    </x:row>
    <x:row r="174">
      <x:c r="A174" s="174" t="str">
        <x:f>IF(C174="","","GAP-"&amp;TEXT(ROW()-3,"0000"))</x:f>
      </x:c>
      <x:c r="B174" s="174"/>
      <x:c r="C174" s="174"/>
      <x:c r="D174" s="174"/>
      <x:c r="E174" s="174"/>
      <x:c r="F174" s="174"/>
      <x:c r="G174" s="174"/>
      <x:c r="H174" s="174"/>
      <x:c r="I174" s="174"/>
      <x:c r="J174" s="174"/>
      <x:c r="K174" s="174"/>
      <x:c r="L174" s="174"/>
      <x:c r="M174" s="174"/>
      <x:c r="N174" s="174"/>
      <x:c r="O174" s="174"/>
    </x:row>
    <x:row r="175">
      <x:c r="A175" s="174" t="str">
        <x:f>IF(C175="","","GAP-"&amp;TEXT(ROW()-3,"0000"))</x:f>
      </x:c>
      <x:c r="B175" s="174"/>
      <x:c r="C175" s="174"/>
      <x:c r="D175" s="174"/>
      <x:c r="E175" s="174"/>
      <x:c r="F175" s="174"/>
      <x:c r="G175" s="174"/>
      <x:c r="H175" s="174"/>
      <x:c r="I175" s="174"/>
      <x:c r="J175" s="174"/>
      <x:c r="K175" s="174"/>
      <x:c r="L175" s="174"/>
      <x:c r="M175" s="174"/>
      <x:c r="N175" s="174"/>
      <x:c r="O175" s="174"/>
    </x:row>
    <x:row r="176">
      <x:c r="A176" s="174" t="str">
        <x:f>IF(C176="","","GAP-"&amp;TEXT(ROW()-3,"0000"))</x:f>
      </x:c>
      <x:c r="B176" s="174"/>
      <x:c r="C176" s="174"/>
      <x:c r="D176" s="174"/>
      <x:c r="E176" s="174"/>
      <x:c r="F176" s="174"/>
      <x:c r="G176" s="174"/>
      <x:c r="H176" s="174"/>
      <x:c r="I176" s="174"/>
      <x:c r="J176" s="174"/>
      <x:c r="K176" s="174"/>
      <x:c r="L176" s="174"/>
      <x:c r="M176" s="174"/>
      <x:c r="N176" s="174"/>
      <x:c r="O176" s="174"/>
    </x:row>
    <x:row r="177">
      <x:c r="A177" s="174" t="str">
        <x:f>IF(C177="","","GAP-"&amp;TEXT(ROW()-3,"0000"))</x:f>
      </x:c>
      <x:c r="B177" s="174"/>
      <x:c r="C177" s="174"/>
      <x:c r="D177" s="174"/>
      <x:c r="E177" s="174"/>
      <x:c r="F177" s="174"/>
      <x:c r="G177" s="174"/>
      <x:c r="H177" s="174"/>
      <x:c r="I177" s="174"/>
      <x:c r="J177" s="174"/>
      <x:c r="K177" s="174"/>
      <x:c r="L177" s="174"/>
      <x:c r="M177" s="174"/>
      <x:c r="N177" s="174"/>
      <x:c r="O177" s="174"/>
    </x:row>
    <x:row r="178">
      <x:c r="A178" s="174" t="str">
        <x:f>IF(C178="","","GAP-"&amp;TEXT(ROW()-3,"0000"))</x:f>
      </x:c>
      <x:c r="B178" s="174"/>
      <x:c r="C178" s="174"/>
      <x:c r="D178" s="174"/>
      <x:c r="E178" s="174"/>
      <x:c r="F178" s="174"/>
      <x:c r="G178" s="174"/>
      <x:c r="H178" s="174"/>
      <x:c r="I178" s="174"/>
      <x:c r="J178" s="174"/>
      <x:c r="K178" s="174"/>
      <x:c r="L178" s="174"/>
      <x:c r="M178" s="174"/>
      <x:c r="N178" s="174"/>
      <x:c r="O178" s="174"/>
    </x:row>
    <x:row r="179">
      <x:c r="A179" s="174" t="str">
        <x:f>IF(C179="","","GAP-"&amp;TEXT(ROW()-3,"0000"))</x:f>
      </x:c>
      <x:c r="B179" s="174"/>
      <x:c r="C179" s="174"/>
      <x:c r="D179" s="174"/>
      <x:c r="E179" s="174"/>
      <x:c r="F179" s="174"/>
      <x:c r="G179" s="174"/>
      <x:c r="H179" s="174"/>
      <x:c r="I179" s="174"/>
      <x:c r="J179" s="174"/>
      <x:c r="K179" s="174"/>
      <x:c r="L179" s="174"/>
      <x:c r="M179" s="174"/>
      <x:c r="N179" s="174"/>
      <x:c r="O179" s="174"/>
    </x:row>
    <x:row r="180">
      <x:c r="A180" s="174" t="str">
        <x:f>IF(C180="","","GAP-"&amp;TEXT(ROW()-3,"0000"))</x:f>
      </x:c>
      <x:c r="B180" s="174"/>
      <x:c r="C180" s="174"/>
      <x:c r="D180" s="174"/>
      <x:c r="E180" s="174"/>
      <x:c r="F180" s="174"/>
      <x:c r="G180" s="174"/>
      <x:c r="H180" s="174"/>
      <x:c r="I180" s="174"/>
      <x:c r="J180" s="174"/>
      <x:c r="K180" s="174"/>
      <x:c r="L180" s="174"/>
      <x:c r="M180" s="174"/>
      <x:c r="N180" s="174"/>
      <x:c r="O180" s="174"/>
    </x:row>
    <x:row r="181">
      <x:c r="A181" s="174" t="str">
        <x:f>IF(C181="","","GAP-"&amp;TEXT(ROW()-3,"0000"))</x:f>
      </x:c>
      <x:c r="B181" s="174"/>
      <x:c r="C181" s="174"/>
      <x:c r="D181" s="174"/>
      <x:c r="E181" s="174"/>
      <x:c r="F181" s="174"/>
      <x:c r="G181" s="174"/>
      <x:c r="H181" s="174"/>
      <x:c r="I181" s="174"/>
      <x:c r="J181" s="174"/>
      <x:c r="K181" s="174"/>
      <x:c r="L181" s="174"/>
      <x:c r="M181" s="174"/>
      <x:c r="N181" s="174"/>
      <x:c r="O181" s="174"/>
    </x:row>
    <x:row r="182">
      <x:c r="A182" s="174" t="str">
        <x:f>IF(C182="","","GAP-"&amp;TEXT(ROW()-3,"0000"))</x:f>
      </x:c>
      <x:c r="B182" s="174"/>
      <x:c r="C182" s="174"/>
      <x:c r="D182" s="174"/>
      <x:c r="E182" s="174"/>
      <x:c r="F182" s="174"/>
      <x:c r="G182" s="174"/>
      <x:c r="H182" s="174"/>
      <x:c r="I182" s="174"/>
      <x:c r="J182" s="174"/>
      <x:c r="K182" s="174"/>
      <x:c r="L182" s="174"/>
      <x:c r="M182" s="174"/>
      <x:c r="N182" s="174"/>
      <x:c r="O182" s="174"/>
    </x:row>
    <x:row r="183">
      <x:c r="A183" s="174" t="str">
        <x:f>IF(C183="","","GAP-"&amp;TEXT(ROW()-3,"0000"))</x:f>
      </x:c>
      <x:c r="B183" s="174"/>
      <x:c r="C183" s="174"/>
      <x:c r="D183" s="174"/>
      <x:c r="E183" s="174"/>
      <x:c r="F183" s="174"/>
      <x:c r="G183" s="174"/>
      <x:c r="H183" s="174"/>
      <x:c r="I183" s="174"/>
      <x:c r="J183" s="174"/>
      <x:c r="K183" s="174"/>
      <x:c r="L183" s="174"/>
      <x:c r="M183" s="174"/>
      <x:c r="N183" s="174"/>
      <x:c r="O183" s="174"/>
    </x:row>
    <x:row r="184">
      <x:c r="A184" s="174" t="str">
        <x:f>IF(C184="","","GAP-"&amp;TEXT(ROW()-3,"0000"))</x:f>
      </x:c>
      <x:c r="B184" s="174"/>
      <x:c r="C184" s="174"/>
      <x:c r="D184" s="174"/>
      <x:c r="E184" s="174"/>
      <x:c r="F184" s="174"/>
      <x:c r="G184" s="174"/>
      <x:c r="H184" s="174"/>
      <x:c r="I184" s="174"/>
      <x:c r="J184" s="174"/>
      <x:c r="K184" s="174"/>
      <x:c r="L184" s="174"/>
      <x:c r="M184" s="174"/>
      <x:c r="N184" s="174"/>
      <x:c r="O184" s="174"/>
    </x:row>
    <x:row r="185">
      <x:c r="A185" s="174" t="str">
        <x:f>IF(C185="","","GAP-"&amp;TEXT(ROW()-3,"0000"))</x:f>
      </x:c>
      <x:c r="B185" s="174"/>
      <x:c r="C185" s="174"/>
      <x:c r="D185" s="174"/>
      <x:c r="E185" s="174"/>
      <x:c r="F185" s="174"/>
      <x:c r="G185" s="174"/>
      <x:c r="H185" s="174"/>
      <x:c r="I185" s="174"/>
      <x:c r="J185" s="174"/>
      <x:c r="K185" s="174"/>
      <x:c r="L185" s="174"/>
      <x:c r="M185" s="174"/>
      <x:c r="N185" s="174"/>
      <x:c r="O185" s="174"/>
    </x:row>
    <x:row r="186">
      <x:c r="A186" s="174" t="str">
        <x:f>IF(C186="","","GAP-"&amp;TEXT(ROW()-3,"0000"))</x:f>
      </x:c>
      <x:c r="B186" s="174"/>
      <x:c r="C186" s="174"/>
      <x:c r="D186" s="174"/>
      <x:c r="E186" s="174"/>
      <x:c r="F186" s="174"/>
      <x:c r="G186" s="174"/>
      <x:c r="H186" s="174"/>
      <x:c r="I186" s="174"/>
      <x:c r="J186" s="174"/>
      <x:c r="K186" s="174"/>
      <x:c r="L186" s="174"/>
      <x:c r="M186" s="174"/>
      <x:c r="N186" s="174"/>
      <x:c r="O186" s="174"/>
    </x:row>
    <x:row r="187">
      <x:c r="A187" s="174" t="str">
        <x:f>IF(C187="","","GAP-"&amp;TEXT(ROW()-3,"0000"))</x:f>
      </x:c>
      <x:c r="B187" s="174"/>
      <x:c r="C187" s="174"/>
      <x:c r="D187" s="174"/>
      <x:c r="E187" s="174"/>
      <x:c r="F187" s="174"/>
      <x:c r="G187" s="174"/>
      <x:c r="H187" s="174"/>
      <x:c r="I187" s="174"/>
      <x:c r="J187" s="174"/>
      <x:c r="K187" s="174"/>
      <x:c r="L187" s="174"/>
      <x:c r="M187" s="174"/>
      <x:c r="N187" s="174"/>
      <x:c r="O187" s="174"/>
    </x:row>
    <x:row r="188">
      <x:c r="A188" s="174" t="str">
        <x:f>IF(C188="","","GAP-"&amp;TEXT(ROW()-3,"0000"))</x:f>
      </x:c>
      <x:c r="B188" s="174"/>
      <x:c r="C188" s="174"/>
      <x:c r="D188" s="174"/>
      <x:c r="E188" s="174"/>
      <x:c r="F188" s="174"/>
      <x:c r="G188" s="174"/>
      <x:c r="H188" s="174"/>
      <x:c r="I188" s="174"/>
      <x:c r="J188" s="174"/>
      <x:c r="K188" s="174"/>
      <x:c r="L188" s="174"/>
      <x:c r="M188" s="174"/>
      <x:c r="N188" s="174"/>
      <x:c r="O188" s="174"/>
    </x:row>
    <x:row r="189">
      <x:c r="A189" s="174" t="str">
        <x:f>IF(C189="","","GAP-"&amp;TEXT(ROW()-3,"0000"))</x:f>
      </x:c>
      <x:c r="B189" s="174"/>
      <x:c r="C189" s="174"/>
      <x:c r="D189" s="174"/>
      <x:c r="E189" s="174"/>
      <x:c r="F189" s="174"/>
      <x:c r="G189" s="174"/>
      <x:c r="H189" s="174"/>
      <x:c r="I189" s="174"/>
      <x:c r="J189" s="174"/>
      <x:c r="K189" s="174"/>
      <x:c r="L189" s="174"/>
      <x:c r="M189" s="174"/>
      <x:c r="N189" s="174"/>
      <x:c r="O189" s="174"/>
    </x:row>
    <x:row r="190">
      <x:c r="A190" s="174" t="str">
        <x:f>IF(C190="","","GAP-"&amp;TEXT(ROW()-3,"0000"))</x:f>
      </x:c>
      <x:c r="B190" s="174"/>
      <x:c r="C190" s="174"/>
      <x:c r="D190" s="174"/>
      <x:c r="E190" s="174"/>
      <x:c r="F190" s="174"/>
      <x:c r="G190" s="174"/>
      <x:c r="H190" s="174"/>
      <x:c r="I190" s="174"/>
      <x:c r="J190" s="174"/>
      <x:c r="K190" s="174"/>
      <x:c r="L190" s="174"/>
      <x:c r="M190" s="174"/>
      <x:c r="N190" s="174"/>
      <x:c r="O190" s="174"/>
    </x:row>
    <x:row r="191">
      <x:c r="A191" s="174" t="str">
        <x:f>IF(C191="","","GAP-"&amp;TEXT(ROW()-3,"0000"))</x:f>
      </x:c>
      <x:c r="B191" s="174"/>
      <x:c r="C191" s="174"/>
      <x:c r="D191" s="174"/>
      <x:c r="E191" s="174"/>
      <x:c r="F191" s="174"/>
      <x:c r="G191" s="174"/>
      <x:c r="H191" s="174"/>
      <x:c r="I191" s="174"/>
      <x:c r="J191" s="174"/>
      <x:c r="K191" s="174"/>
      <x:c r="L191" s="174"/>
      <x:c r="M191" s="174"/>
      <x:c r="N191" s="174"/>
      <x:c r="O191" s="174"/>
    </x:row>
    <x:row r="192">
      <x:c r="A192" s="174" t="str">
        <x:f>IF(C192="","","GAP-"&amp;TEXT(ROW()-3,"0000"))</x:f>
      </x:c>
      <x:c r="B192" s="174"/>
      <x:c r="C192" s="174"/>
      <x:c r="D192" s="174"/>
      <x:c r="E192" s="174"/>
      <x:c r="F192" s="174"/>
      <x:c r="G192" s="174"/>
      <x:c r="H192" s="174"/>
      <x:c r="I192" s="174"/>
      <x:c r="J192" s="174"/>
      <x:c r="K192" s="174"/>
      <x:c r="L192" s="174"/>
      <x:c r="M192" s="174"/>
      <x:c r="N192" s="174"/>
      <x:c r="O192" s="174"/>
    </x:row>
    <x:row r="193">
      <x:c r="A193" s="174" t="str">
        <x:f>IF(C193="","","GAP-"&amp;TEXT(ROW()-3,"0000"))</x:f>
      </x:c>
      <x:c r="B193" s="174"/>
      <x:c r="C193" s="174"/>
      <x:c r="D193" s="174"/>
      <x:c r="E193" s="174"/>
      <x:c r="F193" s="174"/>
      <x:c r="G193" s="174"/>
      <x:c r="H193" s="174"/>
      <x:c r="I193" s="174"/>
      <x:c r="J193" s="174"/>
      <x:c r="K193" s="174"/>
      <x:c r="L193" s="174"/>
      <x:c r="M193" s="174"/>
      <x:c r="N193" s="174"/>
      <x:c r="O193" s="174"/>
    </x:row>
    <x:row r="194">
      <x:c r="A194" s="174" t="str">
        <x:f>IF(C194="","","GAP-"&amp;TEXT(ROW()-3,"0000"))</x:f>
      </x:c>
      <x:c r="B194" s="174"/>
      <x:c r="C194" s="174"/>
      <x:c r="D194" s="174"/>
      <x:c r="E194" s="174"/>
      <x:c r="F194" s="174"/>
      <x:c r="G194" s="174"/>
      <x:c r="H194" s="174"/>
      <x:c r="I194" s="174"/>
      <x:c r="J194" s="174"/>
      <x:c r="K194" s="174"/>
      <x:c r="L194" s="174"/>
      <x:c r="M194" s="174"/>
      <x:c r="N194" s="174"/>
      <x:c r="O194" s="174"/>
    </x:row>
    <x:row r="195">
      <x:c r="A195" s="174" t="str">
        <x:f>IF(C195="","","GAP-"&amp;TEXT(ROW()-3,"0000"))</x:f>
      </x:c>
      <x:c r="B195" s="174"/>
      <x:c r="C195" s="174"/>
      <x:c r="D195" s="174"/>
      <x:c r="E195" s="174"/>
      <x:c r="F195" s="174"/>
      <x:c r="G195" s="174"/>
      <x:c r="H195" s="174"/>
      <x:c r="I195" s="174"/>
      <x:c r="J195" s="174"/>
      <x:c r="K195" s="174"/>
      <x:c r="L195" s="174"/>
      <x:c r="M195" s="174"/>
      <x:c r="N195" s="174"/>
      <x:c r="O195" s="174"/>
    </x:row>
    <x:row r="196">
      <x:c r="A196" s="174" t="str">
        <x:f>IF(C196="","","GAP-"&amp;TEXT(ROW()-3,"0000"))</x:f>
      </x:c>
      <x:c r="B196" s="174"/>
      <x:c r="C196" s="174"/>
      <x:c r="D196" s="174"/>
      <x:c r="E196" s="174"/>
      <x:c r="F196" s="174"/>
      <x:c r="G196" s="174"/>
      <x:c r="H196" s="174"/>
      <x:c r="I196" s="174"/>
      <x:c r="J196" s="174"/>
      <x:c r="K196" s="174"/>
      <x:c r="L196" s="174"/>
      <x:c r="M196" s="174"/>
      <x:c r="N196" s="174"/>
      <x:c r="O196" s="174"/>
    </x:row>
    <x:row r="197">
      <x:c r="A197" s="174" t="str">
        <x:f>IF(C197="","","GAP-"&amp;TEXT(ROW()-3,"0000"))</x:f>
      </x:c>
      <x:c r="B197" s="174"/>
      <x:c r="C197" s="174"/>
      <x:c r="D197" s="174"/>
      <x:c r="E197" s="174"/>
      <x:c r="F197" s="174"/>
      <x:c r="G197" s="174"/>
      <x:c r="H197" s="174"/>
      <x:c r="I197" s="174"/>
      <x:c r="J197" s="174"/>
      <x:c r="K197" s="174"/>
      <x:c r="L197" s="174"/>
      <x:c r="M197" s="174"/>
      <x:c r="N197" s="174"/>
      <x:c r="O197" s="174"/>
    </x:row>
    <x:row r="198">
      <x:c r="A198" s="174" t="str">
        <x:f>IF(C198="","","GAP-"&amp;TEXT(ROW()-3,"0000"))</x:f>
      </x:c>
      <x:c r="B198" s="174"/>
      <x:c r="C198" s="174"/>
      <x:c r="D198" s="174"/>
      <x:c r="E198" s="174"/>
      <x:c r="F198" s="174"/>
      <x:c r="G198" s="174"/>
      <x:c r="H198" s="174"/>
      <x:c r="I198" s="174"/>
      <x:c r="J198" s="174"/>
      <x:c r="K198" s="174"/>
      <x:c r="L198" s="174"/>
      <x:c r="M198" s="174"/>
      <x:c r="N198" s="174"/>
      <x:c r="O198" s="174"/>
    </x:row>
    <x:row r="199">
      <x:c r="A199" s="174" t="str">
        <x:f>IF(C199="","","GAP-"&amp;TEXT(ROW()-3,"0000"))</x:f>
      </x:c>
      <x:c r="B199" s="174"/>
      <x:c r="C199" s="174"/>
      <x:c r="D199" s="174"/>
      <x:c r="E199" s="174"/>
      <x:c r="F199" s="174"/>
      <x:c r="G199" s="174"/>
      <x:c r="H199" s="174"/>
      <x:c r="I199" s="174"/>
      <x:c r="J199" s="174"/>
      <x:c r="K199" s="174"/>
      <x:c r="L199" s="174"/>
      <x:c r="M199" s="174"/>
      <x:c r="N199" s="174"/>
      <x:c r="O199" s="174"/>
    </x:row>
    <x:row r="200">
      <x:c r="A200" s="174" t="str">
        <x:f>IF(C200="","","GAP-"&amp;TEXT(ROW()-3,"0000"))</x:f>
      </x:c>
      <x:c r="B200" s="174"/>
      <x:c r="C200" s="174"/>
      <x:c r="D200" s="174"/>
      <x:c r="E200" s="174"/>
      <x:c r="F200" s="174"/>
      <x:c r="G200" s="174"/>
      <x:c r="H200" s="174"/>
      <x:c r="I200" s="174"/>
      <x:c r="J200" s="174"/>
      <x:c r="K200" s="174"/>
      <x:c r="L200" s="174"/>
      <x:c r="M200" s="174"/>
      <x:c r="N200" s="174"/>
      <x:c r="O200" s="174"/>
    </x:row>
    <x:row r="201">
      <x:c r="A201" s="174" t="str">
        <x:f>IF(C201="","","GAP-"&amp;TEXT(ROW()-3,"0000"))</x:f>
      </x:c>
      <x:c r="B201" s="174"/>
      <x:c r="C201" s="174"/>
      <x:c r="D201" s="174"/>
      <x:c r="E201" s="174"/>
      <x:c r="F201" s="174"/>
      <x:c r="G201" s="174"/>
      <x:c r="H201" s="174"/>
      <x:c r="I201" s="174"/>
      <x:c r="J201" s="174"/>
      <x:c r="K201" s="174"/>
      <x:c r="L201" s="174"/>
      <x:c r="M201" s="174"/>
      <x:c r="N201" s="174"/>
      <x:c r="O201" s="174"/>
    </x:row>
    <x:row r="202">
      <x:c r="A202" s="174" t="str">
        <x:f>IF(C202="","","GAP-"&amp;TEXT(ROW()-3,"0000"))</x:f>
      </x:c>
      <x:c r="B202" s="174"/>
      <x:c r="C202" s="174"/>
      <x:c r="D202" s="174"/>
      <x:c r="E202" s="174"/>
      <x:c r="F202" s="174"/>
      <x:c r="G202" s="174"/>
      <x:c r="H202" s="174"/>
      <x:c r="I202" s="174"/>
      <x:c r="J202" s="174"/>
      <x:c r="K202" s="174"/>
      <x:c r="L202" s="174"/>
      <x:c r="M202" s="174"/>
      <x:c r="N202" s="174"/>
      <x:c r="O202" s="174"/>
    </x:row>
    <x:row r="203">
      <x:c r="A203" s="174" t="str">
        <x:f>IF(C203="","","GAP-"&amp;TEXT(ROW()-3,"0000"))</x:f>
      </x:c>
      <x:c r="B203" s="174"/>
      <x:c r="C203" s="174"/>
      <x:c r="D203" s="174"/>
      <x:c r="E203" s="174"/>
      <x:c r="F203" s="174"/>
      <x:c r="G203" s="174"/>
      <x:c r="H203" s="174"/>
      <x:c r="I203" s="174"/>
      <x:c r="J203" s="174"/>
      <x:c r="K203" s="174"/>
      <x:c r="L203" s="174"/>
      <x:c r="M203" s="174"/>
      <x:c r="N203" s="174"/>
      <x:c r="O203" s="174"/>
    </x:row>
  </x:sheetData>
  <x:mergeCells>
    <x:mergeCell ref="A1:O1"/>
    <x:mergeCell ref="A2:O2"/>
  </x:mergeCells>
  <x:dataValidations count="4">
    <x:dataValidation type="list" sqref="H4:H203">
      <x:formula1>"P1 — Critical,P2 — High,P3 — Medium,P4 — Low"</x:formula1>
    </x:dataValidation>
    <x:dataValidation type="list" sqref="I4:I203">
      <x:formula1>"High,Conditional,Low,Pending"</x:formula1>
    </x:dataValidation>
    <x:dataValidation type="list" sqref="N4:N203">
      <x:formula1>"0–30 days,31–90 days,3–12 months,&gt;12 months,Not applicable"</x:formula1>
    </x:dataValidation>
    <x:dataValidation type="list" sqref="O4:O203">
      <x:formula1>"Proposed,Prioritized,Protocol needed,In progress,Complete,Archived"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6c1e90e94f429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56" hidden="0" customWidth="1"/>
    <x:col min="3" max="3" width="14" hidden="0" customWidth="1"/>
    <x:col min="4" max="4" width="46" hidden="0" customWidth="1"/>
    <x:col min="5" max="5" width="42" hidden="0" customWidth="1"/>
    <x:col min="7" max="7" width="34" hidden="0" customWidth="1"/>
    <x:col min="8" max="8" width="12" hidden="0" customWidth="1"/>
    <x:col min="9" max="9" width="12" hidden="0" customWidth="1"/>
    <x:col min="10" max="10" width="14" hidden="0" customWidth="1"/>
  </x:cols>
  <x:sheetData>
    <x:row r="1" ht="34" customHeight="1">
      <x:c r="A1" s="366" t="str">
        <x:v>RELEASE GATES &amp; PROJECT CHECKLIST</x:v>
      </x:c>
      <x:c r="B1" s="367"/>
      <x:c r="C1" s="367"/>
      <x:c r="D1" s="367"/>
      <x:c r="E1" s="367"/>
      <x:c r="F1" s="367"/>
      <x:c r="G1" s="367"/>
      <x:c r="H1" s="367"/>
      <x:c r="I1" s="367"/>
      <x:c r="J1" s="368"/>
    </x:row>
    <x:row r="2" ht="30" customHeight="1">
      <x:c r="A2" s="369" t="str">
        <x:v>Formula-driven progress; status is evidence-based and does not infer completion from intention.</x:v>
      </x:c>
      <x:c r="B2" s="369"/>
      <x:c r="C2" s="369"/>
      <x:c r="D2" s="369"/>
      <x:c r="E2" s="369"/>
      <x:c r="F2" s="369"/>
      <x:c r="G2" s="369"/>
      <x:c r="H2" s="369"/>
      <x:c r="I2" s="369"/>
      <x:c r="J2" s="369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</x:row>
    <x:row r="4">
      <x:c r="A4" s="371" t="str">
        <x:v>Phase</x:v>
      </x:c>
      <x:c r="B4" s="371" t="str">
        <x:v>Checklist Item</x:v>
      </x:c>
      <x:c r="C4" s="371" t="str">
        <x:v>Status</x:v>
      </x:c>
      <x:c r="D4" s="371" t="str">
        <x:v>Evidence / Audit Trail</x:v>
      </x:c>
      <x:c r="E4" s="371" t="str">
        <x:v>Blocker / Dependency</x:v>
      </x:c>
      <x:c r="F4" s="370"/>
      <x:c r="G4" s="373" t="str">
        <x:v>Phase</x:v>
      </x:c>
      <x:c r="H4" s="373" t="str">
        <x:v>Complete</x:v>
      </x:c>
      <x:c r="I4" s="373" t="str">
        <x:v>Total</x:v>
      </x:c>
      <x:c r="J4" s="373" t="str">
        <x:v>Progress</x:v>
      </x:c>
    </x:row>
    <x:row r="5">
      <x:c r="A5" s="174" t="str">
        <x:v>Protocol &amp; design</x:v>
      </x:c>
      <x:c r="B5" s="174" t="str">
        <x:v>Central title and tactical-athlete anchor retained</x:v>
      </x:c>
      <x:c r="C5" s="174" t="str">
        <x:v>Complete</x:v>
      </x:c>
      <x:c r="D5" s="174" t="str">
        <x:v>GitHub protocol/checklist @ 67847ec</x:v>
      </x:c>
      <x:c r="E5" s="174" t="str"/>
      <x:c r="F5" s="370"/>
      <x:c r="G5" s="370" t="str">
        <x:v>Protocol &amp; design</x:v>
      </x:c>
      <x:c r="H5" s="429" t="n">
        <x:f>COUNTIFS($A$5:$A$78,G5,$C$5:$C$78,"Complete")</x:f>
        <x:v>12</x:v>
      </x:c>
      <x:c r="I5" s="429" t="n">
        <x:f>COUNTIF($A$5:$A$78,G5)</x:f>
        <x:v>12</x:v>
      </x:c>
      <x:c r="J5" s="388" t="n">
        <x:f>IF(I5=0,0,H5/I5)</x:f>
        <x:v>1</x:v>
      </x:c>
    </x:row>
    <x:row r="6">
      <x:c r="A6" s="174" t="str">
        <x:v>Protocol &amp; design</x:v>
      </x:c>
      <x:c r="B6" s="174" t="str">
        <x:v>Paradigm-shift rationale defined</x:v>
      </x:c>
      <x:c r="C6" s="174" t="str">
        <x:v>Complete</x:v>
      </x:c>
      <x:c r="D6" s="174" t="str">
        <x:v>GitHub protocol/checklist @ 67847ec</x:v>
      </x:c>
      <x:c r="E6" s="174" t="str"/>
      <x:c r="F6" s="370"/>
      <x:c r="G6" s="370" t="str">
        <x:v>Infrastructure</x:v>
      </x:c>
      <x:c r="H6" s="429" t="n">
        <x:f>COUNTIFS($A$5:$A$78,G6,$C$5:$C$78,"Complete")</x:f>
        <x:v>16</x:v>
      </x:c>
      <x:c r="I6" s="429" t="n">
        <x:f>COUNTIF($A$5:$A$78,G6)</x:f>
        <x:v>18</x:v>
      </x:c>
      <x:c r="J6" s="388" t="n">
        <x:f>IF(I6=0,0,H6/I6)</x:f>
        <x:v>0.8888888888888888</x:v>
      </x:c>
    </x:row>
    <x:row r="7">
      <x:c r="A7" s="174" t="str">
        <x:v>Protocol &amp; design</x:v>
      </x:c>
      <x:c r="B7" s="174" t="str">
        <x:v>Primary question defined</x:v>
      </x:c>
      <x:c r="C7" s="174" t="str">
        <x:v>Complete</x:v>
      </x:c>
      <x:c r="D7" s="174" t="str">
        <x:v>GitHub protocol/checklist @ 67847ec</x:v>
      </x:c>
      <x:c r="E7" s="174" t="str"/>
      <x:c r="F7" s="370"/>
      <x:c r="G7" s="370" t="str">
        <x:v>Zotero Release Gate</x:v>
      </x:c>
      <x:c r="H7" s="429" t="n">
        <x:f>COUNTIFS($A$5:$A$78,G7,$C$5:$C$78,"Complete")</x:f>
        <x:v>6</x:v>
      </x:c>
      <x:c r="I7" s="429" t="n">
        <x:f>COUNTIF($A$5:$A$78,G7)</x:f>
        <x:v>21</x:v>
      </x:c>
      <x:c r="J7" s="388" t="n">
        <x:f>IF(I7=0,0,H7/I7)</x:f>
        <x:v>0.2857142857142857</x:v>
      </x:c>
    </x:row>
    <x:row r="8">
      <x:c r="A8" s="174" t="str">
        <x:v>Protocol &amp; design</x:v>
      </x:c>
      <x:c r="B8" s="174" t="str">
        <x:v>Conceptual Essay Protocol v1.0 registered on OSF</x:v>
      </x:c>
      <x:c r="C8" s="174" t="str">
        <x:v>Complete</x:v>
      </x:c>
      <x:c r="D8" s="174" t="str">
        <x:v>GitHub protocol/checklist @ 67847ec</x:v>
      </x:c>
      <x:c r="E8" s="174" t="str"/>
      <x:c r="F8" s="370"/>
      <x:c r="G8" s="370" t="str">
        <x:v>Definitive evidence identification</x:v>
      </x:c>
      <x:c r="H8" s="429" t="n">
        <x:f>COUNTIFS($A$5:$A$78,G8,$C$5:$C$78,"Complete")</x:f>
        <x:v>0</x:v>
      </x:c>
      <x:c r="I8" s="429" t="n">
        <x:f>COUNTIF($A$5:$A$78,G8)</x:f>
        <x:v>14</x:v>
      </x:c>
      <x:c r="J8" s="388" t="n">
        <x:f>IF(I8=0,0,H8/I8)</x:f>
        <x:v>0</x:v>
      </x:c>
    </x:row>
    <x:row r="9">
      <x:c r="A9" s="174" t="str">
        <x:v>Protocol &amp; design</x:v>
      </x:c>
      <x:c r="B9" s="174" t="str">
        <x:v>Study design consolidated as conceptual and applied scientific essay</x:v>
      </x:c>
      <x:c r="C9" s="174" t="str">
        <x:v>Complete</x:v>
      </x:c>
      <x:c r="D9" s="174" t="str">
        <x:v>GitHub protocol/checklist @ 67847ec</x:v>
      </x:c>
      <x:c r="E9" s="174" t="str"/>
      <x:c r="F9" s="370"/>
      <x:c r="G9" s="370" t="str">
        <x:v>Synthesis &amp; framework</x:v>
      </x:c>
      <x:c r="H9" s="429" t="n">
        <x:f>COUNTIFS($A$5:$A$78,G9,$C$5:$C$78,"Complete")</x:f>
        <x:v>0</x:v>
      </x:c>
      <x:c r="I9" s="429" t="n">
        <x:f>COUNTIF($A$5:$A$78,G9)</x:f>
        <x:v>9</x:v>
      </x:c>
      <x:c r="J9" s="388" t="n">
        <x:f>IF(I9=0,0,H9/I9)</x:f>
        <x:v>0</x:v>
      </x:c>
    </x:row>
    <x:row r="10">
      <x:c r="A10" s="174" t="str">
        <x:v>Protocol &amp; design</x:v>
      </x:c>
      <x:c r="B10" s="174" t="str">
        <x:v>Structured and reproducible evidence-identification architecture retained</x:v>
      </x:c>
      <x:c r="C10" s="174" t="str">
        <x:v>Complete</x:v>
      </x:c>
      <x:c r="D10" s="174" t="str">
        <x:v>GitHub protocol/checklist @ 67847ec</x:v>
      </x:c>
      <x:c r="E10" s="174" t="str"/>
      <x:c r="F10" s="370"/>
      <x:c r="G10" s="370" t="str">
        <x:v>OVERALL</x:v>
      </x:c>
      <x:c r="H10" s="429" t="n">
        <x:f>COUNTIF($C$5:$C$78,"Complete")</x:f>
        <x:v>34</x:v>
      </x:c>
      <x:c r="I10" s="429" t="n">
        <x:f>COUNTA($B$5:$B$78)</x:f>
        <x:v>74</x:v>
      </x:c>
      <x:c r="J10" s="388" t="n">
        <x:f>IF(I10=0,0,H10/I10)</x:f>
        <x:v>0.4594594594594595</x:v>
      </x:c>
    </x:row>
    <x:row r="11">
      <x:c r="A11" s="174" t="str">
        <x:v>Protocol &amp; design</x:v>
      </x:c>
      <x:c r="B11" s="174" t="str">
        <x:v>Three evidence families A/B/C retained</x:v>
      </x:c>
      <x:c r="C11" s="174" t="str">
        <x:v>Complete</x:v>
      </x:c>
      <x:c r="D11" s="174" t="str">
        <x:v>GitHub protocol/checklist @ 67847ec</x:v>
      </x:c>
      <x:c r="E11" s="174" t="str"/>
      <x:c r="F11" s="370"/>
      <x:c r="G11" s="370"/>
      <x:c r="H11" s="370"/>
      <x:c r="I11" s="370"/>
      <x:c r="J11" s="370"/>
    </x:row>
    <x:row r="12">
      <x:c r="A12" s="174" t="str">
        <x:v>Protocol &amp; design</x:v>
      </x:c>
      <x:c r="B12" s="174" t="str">
        <x:v>Ten database/platform environments prepared</x:v>
      </x:c>
      <x:c r="C12" s="174" t="str">
        <x:v>Complete</x:v>
      </x:c>
      <x:c r="D12" s="174" t="str">
        <x:v>GitHub protocol/checklist @ 67847ec</x:v>
      </x:c>
      <x:c r="E12" s="174" t="str"/>
      <x:c r="F12" s="370"/>
      <x:c r="G12" s="370"/>
      <x:c r="H12" s="370"/>
      <x:c r="I12" s="370"/>
      <x:c r="J12" s="370"/>
    </x:row>
    <x:row r="13">
      <x:c r="A13" s="174" t="str">
        <x:v>Protocol &amp; design</x:v>
      </x:c>
      <x:c r="B13" s="174" t="str">
        <x:v>Seed-set conceptual coverage pilot 15/15 documented</x:v>
      </x:c>
      <x:c r="C13" s="174" t="str">
        <x:v>Complete</x:v>
      </x:c>
      <x:c r="D13" s="174" t="str">
        <x:v>GitHub protocol/checklist @ 67847ec</x:v>
      </x:c>
      <x:c r="E13" s="174" t="str"/>
      <x:c r="F13" s="370"/>
      <x:c r="G13" s="370"/>
      <x:c r="H13" s="370"/>
      <x:c r="I13" s="370"/>
      <x:c r="J13" s="370"/>
    </x:row>
    <x:row r="14">
      <x:c r="A14" s="174" t="str">
        <x:v>Protocol &amp; design</x:v>
      </x:c>
      <x:c r="B14" s="174" t="str">
        <x:v>Transferability framework retained</x:v>
      </x:c>
      <x:c r="C14" s="174" t="str">
        <x:v>Complete</x:v>
      </x:c>
      <x:c r="D14" s="174" t="str">
        <x:v>GitHub protocol/checklist @ 67847ec</x:v>
      </x:c>
      <x:c r="E14" s="174" t="str"/>
      <x:c r="F14" s="370"/>
      <x:c r="G14" s="370"/>
      <x:c r="H14" s="370"/>
      <x:c r="I14" s="370"/>
      <x:c r="J14" s="370"/>
    </x:row>
    <x:row r="15">
      <x:c r="A15" s="174" t="str">
        <x:v>Protocol &amp; design</x:v>
      </x:c>
      <x:c r="B15" s="174" t="str">
        <x:v>CFIR + Proctor + ERIC architecture retained</x:v>
      </x:c>
      <x:c r="C15" s="174" t="str">
        <x:v>Complete</x:v>
      </x:c>
      <x:c r="D15" s="174" t="str">
        <x:v>GitHub protocol/checklist @ 67847ec</x:v>
      </x:c>
      <x:c r="E15" s="174" t="str"/>
      <x:c r="F15" s="370"/>
      <x:c r="G15" s="370"/>
      <x:c r="H15" s="370"/>
      <x:c r="I15" s="370"/>
      <x:c r="J15" s="370"/>
    </x:row>
    <x:row r="16">
      <x:c r="A16" s="174" t="str">
        <x:v>Protocol &amp; design</x:v>
      </x:c>
      <x:c r="B16" s="174" t="str">
        <x:v>Major design correction documented</x:v>
      </x:c>
      <x:c r="C16" s="174" t="str">
        <x:v>Complete</x:v>
      </x:c>
      <x:c r="D16" s="174" t="str">
        <x:v>GitHub protocol/checklist @ 67847ec</x:v>
      </x:c>
      <x:c r="E16" s="174" t="str"/>
      <x:c r="F16" s="370"/>
      <x:c r="G16" s="370"/>
      <x:c r="H16" s="370"/>
      <x:c r="I16" s="370"/>
      <x:c r="J16" s="370"/>
    </x:row>
    <x:row r="17">
      <x:c r="A17" s="174" t="str">
        <x:v>Infrastructure</x:v>
      </x:c>
      <x:c r="B17" s="174" t="str">
        <x:v>GitHub repository created and materialized</x:v>
      </x:c>
      <x:c r="C17" s="174" t="str">
        <x:v>Complete</x:v>
      </x:c>
      <x:c r="D17" s="174" t="str">
        <x:v>GitHub checklist @ 67847ec</x:v>
      </x:c>
      <x:c r="E17" s="174" t="str"/>
      <x:c r="F17" s="370"/>
      <x:c r="G17" s="370"/>
      <x:c r="H17" s="370"/>
      <x:c r="I17" s="370"/>
      <x:c r="J17" s="370"/>
    </x:row>
    <x:row r="18">
      <x:c r="A18" s="174" t="str">
        <x:v>Infrastructure</x:v>
      </x:c>
      <x:c r="B18" s="174" t="str">
        <x:v>README aligned</x:v>
      </x:c>
      <x:c r="C18" s="174" t="str">
        <x:v>Complete</x:v>
      </x:c>
      <x:c r="D18" s="174" t="str">
        <x:v>GitHub checklist @ 67847ec</x:v>
      </x:c>
      <x:c r="E18" s="174" t="str"/>
      <x:c r="F18" s="370"/>
      <x:c r="G18" s="370"/>
      <x:c r="H18" s="370"/>
      <x:c r="I18" s="370"/>
      <x:c r="J18" s="370"/>
    </x:row>
    <x:row r="19">
      <x:c r="A19" s="174" t="str">
        <x:v>Infrastructure</x:v>
      </x:c>
      <x:c r="B19" s="174" t="str">
        <x:v>PROJECT_CHARTER aligned</x:v>
      </x:c>
      <x:c r="C19" s="174" t="str">
        <x:v>Complete</x:v>
      </x:c>
      <x:c r="D19" s="174" t="str">
        <x:v>GitHub checklist @ 67847ec</x:v>
      </x:c>
      <x:c r="E19" s="174" t="str"/>
      <x:c r="F19" s="370"/>
      <x:c r="G19" s="370"/>
      <x:c r="H19" s="370"/>
      <x:c r="I19" s="370"/>
      <x:c r="J19" s="370"/>
    </x:row>
    <x:row r="20">
      <x:c r="A20" s="174" t="str">
        <x:v>Infrastructure</x:v>
      </x:c>
      <x:c r="B20" s="174" t="str">
        <x:v>PROTOCOL aligned with registered v1.0</x:v>
      </x:c>
      <x:c r="C20" s="174" t="str">
        <x:v>Complete</x:v>
      </x:c>
      <x:c r="D20" s="174" t="str">
        <x:v>GitHub checklist @ 67847ec</x:v>
      </x:c>
      <x:c r="E20" s="174" t="str"/>
      <x:c r="F20" s="370"/>
      <x:c r="G20" s="370"/>
      <x:c r="H20" s="370"/>
      <x:c r="I20" s="370"/>
      <x:c r="J20" s="370"/>
    </x:row>
    <x:row r="21">
      <x:c r="A21" s="174" t="str">
        <x:v>Infrastructure</x:v>
      </x:c>
      <x:c r="B21" s="174" t="str">
        <x:v>AMENDMENTS updated</x:v>
      </x:c>
      <x:c r="C21" s="174" t="str">
        <x:v>Complete</x:v>
      </x:c>
      <x:c r="D21" s="174" t="str">
        <x:v>GitHub checklist @ 67847ec</x:v>
      </x:c>
      <x:c r="E21" s="174" t="str"/>
      <x:c r="F21" s="370"/>
      <x:c r="G21" s="370"/>
      <x:c r="H21" s="370"/>
      <x:c r="I21" s="370"/>
      <x:c r="J21" s="370"/>
    </x:row>
    <x:row r="22">
      <x:c r="A22" s="174" t="str">
        <x:v>Infrastructure</x:v>
      </x:c>
      <x:c r="B22" s="174" t="str">
        <x:v>CHANGELOG updated</x:v>
      </x:c>
      <x:c r="C22" s="174" t="str">
        <x:v>Complete</x:v>
      </x:c>
      <x:c r="D22" s="174" t="str">
        <x:v>GitHub checklist @ 67847ec</x:v>
      </x:c>
      <x:c r="E22" s="174" t="str"/>
      <x:c r="F22" s="370"/>
      <x:c r="G22" s="370"/>
      <x:c r="H22" s="370"/>
      <x:c r="I22" s="370"/>
      <x:c r="J22" s="370"/>
    </x:row>
    <x:row r="23">
      <x:c r="A23" s="174" t="str">
        <x:v>Infrastructure</x:v>
      </x:c>
      <x:c r="B23" s="174" t="str">
        <x:v>CITATION.cff updated</x:v>
      </x:c>
      <x:c r="C23" s="174" t="str">
        <x:v>Complete</x:v>
      </x:c>
      <x:c r="D23" s="174" t="str">
        <x:v>GitHub checklist @ 67847ec</x:v>
      </x:c>
      <x:c r="E23" s="174" t="str"/>
      <x:c r="F23" s="370"/>
      <x:c r="G23" s="370"/>
      <x:c r="H23" s="370"/>
      <x:c r="I23" s="370"/>
      <x:c r="J23" s="370"/>
    </x:row>
    <x:row r="24">
      <x:c r="A24" s="174" t="str">
        <x:v>Infrastructure</x:v>
      </x:c>
      <x:c r="B24" s="174" t="str">
        <x:v>Repository security baseline active</x:v>
      </x:c>
      <x:c r="C24" s="174" t="str">
        <x:v>Complete</x:v>
      </x:c>
      <x:c r="D24" s="174" t="str">
        <x:v>GitHub checklist @ 67847ec</x:v>
      </x:c>
      <x:c r="E24" s="174" t="str"/>
      <x:c r="F24" s="370"/>
      <x:c r="G24" s="370"/>
      <x:c r="H24" s="370"/>
      <x:c r="I24" s="370"/>
      <x:c r="J24" s="370"/>
    </x:row>
    <x:row r="25">
      <x:c r="A25" s="174" t="str">
        <x:v>Infrastructure</x:v>
      </x:c>
      <x:c r="B25" s="174" t="str">
        <x:v>GitHub security workflow previously recorded as passed</x:v>
      </x:c>
      <x:c r="C25" s="174" t="str">
        <x:v>Complete</x:v>
      </x:c>
      <x:c r="D25" s="174" t="str">
        <x:v>GitHub checklist @ 67847ec</x:v>
      </x:c>
      <x:c r="E25" s="174" t="str"/>
      <x:c r="F25" s="370"/>
      <x:c r="G25" s="370"/>
      <x:c r="H25" s="370"/>
      <x:c r="I25" s="370"/>
      <x:c r="J25" s="370"/>
    </x:row>
    <x:row r="26">
      <x:c r="A26" s="174" t="str">
        <x:v>Infrastructure</x:v>
      </x:c>
      <x:c r="B26" s="174" t="str">
        <x:v>Google Drive root folder recorded as created</x:v>
      </x:c>
      <x:c r="C26" s="174" t="str">
        <x:v>Complete</x:v>
      </x:c>
      <x:c r="D26" s="174" t="str">
        <x:v>GitHub checklist @ 67847ec</x:v>
      </x:c>
      <x:c r="E26" s="174" t="str"/>
      <x:c r="F26" s="370"/>
      <x:c r="G26" s="370"/>
      <x:c r="H26" s="370"/>
      <x:c r="I26" s="370"/>
      <x:c r="J26" s="370"/>
    </x:row>
    <x:row r="27">
      <x:c r="A27" s="174" t="str">
        <x:v>Infrastructure</x:v>
      </x:c>
      <x:c r="B27" s="174" t="str">
        <x:v>Google Drive top-level structure recorded as created</x:v>
      </x:c>
      <x:c r="C27" s="174" t="str">
        <x:v>Complete</x:v>
      </x:c>
      <x:c r="D27" s="174" t="str">
        <x:v>GitHub checklist @ 67847ec</x:v>
      </x:c>
      <x:c r="E27" s="174" t="str"/>
      <x:c r="F27" s="370"/>
      <x:c r="G27" s="370"/>
      <x:c r="H27" s="370"/>
      <x:c r="I27" s="370"/>
      <x:c r="J27" s="370"/>
    </x:row>
    <x:row r="28">
      <x:c r="A28" s="174" t="str">
        <x:v>Infrastructure</x:v>
      </x:c>
      <x:c r="B28" s="174" t="str">
        <x:v>OSF registration recorded as complete</x:v>
      </x:c>
      <x:c r="C28" s="174" t="str">
        <x:v>Complete</x:v>
      </x:c>
      <x:c r="D28" s="174" t="str">
        <x:v>GitHub checklist @ 67847ec</x:v>
      </x:c>
      <x:c r="E28" s="174" t="str"/>
      <x:c r="F28" s="370"/>
      <x:c r="G28" s="370"/>
      <x:c r="H28" s="370"/>
      <x:c r="I28" s="370"/>
      <x:c r="J28" s="370"/>
    </x:row>
    <x:row r="29">
      <x:c r="A29" s="174" t="str">
        <x:v>Infrastructure</x:v>
      </x:c>
      <x:c r="B29" s="174" t="str">
        <x:v>OSF associated project recorded</x:v>
      </x:c>
      <x:c r="C29" s="174" t="str">
        <x:v>Complete</x:v>
      </x:c>
      <x:c r="D29" s="174" t="str">
        <x:v>GitHub checklist @ 67847ec</x:v>
      </x:c>
      <x:c r="E29" s="174" t="str"/>
      <x:c r="F29" s="370"/>
      <x:c r="G29" s="370"/>
      <x:c r="H29" s="370"/>
      <x:c r="I29" s="370"/>
      <x:c r="J29" s="370"/>
    </x:row>
    <x:row r="30">
      <x:c r="A30" s="174" t="str">
        <x:v>Infrastructure</x:v>
      </x:c>
      <x:c r="B30" s="174" t="str">
        <x:v>OSF materials recorded as CC BY 4.0</x:v>
      </x:c>
      <x:c r="C30" s="174" t="str">
        <x:v>Complete</x:v>
      </x:c>
      <x:c r="D30" s="174" t="str">
        <x:v>GitHub checklist @ 67847ec</x:v>
      </x:c>
      <x:c r="E30" s="174" t="str"/>
      <x:c r="F30" s="370"/>
      <x:c r="G30" s="370"/>
      <x:c r="H30" s="370"/>
      <x:c r="I30" s="370"/>
      <x:c r="J30" s="370"/>
    </x:row>
    <x:row r="31">
      <x:c r="A31" s="174" t="str">
        <x:v>Infrastructure</x:v>
      </x:c>
      <x:c r="B31" s="174" t="str">
        <x:v>Workbook specification versioned</x:v>
      </x:c>
      <x:c r="C31" s="174" t="str">
        <x:v>Complete</x:v>
      </x:c>
      <x:c r="D31" s="174" t="str">
        <x:v>GitHub checklist @ 67847ec</x:v>
      </x:c>
      <x:c r="E31" s="174" t="str"/>
      <x:c r="F31" s="370"/>
      <x:c r="G31" s="370"/>
      <x:c r="H31" s="370"/>
      <x:c r="I31" s="370"/>
      <x:c r="J31" s="370"/>
    </x:row>
    <x:row r="32">
      <x:c r="A32" s="174" t="str">
        <x:v>Infrastructure</x:v>
      </x:c>
      <x:c r="B32" s="174" t="str">
        <x:v>Premium Elite Diamante workbook implementation/export verified</x:v>
      </x:c>
      <x:c r="C32" s="174" t="str">
        <x:v>Complete</x:v>
      </x:c>
      <x:c r="D32" s="174" t="str">
        <x:v>Workbook generated and audited 2026-08-27T02:35:39.701Z</x:v>
      </x:c>
      <x:c r="E32" s="174" t="str"/>
      <x:c r="F32" s="370"/>
      <x:c r="G32" s="370"/>
      <x:c r="H32" s="370"/>
      <x:c r="I32" s="370"/>
      <x:c r="J32" s="370"/>
    </x:row>
    <x:row r="33">
      <x:c r="A33" s="174" t="str">
        <x:v>Infrastructure</x:v>
      </x:c>
      <x:c r="B33" s="174" t="str">
        <x:v>OSF public registration URL independently recorded in GitHub/workbook</x:v>
      </x:c>
      <x:c r="C33" s="174" t="str">
        <x:v>Pending</x:v>
      </x:c>
      <x:c r="D33" s="174" t="str">
        <x:v>Associated project URL is recorded; public registration URL not independently verified</x:v>
      </x:c>
      <x:c r="E33" s="174" t="str"/>
      <x:c r="F33" s="370"/>
      <x:c r="G33" s="370"/>
      <x:c r="H33" s="370"/>
      <x:c r="I33" s="370"/>
      <x:c r="J33" s="370"/>
    </x:row>
    <x:row r="34">
      <x:c r="A34" s="174" t="str">
        <x:v>Infrastructure</x:v>
      </x:c>
      <x:c r="B34" s="174" t="str">
        <x:v>OSF DOI explicitly verified and recorded, if assigned</x:v>
      </x:c>
      <x:c r="C34" s="174" t="str">
        <x:v>Pending</x:v>
      </x:c>
      <x:c r="D34" s="174" t="str">
        <x:v>No verified DOI in project record</x:v>
      </x:c>
      <x:c r="E34" s="174" t="str"/>
      <x:c r="F34" s="370"/>
      <x:c r="G34" s="370"/>
      <x:c r="H34" s="370"/>
      <x:c r="I34" s="370"/>
      <x:c r="J34" s="370"/>
    </x:row>
    <x:row r="35">
      <x:c r="A35" s="174" t="str">
        <x:v>Zotero Release Gate</x:v>
      </x:c>
      <x:c r="B35" s="174" t="str">
        <x:v>Zotero skill instructions reviewed</x:v>
      </x:c>
      <x:c r="C35" s="174" t="str">
        <x:v>Complete</x:v>
      </x:c>
      <x:c r="D35" s="174" t="str">
        <x:v>zotero/ZOTERO_COLLECTION_PLAN.md</x:v>
      </x:c>
      <x:c r="E35" s="174" t="str"/>
      <x:c r="F35" s="370"/>
      <x:c r="G35" s="370"/>
      <x:c r="H35" s="370"/>
      <x:c r="I35" s="370"/>
      <x:c r="J35" s="370"/>
    </x:row>
    <x:row r="36">
      <x:c r="A36" s="174" t="str">
        <x:v>Zotero Release Gate</x:v>
      </x:c>
      <x:c r="B36" s="174" t="str">
        <x:v>ZOTERO_COLLECTION_PLAN.md verified as source of truth</x:v>
      </x:c>
      <x:c r="C36" s="174" t="str">
        <x:v>Complete</x:v>
      </x:c>
      <x:c r="D36" s="174" t="str">
        <x:v>zotero/ZOTERO_COLLECTION_PLAN.md</x:v>
      </x:c>
      <x:c r="E36" s="174" t="str"/>
      <x:c r="F36" s="370"/>
      <x:c r="G36" s="370"/>
      <x:c r="H36" s="370"/>
      <x:c r="I36" s="370"/>
      <x:c r="J36" s="370"/>
    </x:row>
    <x:row r="37">
      <x:c r="A37" s="174" t="str">
        <x:v>Zotero Release Gate</x:v>
      </x:c>
      <x:c r="B37" s="174" t="str">
        <x:v>Root collection name fixed</x:v>
      </x:c>
      <x:c r="C37" s="174" t="str">
        <x:v>Complete</x:v>
      </x:c>
      <x:c r="D37" s="174" t="str">
        <x:v>zotero/ZOTERO_COLLECTION_PLAN.md</x:v>
      </x:c>
      <x:c r="E37" s="174" t="str"/>
      <x:c r="F37" s="370"/>
      <x:c r="G37" s="370"/>
      <x:c r="H37" s="370"/>
      <x:c r="I37" s="370"/>
      <x:c r="J37" s="370"/>
    </x:row>
    <x:row r="38">
      <x:c r="A38" s="174" t="str">
        <x:v>Zotero Release Gate</x:v>
      </x:c>
      <x:c r="B38" s="174" t="str">
        <x:v>Exactly 25 planned subcollections verified in plan</x:v>
      </x:c>
      <x:c r="C38" s="174" t="str">
        <x:v>Complete</x:v>
      </x:c>
      <x:c r="D38" s="174" t="str">
        <x:v>zotero/ZOTERO_COLLECTION_PLAN.md</x:v>
      </x:c>
      <x:c r="E38" s="174" t="str"/>
      <x:c r="F38" s="370"/>
      <x:c r="G38" s="370"/>
      <x:c r="H38" s="370"/>
      <x:c r="I38" s="370"/>
      <x:c r="J38" s="370"/>
    </x:row>
    <x:row r="39">
      <x:c r="A39" s="174" t="str">
        <x:v>Zotero Release Gate</x:v>
      </x:c>
      <x:c r="B39" s="174" t="str">
        <x:v>Required tag taxonomy verified in plan</x:v>
      </x:c>
      <x:c r="C39" s="174" t="str">
        <x:v>Complete</x:v>
      </x:c>
      <x:c r="D39" s="174" t="str">
        <x:v>zotero/ZOTERO_COLLECTION_PLAN.md</x:v>
      </x:c>
      <x:c r="E39" s="174" t="str"/>
      <x:c r="F39" s="370"/>
      <x:c r="G39" s="370"/>
      <x:c r="H39" s="370"/>
      <x:c r="I39" s="370"/>
      <x:c r="J39" s="370"/>
    </x:row>
    <x:row r="40">
      <x:c r="A40" s="174" t="str">
        <x:v>Zotero Release Gate</x:v>
      </x:c>
      <x:c r="B40" s="174" t="str">
        <x:v>Import/deduplication release-test protocol verified in plan</x:v>
      </x:c>
      <x:c r="C40" s="174" t="str">
        <x:v>Complete</x:v>
      </x:c>
      <x:c r="D40" s="174" t="str">
        <x:v>zotero/ZOTERO_COLLECTION_PLAN.md</x:v>
      </x:c>
      <x:c r="E40" s="174" t="str"/>
      <x:c r="F40" s="370"/>
      <x:c r="G40" s="370"/>
      <x:c r="H40" s="370"/>
      <x:c r="I40" s="370"/>
      <x:c r="J40" s="370"/>
    </x:row>
    <x:row r="41">
      <x:c r="A41" s="174" t="str">
        <x:v>Zotero Release Gate</x:v>
      </x:c>
      <x:c r="B41" s="174" t="str">
        <x:v>Zotero Desktop local status executed with status --json</x:v>
      </x:c>
      <x:c r="C41" s="174" t="str">
        <x:v>Blocked</x:v>
      </x:c>
      <x:c r="D41" s="174" t="str">
        <x:v>Command executed in this session; profile/prefs/version unavailable</x:v>
      </x:c>
      <x:c r="E41" s="174" t="str">
        <x:v>Local Zotero Desktop profile is not exposed to this environment</x:v>
      </x:c>
      <x:c r="F41" s="370"/>
      <x:c r="G41" s="370"/>
      <x:c r="H41" s="370"/>
      <x:c r="I41" s="370"/>
      <x:c r="J41" s="370"/>
    </x:row>
    <x:row r="42">
      <x:c r="A42" s="174" t="str">
        <x:v>Zotero Release Gate</x:v>
      </x:c>
      <x:c r="B42" s="174" t="str">
        <x:v>Local API on port 23119 verified</x:v>
      </x:c>
      <x:c r="C42" s="174" t="str">
        <x:v>Blocked</x:v>
      </x:c>
      <x:c r="D42" s="174" t="str">
        <x:v>127.0.0.1:23119 connection refused</x:v>
      </x:c>
      <x:c r="E42" s="174" t="str">
        <x:v>Start Zotero Desktop in the same local execution environment</x:v>
      </x:c>
      <x:c r="F42" s="370"/>
      <x:c r="G42" s="370"/>
      <x:c r="H42" s="370"/>
      <x:c r="I42" s="370"/>
      <x:c r="J42" s="370"/>
    </x:row>
    <x:row r="43">
      <x:c r="A43" s="174" t="str">
        <x:v>Zotero Release Gate</x:v>
      </x:c>
      <x:c r="B43" s="174" t="str">
        <x:v>Initial inventory / collections / tags captured</x:v>
      </x:c>
      <x:c r="C43" s="174" t="str">
        <x:v>Blocked</x:v>
      </x:c>
      <x:c r="D43" s="174" t="str">
        <x:v>All three commands returned connection refused</x:v>
      </x:c>
      <x:c r="E43" s="174" t="str">
        <x:v>API unavailable</x:v>
      </x:c>
      <x:c r="F43" s="370"/>
      <x:c r="G43" s="370"/>
      <x:c r="H43" s="370"/>
      <x:c r="I43" s="370"/>
      <x:c r="J43" s="370"/>
    </x:row>
    <x:row r="44">
      <x:c r="A44" s="174" t="str">
        <x:v>Zotero Release Gate</x:v>
      </x:c>
      <x:c r="B44" s="174" t="str">
        <x:v>Root collection created in Zotero Desktop</x:v>
      </x:c>
      <x:c r="C44" s="174" t="str">
        <x:v>Pending</x:v>
      </x:c>
      <x:c r="D44" s="174" t="str">
        <x:v>Not executed</x:v>
      </x:c>
      <x:c r="E44" s="174" t="str">
        <x:v>Prerequisite API/profile unavailable</x:v>
      </x:c>
      <x:c r="F44" s="370"/>
      <x:c r="G44" s="370"/>
      <x:c r="H44" s="370"/>
      <x:c r="I44" s="370"/>
      <x:c r="J44" s="370"/>
    </x:row>
    <x:row r="45">
      <x:c r="A45" s="174" t="str">
        <x:v>Zotero Release Gate</x:v>
      </x:c>
      <x:c r="B45" s="174" t="str">
        <x:v>25 subcollections materialized</x:v>
      </x:c>
      <x:c r="C45" s="174" t="str">
        <x:v>Pending</x:v>
      </x:c>
      <x:c r="D45" s="174" t="str">
        <x:v>Not executed</x:v>
      </x:c>
      <x:c r="E45" s="174" t="str">
        <x:v>Prerequisite root collection not verified</x:v>
      </x:c>
      <x:c r="F45" s="370"/>
      <x:c r="G45" s="370"/>
      <x:c r="H45" s="370"/>
      <x:c r="I45" s="370"/>
      <x:c r="J45" s="370"/>
    </x:row>
    <x:row r="46">
      <x:c r="A46" s="174" t="str">
        <x:v>Zotero Release Gate</x:v>
      </x:c>
      <x:c r="B46" s="174" t="str">
        <x:v>Required tags materialized</x:v>
      </x:c>
      <x:c r="C46" s="174" t="str">
        <x:v>Pending</x:v>
      </x:c>
      <x:c r="D46" s="174" t="str">
        <x:v>Not executed</x:v>
      </x:c>
      <x:c r="E46" s="174" t="str">
        <x:v>Prerequisite API unavailable</x:v>
      </x:c>
      <x:c r="F46" s="370"/>
      <x:c r="G46" s="370"/>
      <x:c r="H46" s="370"/>
      <x:c r="I46" s="370"/>
      <x:c r="J46" s="370"/>
    </x:row>
    <x:row r="47">
      <x:c r="A47" s="174" t="str">
        <x:v>Zotero Release Gate</x:v>
      </x:c>
      <x:c r="B47" s="174" t="str">
        <x:v>Controlled RIS/BibTeX test set imported</x:v>
      </x:c>
      <x:c r="C47" s="174" t="str">
        <x:v>Pending</x:v>
      </x:c>
      <x:c r="D47" s="174" t="str">
        <x:v>Not executed</x:v>
      </x:c>
      <x:c r="E47" s="174" t="str">
        <x:v>Write test prohibited until target/API available</x:v>
      </x:c>
      <x:c r="F47" s="370"/>
      <x:c r="G47" s="370"/>
      <x:c r="H47" s="370"/>
      <x:c r="I47" s="370"/>
      <x:c r="J47" s="370"/>
    </x:row>
    <x:row r="48">
      <x:c r="A48" s="174" t="str">
        <x:v>Zotero Release Gate</x:v>
      </x:c>
      <x:c r="B48" s="174" t="str">
        <x:v>DOI normalization verified</x:v>
      </x:c>
      <x:c r="C48" s="174" t="str">
        <x:v>Pending</x:v>
      </x:c>
      <x:c r="D48" s="174" t="str">
        <x:v>Not executed</x:v>
      </x:c>
      <x:c r="E48" s="174" t="str">
        <x:v>Controlled import not executed</x:v>
      </x:c>
      <x:c r="F48" s="370"/>
      <x:c r="G48" s="370"/>
      <x:c r="H48" s="370"/>
      <x:c r="I48" s="370"/>
      <x:c r="J48" s="370"/>
    </x:row>
    <x:row r="49">
      <x:c r="A49" s="174" t="str">
        <x:v>Zotero Release Gate</x:v>
      </x:c>
      <x:c r="B49" s="174" t="str">
        <x:v>Duplicate detection verified</x:v>
      </x:c>
      <x:c r="C49" s="174" t="str">
        <x:v>Pending</x:v>
      </x:c>
      <x:c r="D49" s="174" t="str">
        <x:v>Not executed</x:v>
      </x:c>
      <x:c r="E49" s="174" t="str">
        <x:v>Controlled import not executed</x:v>
      </x:c>
      <x:c r="F49" s="370"/>
      <x:c r="G49" s="370"/>
      <x:c r="H49" s="370"/>
      <x:c r="I49" s="370"/>
      <x:c r="J49" s="370"/>
    </x:row>
    <x:row r="50">
      <x:c r="A50" s="174" t="str">
        <x:v>Zotero Release Gate</x:v>
      </x:c>
      <x:c r="B50" s="174" t="str">
        <x:v>Controlled duplicate merge executed</x:v>
      </x:c>
      <x:c r="C50" s="174" t="str">
        <x:v>Pending</x:v>
      </x:c>
      <x:c r="D50" s="174" t="str">
        <x:v>Not executed</x:v>
      </x:c>
      <x:c r="E50" s="174" t="str">
        <x:v>No verified test records</x:v>
      </x:c>
      <x:c r="F50" s="370"/>
      <x:c r="G50" s="370"/>
      <x:c r="H50" s="370"/>
      <x:c r="I50" s="370"/>
      <x:c r="J50" s="370"/>
    </x:row>
    <x:row r="51">
      <x:c r="A51" s="174" t="str">
        <x:v>Zotero Release Gate</x:v>
      </x:c>
      <x:c r="B51" s="174" t="str">
        <x:v>Preservation of tags, notes, attachments verified</x:v>
      </x:c>
      <x:c r="C51" s="174" t="str">
        <x:v>Pending</x:v>
      </x:c>
      <x:c r="D51" s="174" t="str">
        <x:v>Not executed</x:v>
      </x:c>
      <x:c r="E51" s="174" t="str">
        <x:v>No merge executed</x:v>
      </x:c>
      <x:c r="F51" s="370"/>
      <x:c r="G51" s="370"/>
      <x:c r="H51" s="370"/>
      <x:c r="I51" s="370"/>
      <x:c r="J51" s="370"/>
    </x:row>
    <x:row r="52">
      <x:c r="A52" s="174" t="str">
        <x:v>Zotero Release Gate</x:v>
      </x:c>
      <x:c r="B52" s="174" t="str">
        <x:v>BibTeX export verified</x:v>
      </x:c>
      <x:c r="C52" s="174" t="str">
        <x:v>Pending</x:v>
      </x:c>
      <x:c r="D52" s="174" t="str">
        <x:v>Not executed</x:v>
      </x:c>
      <x:c r="E52" s="174" t="str">
        <x:v>API unavailable</x:v>
      </x:c>
      <x:c r="F52" s="370"/>
      <x:c r="G52" s="370"/>
      <x:c r="H52" s="370"/>
      <x:c r="I52" s="370"/>
      <x:c r="J52" s="370"/>
    </x:row>
    <x:row r="53">
      <x:c r="A53" s="174" t="str">
        <x:v>Zotero Release Gate</x:v>
      </x:c>
      <x:c r="B53" s="174" t="str">
        <x:v>RIS export verified</x:v>
      </x:c>
      <x:c r="C53" s="174" t="str">
        <x:v>Pending</x:v>
      </x:c>
      <x:c r="D53" s="174" t="str">
        <x:v>Not executed</x:v>
      </x:c>
      <x:c r="E53" s="174" t="str">
        <x:v>API unavailable</x:v>
      </x:c>
      <x:c r="F53" s="370"/>
      <x:c r="G53" s="370"/>
      <x:c r="H53" s="370"/>
      <x:c r="I53" s="370"/>
      <x:c r="J53" s="370"/>
    </x:row>
    <x:row r="54">
      <x:c r="A54" s="174" t="str">
        <x:v>Zotero Release Gate</x:v>
      </x:c>
      <x:c r="B54" s="174" t="str">
        <x:v>Zotero Desktop version and timestamp recorded</x:v>
      </x:c>
      <x:c r="C54" s="174" t="str">
        <x:v>Blocked</x:v>
      </x:c>
      <x:c r="D54" s="174" t="str">
        <x:v>Test timestamp 2026-08-27T02:35:39.701Z; version unavailable</x:v>
      </x:c>
      <x:c r="E54" s="174" t="str">
        <x:v>Zotero profile/API unavailable</x:v>
      </x:c>
      <x:c r="F54" s="370"/>
      <x:c r="G54" s="370"/>
      <x:c r="H54" s="370"/>
      <x:c r="I54" s="370"/>
      <x:c r="J54" s="370"/>
    </x:row>
    <x:row r="55">
      <x:c r="A55" s="174" t="str">
        <x:v>Zotero Release Gate</x:v>
      </x:c>
      <x:c r="B55" s="174" t="str">
        <x:v>ZOTERO — PASS</x:v>
      </x:c>
      <x:c r="C55" s="174" t="str">
        <x:v>Blocked</x:v>
      </x:c>
      <x:c r="D55" s="174" t="str">
        <x:v>PASS conditions not met</x:v>
      </x:c>
      <x:c r="E55" s="174" t="str">
        <x:v>Gate remains closed</x:v>
      </x:c>
      <x:c r="F55" s="370"/>
      <x:c r="G55" s="370"/>
      <x:c r="H55" s="370"/>
      <x:c r="I55" s="370"/>
      <x:c r="J55" s="370"/>
    </x:row>
    <x:row r="56">
      <x:c r="A56" s="174" t="str">
        <x:v>Definitive evidence identification</x:v>
      </x:c>
      <x:c r="B56" s="174" t="str">
        <x:v>PubMed A/B/C</x:v>
      </x:c>
      <x:c r="C56" s="174" t="str">
        <x:v>Locked</x:v>
      </x:c>
      <x:c r="D56" s="174" t="str">
        <x:v>Not started</x:v>
      </x:c>
      <x:c r="E56" s="174" t="str">
        <x:v>Locked until ZOTERO PASS</x:v>
      </x:c>
      <x:c r="F56" s="370"/>
      <x:c r="G56" s="370"/>
      <x:c r="H56" s="370"/>
      <x:c r="I56" s="370"/>
      <x:c r="J56" s="370"/>
    </x:row>
    <x:row r="57">
      <x:c r="A57" s="174" t="str">
        <x:v>Definitive evidence identification</x:v>
      </x:c>
      <x:c r="B57" s="174" t="str">
        <x:v>Scopus A/B/C</x:v>
      </x:c>
      <x:c r="C57" s="174" t="str">
        <x:v>Locked</x:v>
      </x:c>
      <x:c r="D57" s="174" t="str">
        <x:v>Not started</x:v>
      </x:c>
      <x:c r="E57" s="174" t="str">
        <x:v>Locked until ZOTERO PASS</x:v>
      </x:c>
      <x:c r="F57" s="370"/>
      <x:c r="G57" s="370"/>
      <x:c r="H57" s="370"/>
      <x:c r="I57" s="370"/>
      <x:c r="J57" s="370"/>
    </x:row>
    <x:row r="58">
      <x:c r="A58" s="174" t="str">
        <x:v>Definitive evidence identification</x:v>
      </x:c>
      <x:c r="B58" s="174" t="str">
        <x:v>Web of Science A/B/C</x:v>
      </x:c>
      <x:c r="C58" s="174" t="str">
        <x:v>Locked</x:v>
      </x:c>
      <x:c r="D58" s="174" t="str">
        <x:v>Not started</x:v>
      </x:c>
      <x:c r="E58" s="174" t="str">
        <x:v>Locked until ZOTERO PASS</x:v>
      </x:c>
      <x:c r="F58" s="370"/>
      <x:c r="G58" s="370"/>
      <x:c r="H58" s="370"/>
      <x:c r="I58" s="370"/>
      <x:c r="J58" s="370"/>
    </x:row>
    <x:row r="59">
      <x:c r="A59" s="174" t="str">
        <x:v>Definitive evidence identification</x:v>
      </x:c>
      <x:c r="B59" s="174" t="str">
        <x:v>SPORTDiscus A/B/C</x:v>
      </x:c>
      <x:c r="C59" s="174" t="str">
        <x:v>Locked</x:v>
      </x:c>
      <x:c r="D59" s="174" t="str">
        <x:v>Not started</x:v>
      </x:c>
      <x:c r="E59" s="174" t="str">
        <x:v>Locked until ZOTERO PASS</x:v>
      </x:c>
      <x:c r="F59" s="370"/>
      <x:c r="G59" s="370"/>
      <x:c r="H59" s="370"/>
      <x:c r="I59" s="370"/>
      <x:c r="J59" s="370"/>
    </x:row>
    <x:row r="60">
      <x:c r="A60" s="174" t="str">
        <x:v>Definitive evidence identification</x:v>
      </x:c>
      <x:c r="B60" s="174" t="str">
        <x:v>CINAHL A/B/C</x:v>
      </x:c>
      <x:c r="C60" s="174" t="str">
        <x:v>Locked</x:v>
      </x:c>
      <x:c r="D60" s="174" t="str">
        <x:v>Not started</x:v>
      </x:c>
      <x:c r="E60" s="174" t="str">
        <x:v>Locked until ZOTERO PASS</x:v>
      </x:c>
      <x:c r="F60" s="370"/>
      <x:c r="G60" s="370"/>
      <x:c r="H60" s="370"/>
      <x:c r="I60" s="370"/>
      <x:c r="J60" s="370"/>
    </x:row>
    <x:row r="61">
      <x:c r="A61" s="174" t="str">
        <x:v>Definitive evidence identification</x:v>
      </x:c>
      <x:c r="B61" s="174" t="str">
        <x:v>PsycINFO A/B/C</x:v>
      </x:c>
      <x:c r="C61" s="174" t="str">
        <x:v>Locked</x:v>
      </x:c>
      <x:c r="D61" s="174" t="str">
        <x:v>Not started</x:v>
      </x:c>
      <x:c r="E61" s="174" t="str">
        <x:v>Locked until ZOTERO PASS</x:v>
      </x:c>
      <x:c r="F61" s="370"/>
      <x:c r="G61" s="370"/>
      <x:c r="H61" s="370"/>
      <x:c r="I61" s="370"/>
      <x:c r="J61" s="370"/>
    </x:row>
    <x:row r="62">
      <x:c r="A62" s="174" t="str">
        <x:v>Definitive evidence identification</x:v>
      </x:c>
      <x:c r="B62" s="174" t="str">
        <x:v>Embase A/B/C</x:v>
      </x:c>
      <x:c r="C62" s="174" t="str">
        <x:v>Locked</x:v>
      </x:c>
      <x:c r="D62" s="174" t="str">
        <x:v>Not started</x:v>
      </x:c>
      <x:c r="E62" s="174" t="str">
        <x:v>Locked until ZOTERO PASS</x:v>
      </x:c>
      <x:c r="F62" s="370"/>
      <x:c r="G62" s="370"/>
      <x:c r="H62" s="370"/>
      <x:c r="I62" s="370"/>
      <x:c r="J62" s="370"/>
    </x:row>
    <x:row r="63">
      <x:c r="A63" s="174" t="str">
        <x:v>Definitive evidence identification</x:v>
      </x:c>
      <x:c r="B63" s="174" t="str">
        <x:v>Cochrane A/B/C</x:v>
      </x:c>
      <x:c r="C63" s="174" t="str">
        <x:v>Locked</x:v>
      </x:c>
      <x:c r="D63" s="174" t="str">
        <x:v>Not started</x:v>
      </x:c>
      <x:c r="E63" s="174" t="str">
        <x:v>Locked until ZOTERO PASS</x:v>
      </x:c>
      <x:c r="F63" s="370"/>
      <x:c r="G63" s="370"/>
      <x:c r="H63" s="370"/>
      <x:c r="I63" s="370"/>
      <x:c r="J63" s="370"/>
    </x:row>
    <x:row r="64">
      <x:c r="A64" s="174" t="str">
        <x:v>Definitive evidence identification</x:v>
      </x:c>
      <x:c r="B64" s="174" t="str">
        <x:v>SciELO A/B/C</x:v>
      </x:c>
      <x:c r="C64" s="174" t="str">
        <x:v>Locked</x:v>
      </x:c>
      <x:c r="D64" s="174" t="str">
        <x:v>Not started</x:v>
      </x:c>
      <x:c r="E64" s="174" t="str">
        <x:v>Locked until ZOTERO PASS</x:v>
      </x:c>
      <x:c r="F64" s="370"/>
      <x:c r="G64" s="370"/>
      <x:c r="H64" s="370"/>
      <x:c r="I64" s="370"/>
      <x:c r="J64" s="370"/>
    </x:row>
    <x:row r="65">
      <x:c r="A65" s="174" t="str">
        <x:v>Definitive evidence identification</x:v>
      </x:c>
      <x:c r="B65" s="174" t="str">
        <x:v>LILACS A/B/C</x:v>
      </x:c>
      <x:c r="C65" s="174" t="str">
        <x:v>Locked</x:v>
      </x:c>
      <x:c r="D65" s="174" t="str">
        <x:v>Not started</x:v>
      </x:c>
      <x:c r="E65" s="174" t="str">
        <x:v>Locked until ZOTERO PASS</x:v>
      </x:c>
      <x:c r="F65" s="370"/>
      <x:c r="G65" s="370"/>
      <x:c r="H65" s="370"/>
      <x:c r="I65" s="370"/>
      <x:c r="J65" s="370"/>
    </x:row>
    <x:row r="66">
      <x:c r="A66" s="174" t="str">
        <x:v>Definitive evidence identification</x:v>
      </x:c>
      <x:c r="B66" s="174" t="str">
        <x:v>Brazilian official/grey literature</x:v>
      </x:c>
      <x:c r="C66" s="174" t="str">
        <x:v>Locked</x:v>
      </x:c>
      <x:c r="D66" s="174" t="str">
        <x:v>Not started</x:v>
      </x:c>
      <x:c r="E66" s="174" t="str">
        <x:v>Locked until ZOTERO PASS</x:v>
      </x:c>
      <x:c r="F66" s="370"/>
      <x:c r="G66" s="370"/>
      <x:c r="H66" s="370"/>
      <x:c r="I66" s="370"/>
      <x:c r="J66" s="370"/>
    </x:row>
    <x:row r="67">
      <x:c r="A67" s="174" t="str">
        <x:v>Definitive evidence identification</x:v>
      </x:c>
      <x:c r="B67" s="174" t="str">
        <x:v>Citation chasing</x:v>
      </x:c>
      <x:c r="C67" s="174" t="str">
        <x:v>Locked</x:v>
      </x:c>
      <x:c r="D67" s="174" t="str">
        <x:v>Not started</x:v>
      </x:c>
      <x:c r="E67" s="174" t="str">
        <x:v>Locked until ZOTERO PASS</x:v>
      </x:c>
      <x:c r="F67" s="370"/>
      <x:c r="G67" s="370"/>
      <x:c r="H67" s="370"/>
      <x:c r="I67" s="370"/>
      <x:c r="J67" s="370"/>
    </x:row>
    <x:row r="68">
      <x:c r="A68" s="174" t="str">
        <x:v>Definitive evidence identification</x:v>
      </x:c>
      <x:c r="B68" s="174" t="str">
        <x:v>Export and bibliographic normalization</x:v>
      </x:c>
      <x:c r="C68" s="174" t="str">
        <x:v>Locked</x:v>
      </x:c>
      <x:c r="D68" s="174" t="str">
        <x:v>Not started</x:v>
      </x:c>
      <x:c r="E68" s="174" t="str">
        <x:v>Locked until ZOTERO PASS</x:v>
      </x:c>
      <x:c r="F68" s="370"/>
      <x:c r="G68" s="370"/>
      <x:c r="H68" s="370"/>
      <x:c r="I68" s="370"/>
      <x:c r="J68" s="370"/>
    </x:row>
    <x:row r="69">
      <x:c r="A69" s="174" t="str">
        <x:v>Definitive evidence identification</x:v>
      </x:c>
      <x:c r="B69" s="174" t="str">
        <x:v>Zotero deduplication</x:v>
      </x:c>
      <x:c r="C69" s="174" t="str">
        <x:v>Locked</x:v>
      </x:c>
      <x:c r="D69" s="174" t="str">
        <x:v>Not started</x:v>
      </x:c>
      <x:c r="E69" s="174" t="str">
        <x:v>Locked until ZOTERO PASS</x:v>
      </x:c>
      <x:c r="F69" s="370"/>
      <x:c r="G69" s="370"/>
      <x:c r="H69" s="370"/>
      <x:c r="I69" s="370"/>
      <x:c r="J69" s="370"/>
    </x:row>
    <x:row r="70">
      <x:c r="A70" s="174" t="str">
        <x:v>Synthesis &amp; framework</x:v>
      </x:c>
      <x:c r="B70" s="174" t="str">
        <x:v>Evidence map by operational-readiness domain</x:v>
      </x:c>
      <x:c r="C70" s="174" t="str">
        <x:v>Pending</x:v>
      </x:c>
      <x:c r="D70" s="174" t="str">
        <x:v>Not started</x:v>
      </x:c>
      <x:c r="E70" s="174" t="str">
        <x:v>Requires evidence identification and appraisal</x:v>
      </x:c>
      <x:c r="F70" s="370"/>
      <x:c r="G70" s="370"/>
      <x:c r="H70" s="370"/>
      <x:c r="I70" s="370"/>
      <x:c r="J70" s="370"/>
    </x:row>
    <x:row r="71">
      <x:c r="A71" s="174" t="str">
        <x:v>Synthesis &amp; framework</x:v>
      </x:c>
      <x:c r="B71" s="174" t="str">
        <x:v>Brazil × international evidence matrix</x:v>
      </x:c>
      <x:c r="C71" s="174" t="str">
        <x:v>Pending</x:v>
      </x:c>
      <x:c r="D71" s="174" t="str">
        <x:v>Not started</x:v>
      </x:c>
      <x:c r="E71" s="174" t="str">
        <x:v>Requires evidence identification and appraisal</x:v>
      </x:c>
      <x:c r="F71" s="370"/>
      <x:c r="G71" s="370"/>
      <x:c r="H71" s="370"/>
      <x:c r="I71" s="370"/>
      <x:c r="J71" s="370"/>
    </x:row>
    <x:row r="72">
      <x:c r="A72" s="174" t="str">
        <x:v>Synthesis &amp; framework</x:v>
      </x:c>
      <x:c r="B72" s="174" t="str">
        <x:v>Transferability assessment</x:v>
      </x:c>
      <x:c r="C72" s="174" t="str">
        <x:v>Pending</x:v>
      </x:c>
      <x:c r="D72" s="174" t="str">
        <x:v>Not started</x:v>
      </x:c>
      <x:c r="E72" s="174" t="str">
        <x:v>Requires evidence identification and appraisal</x:v>
      </x:c>
      <x:c r="F72" s="370"/>
      <x:c r="G72" s="370"/>
      <x:c r="H72" s="370"/>
      <x:c r="I72" s="370"/>
      <x:c r="J72" s="370"/>
    </x:row>
    <x:row r="73">
      <x:c r="A73" s="174" t="str">
        <x:v>Synthesis &amp; framework</x:v>
      </x:c>
      <x:c r="B73" s="174" t="str">
        <x:v>Implementation determinants/outcomes mapping</x:v>
      </x:c>
      <x:c r="C73" s="174" t="str">
        <x:v>Pending</x:v>
      </x:c>
      <x:c r="D73" s="174" t="str">
        <x:v>Not started</x:v>
      </x:c>
      <x:c r="E73" s="174" t="str">
        <x:v>Requires evidence identification and appraisal</x:v>
      </x:c>
      <x:c r="F73" s="370"/>
      <x:c r="G73" s="370"/>
      <x:c r="H73" s="370"/>
      <x:c r="I73" s="370"/>
      <x:c r="J73" s="370"/>
    </x:row>
    <x:row r="74">
      <x:c r="A74" s="174" t="str">
        <x:v>Synthesis &amp; framework</x:v>
      </x:c>
      <x:c r="B74" s="174" t="str">
        <x:v>Claim → source → result/page traceability</x:v>
      </x:c>
      <x:c r="C74" s="174" t="str">
        <x:v>Pending</x:v>
      </x:c>
      <x:c r="D74" s="174" t="str">
        <x:v>Not started</x:v>
      </x:c>
      <x:c r="E74" s="174" t="str">
        <x:v>Requires evidence identification and appraisal</x:v>
      </x:c>
      <x:c r="F74" s="370"/>
      <x:c r="G74" s="370"/>
      <x:c r="H74" s="370"/>
      <x:c r="I74" s="370"/>
      <x:c r="J74" s="370"/>
    </x:row>
    <x:row r="75">
      <x:c r="A75" s="174" t="str">
        <x:v>Synthesis &amp; framework</x:v>
      </x:c>
      <x:c r="B75" s="174" t="str">
        <x:v>Candidate framework domains assessed</x:v>
      </x:c>
      <x:c r="C75" s="174" t="str">
        <x:v>Pending</x:v>
      </x:c>
      <x:c r="D75" s="174" t="str">
        <x:v>Not started</x:v>
      </x:c>
      <x:c r="E75" s="174" t="str">
        <x:v>Requires evidence identification and appraisal</x:v>
      </x:c>
      <x:c r="F75" s="370"/>
      <x:c r="G75" s="370"/>
      <x:c r="H75" s="370"/>
      <x:c r="I75" s="370"/>
      <x:c r="J75" s="370"/>
    </x:row>
    <x:row r="76">
      <x:c r="A76" s="174" t="str">
        <x:v>Synthesis &amp; framework</x:v>
      </x:c>
      <x:c r="B76" s="174" t="str">
        <x:v>Proposed Brazilian Operational Readiness Framework derived</x:v>
      </x:c>
      <x:c r="C76" s="174" t="str">
        <x:v>Pending</x:v>
      </x:c>
      <x:c r="D76" s="174" t="str">
        <x:v>Not started</x:v>
      </x:c>
      <x:c r="E76" s="174" t="str">
        <x:v>Requires evidence identification and appraisal</x:v>
      </x:c>
      <x:c r="F76" s="370"/>
      <x:c r="G76" s="370"/>
      <x:c r="H76" s="370"/>
      <x:c r="I76" s="370"/>
      <x:c r="J76" s="370"/>
    </x:row>
    <x:row r="77">
      <x:c r="A77" s="174" t="str">
        <x:v>Synthesis &amp; framework</x:v>
      </x:c>
      <x:c r="B77" s="174" t="str">
        <x:v>Future empirical validation agenda defined</x:v>
      </x:c>
      <x:c r="C77" s="174" t="str">
        <x:v>Pending</x:v>
      </x:c>
      <x:c r="D77" s="174" t="str">
        <x:v>Not started</x:v>
      </x:c>
      <x:c r="E77" s="174" t="str">
        <x:v>Requires evidence identification and appraisal</x:v>
      </x:c>
      <x:c r="F77" s="370"/>
      <x:c r="G77" s="370"/>
      <x:c r="H77" s="370"/>
      <x:c r="I77" s="370"/>
      <x:c r="J77" s="370"/>
    </x:row>
    <x:row r="78">
      <x:c r="A78" s="174" t="str">
        <x:v>Synthesis &amp; framework</x:v>
      </x:c>
      <x:c r="B78" s="174" t="str">
        <x:v>Potential digital tool treated as separate future validation phase</x:v>
      </x:c>
      <x:c r="C78" s="174" t="str">
        <x:v>Pending</x:v>
      </x:c>
      <x:c r="D78" s="174" t="str">
        <x:v>Not started</x:v>
      </x:c>
      <x:c r="E78" s="174" t="str">
        <x:v>Requires evidence identification and appraisal</x:v>
      </x:c>
      <x:c r="F78" s="370"/>
      <x:c r="G78" s="370"/>
      <x:c r="H78" s="370"/>
      <x:c r="I78" s="370"/>
      <x:c r="J78" s="370"/>
    </x:row>
  </x:sheetData>
  <x:mergeCells>
    <x:mergeCell ref="A1:J1"/>
    <x:mergeCell ref="A2:J2"/>
  </x:mergeCells>
  <x:conditionalFormatting sqref="C5:C78">
    <x:cfRule type="containsText" dxfId="22" priority="1" operator="containsText" text="Complete"/>
    <x:cfRule type="containsText" dxfId="23" priority="2" operator="containsText" text="Pending"/>
    <x:cfRule type="containsText" dxfId="24" priority="3" operator="containsText" text="Blocked"/>
    <x:cfRule type="containsText" dxfId="25" priority="4" operator="containsText" text="Locked"/>
  </x:conditionalFormatting>
  <x:conditionalFormatting sqref="J5:J10">
    <x:cfRule type="dataBar" priority="5">
      <x:dataBar>
        <x:cfvo type="min"/>
        <x:cfvo type="max"/>
        <x:color rgb="FF00A6C7"/>
      </x:dataBar>
      <x:extLst>
        <x:ext xmlns:x14="http://schemas.microsoft.com/office/spreadsheetml/2009/9/main" uri="{B025F937-C7B1-47D3-B67F-A62EFF666E3E}">
          <x14:id>{41919058-8635-0662-A963-00EC47D0CB54}</x14:id>
        </x:ext>
      </x:extLst>
    </x:cfRule>
  </x:conditionalFormatting>
  <x:pageMargins left="0.7" right="0.7" top="0.75" bottom="0.75" header="0.3" footer="0.3"/>
  <x:tableParts count="1">
    <x:tablePart xmlns:r="http://schemas.openxmlformats.org/officeDocument/2006/relationships" r:id="Rc59388c1b7ec43d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41919058-8635-0662-A963-00EC47D0CB54}">
            <x14:dataBar gradient="1">
              <x14:cfvo type="min"/>
              <x14:cfvo type="max"/>
              <x14:fillColor rgb="FF00A6C7"/>
            </x14:dataBar>
          </x14:cfRule>
          <xm:sqref>J5:J10</xm:sqref>
        </x14:conditionalFormatting>
      </x14:conditionalFormattings>
    </x:ext>
  </x:extLst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34" hidden="0" customWidth="1"/>
    <x:col min="4" max="4" width="3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</x:cols>
  <x:sheetData>
    <x:row r="1" ht="34" customHeight="1">
      <x:c r="A1" s="366" t="str">
        <x:v>CONTROLLED VOCABULARIES &amp; DECISION RULES</x:v>
      </x:c>
      <x:c r="B1" s="367"/>
      <x:c r="C1" s="367"/>
      <x:c r="D1" s="367"/>
      <x:c r="E1" s="367"/>
      <x:c r="F1" s="367"/>
      <x:c r="G1" s="367"/>
      <x:c r="H1" s="367"/>
      <x:c r="I1" s="367"/>
      <x:c r="J1" s="367"/>
      <x:c r="K1" s="367"/>
      <x:c r="L1" s="367"/>
      <x:c r="M1" s="367"/>
      <x:c r="N1" s="367"/>
      <x:c r="O1" s="367"/>
      <x:c r="P1" s="368"/>
      <x:c r="Q1" s="370"/>
      <x:c r="R1" s="370"/>
      <x:c r="S1" s="370"/>
      <x:c r="T1" s="370"/>
      <x:c r="U1" s="370"/>
      <x:c r="V1" s="370"/>
    </x:row>
    <x:row r="2" ht="30" customHeight="1">
      <x:c r="A2" s="369" t="str">
        <x:v>Visible source of truth for permitted categorical values. Validation lists in operational sheets mirror these values.</x:v>
      </x:c>
      <x:c r="B2" s="369"/>
      <x:c r="C2" s="369"/>
      <x:c r="D2" s="369"/>
      <x:c r="E2" s="369"/>
      <x:c r="F2" s="369"/>
      <x:c r="G2" s="369"/>
      <x:c r="H2" s="369"/>
      <x:c r="I2" s="369"/>
      <x:c r="J2" s="369"/>
      <x:c r="K2" s="369"/>
      <x:c r="L2" s="369"/>
      <x:c r="M2" s="369"/>
      <x:c r="N2" s="369"/>
      <x:c r="O2" s="369"/>
      <x:c r="P2" s="369"/>
      <x:c r="Q2" s="370"/>
      <x:c r="R2" s="370"/>
      <x:c r="S2" s="370"/>
      <x:c r="T2" s="370"/>
      <x:c r="U2" s="370"/>
      <x:c r="V2" s="370"/>
    </x:row>
    <x:row r="3">
      <x:c r="A3" s="370"/>
      <x:c r="B3" s="370"/>
      <x:c r="C3" s="370"/>
      <x:c r="D3" s="370"/>
      <x:c r="E3" s="370"/>
      <x:c r="F3" s="370"/>
      <x:c r="G3" s="370"/>
      <x:c r="H3" s="370"/>
      <x:c r="I3" s="370"/>
      <x:c r="J3" s="370"/>
      <x:c r="K3" s="370"/>
      <x:c r="L3" s="370"/>
      <x:c r="M3" s="370"/>
      <x:c r="N3" s="370"/>
      <x:c r="O3" s="370"/>
      <x:c r="P3" s="370"/>
      <x:c r="Q3" s="370"/>
      <x:c r="R3" s="370"/>
      <x:c r="S3" s="370"/>
      <x:c r="T3" s="370"/>
      <x:c r="U3" s="370"/>
      <x:c r="V3" s="370"/>
    </x:row>
    <x:row r="4">
      <x:c r="A4" s="371" t="str">
        <x:v>workflow_status</x:v>
      </x:c>
      <x:c r="B4" s="373" t="str">
        <x:v>priority</x:v>
      </x:c>
      <x:c r="C4" s="371" t="str">
        <x:v>use_decision</x:v>
      </x:c>
      <x:c r="D4" s="373" t="str">
        <x:v>evidence_role</x:v>
      </x:c>
      <x:c r="E4" s="371" t="str">
        <x:v>evidence_family</x:v>
      </x:c>
      <x:c r="F4" s="373" t="str">
        <x:v>record_stage</x:v>
      </x:c>
      <x:c r="G4" s="371" t="str">
        <x:v>peer_review</x:v>
      </x:c>
      <x:c r="H4" s="373" t="str">
        <x:v>open_access</x:v>
      </x:c>
      <x:c r="I4" s="371" t="str">
        <x:v>methodological_quality</x:v>
      </x:c>
      <x:c r="J4" s="373" t="str">
        <x:v>risk_of_bias</x:v>
      </x:c>
      <x:c r="K4" s="371" t="str">
        <x:v>metadata_verified</x:v>
      </x:c>
      <x:c r="L4" s="373" t="str">
        <x:v>identifiers_verified</x:v>
      </x:c>
      <x:c r="M4" s="371" t="str">
        <x:v>integrity_checked</x:v>
      </x:c>
      <x:c r="N4" s="373" t="str">
        <x:v>correction_retraction</x:v>
      </x:c>
      <x:c r="O4" s="371" t="str">
        <x:v>integrity_status</x:v>
      </x:c>
      <x:c r="P4" s="373" t="str">
        <x:v>safety_override</x:v>
      </x:c>
      <x:c r="Q4" s="371" t="str">
        <x:v>horizon</x:v>
      </x:c>
      <x:c r="R4" s="373" t="str">
        <x:v>claim_strength</x:v>
      </x:c>
      <x:c r="S4" s="371" t="str">
        <x:v>lawful_pdf</x:v>
      </x:c>
      <x:c r="T4" s="373" t="str">
        <x:v>fulltext_status</x:v>
      </x:c>
      <x:c r="U4" s="371" t="str">
        <x:v>zotero_note_status</x:v>
      </x:c>
      <x:c r="V4" s="373" t="str">
        <x:v>adjudication_status</x:v>
      </x:c>
    </x:row>
    <x:row r="5">
      <x:c r="A5" s="175" t="str">
        <x:v>Identified</x:v>
      </x:c>
      <x:c r="B5" s="430" t="str">
        <x:v>P1 — Critical</x:v>
      </x:c>
      <x:c r="C5" s="175" t="str">
        <x:v>Pending</x:v>
      </x:c>
      <x:c r="D5" s="430" t="str">
        <x:v>Definition</x:v>
      </x:c>
      <x:c r="E5" s="175" t="str">
        <x:v>A — Core</x:v>
      </x:c>
      <x:c r="F5" s="430" t="str">
        <x:v>PRE-GATE TEMPLATE</x:v>
      </x:c>
      <x:c r="G5" s="175" t="str">
        <x:v>Peer reviewed</x:v>
      </x:c>
      <x:c r="H5" s="430" t="str">
        <x:v>Yes</x:v>
      </x:c>
      <x:c r="I5" s="175" t="str">
        <x:v>High</x:v>
      </x:c>
      <x:c r="J5" s="430" t="str">
        <x:v>Low</x:v>
      </x:c>
      <x:c r="K5" s="175" t="str">
        <x:v>Yes</x:v>
      </x:c>
      <x:c r="L5" s="430" t="str">
        <x:v>Yes</x:v>
      </x:c>
      <x:c r="M5" s="175" t="str">
        <x:v>Yes</x:v>
      </x:c>
      <x:c r="N5" s="430" t="str">
        <x:v>Clear</x:v>
      </x:c>
      <x:c r="O5" s="175" t="str">
        <x:v>Verified — clear</x:v>
      </x:c>
      <x:c r="P5" s="430" t="str">
        <x:v>No</x:v>
      </x:c>
      <x:c r="Q5" s="175" t="str">
        <x:v>0–30 days</x:v>
      </x:c>
      <x:c r="R5" s="430" t="str">
        <x:v>Strong</x:v>
      </x:c>
      <x:c r="S5" s="175" t="str">
        <x:v>Yes</x:v>
      </x:c>
      <x:c r="T5" s="430" t="str">
        <x:v>Available lawful</x:v>
      </x:c>
      <x:c r="U5" s="175" t="str">
        <x:v>Complete</x:v>
      </x:c>
      <x:c r="V5" s="430" t="str">
        <x:v>Not required</x:v>
      </x:c>
    </x:row>
    <x:row r="6">
      <x:c r="A6" s="175" t="str">
        <x:v>Metadata verification</x:v>
      </x:c>
      <x:c r="B6" s="430" t="str">
        <x:v>P2 — High</x:v>
      </x:c>
      <x:c r="C6" s="175" t="str">
        <x:v>Claim-ready</x:v>
      </x:c>
      <x:c r="D6" s="430" t="str">
        <x:v>Framework</x:v>
      </x:c>
      <x:c r="E6" s="175" t="str">
        <x:v>B — APHT / Medical Readiness</x:v>
      </x:c>
      <x:c r="F6" s="430" t="str">
        <x:v>IDENTIFIED</x:v>
      </x:c>
      <x:c r="G6" s="175" t="str">
        <x:v>Official / Institutional</x:v>
      </x:c>
      <x:c r="H6" s="430" t="str">
        <x:v>No</x:v>
      </x:c>
      <x:c r="I6" s="175" t="str">
        <x:v>Moderate</x:v>
      </x:c>
      <x:c r="J6" s="430" t="str">
        <x:v>Some concerns</x:v>
      </x:c>
      <x:c r="K6" s="175" t="str">
        <x:v>No</x:v>
      </x:c>
      <x:c r="L6" s="430" t="str">
        <x:v>No</x:v>
      </x:c>
      <x:c r="M6" s="175" t="str">
        <x:v>No</x:v>
      </x:c>
      <x:c r="N6" s="430" t="str">
        <x:v>Correction</x:v>
      </x:c>
      <x:c r="O6" s="175" t="str">
        <x:v>Verified — correction</x:v>
      </x:c>
      <x:c r="P6" s="430" t="str">
        <x:v>Yes</x:v>
      </x:c>
      <x:c r="Q6" s="175" t="str">
        <x:v>31–90 days</x:v>
      </x:c>
      <x:c r="R6" s="430" t="str">
        <x:v>Moderate</x:v>
      </x:c>
      <x:c r="S6" s="175" t="str">
        <x:v>No</x:v>
      </x:c>
      <x:c r="T6" s="430" t="str">
        <x:v>Pending</x:v>
      </x:c>
      <x:c r="U6" s="175" t="str">
        <x:v>Pending</x:v>
      </x:c>
      <x:c r="V6" s="430" t="str">
        <x:v>Pending</x:v>
      </x:c>
    </x:row>
    <x:row r="7">
      <x:c r="A7" s="175" t="str">
        <x:v>Integrity check</x:v>
      </x:c>
      <x:c r="B7" s="430" t="str">
        <x:v>P3 — Medium</x:v>
      </x:c>
      <x:c r="C7" s="175" t="str">
        <x:v>Contextual</x:v>
      </x:c>
      <x:c r="D7" s="430" t="str">
        <x:v>Indicator</x:v>
      </x:c>
      <x:c r="E7" s="175" t="str">
        <x:v>C — Implementation Science</x:v>
      </x:c>
      <x:c r="F7" s="430" t="str">
        <x:v>VERIFIED</x:v>
      </x:c>
      <x:c r="G7" s="175" t="str">
        <x:v>Preprint</x:v>
      </x:c>
      <x:c r="H7" s="430" t="str">
        <x:v>Hybrid</x:v>
      </x:c>
      <x:c r="I7" s="175" t="str">
        <x:v>Low</x:v>
      </x:c>
      <x:c r="J7" s="430" t="str">
        <x:v>High</x:v>
      </x:c>
      <x:c r="K7" s="175" t="str">
        <x:v>Pending</x:v>
      </x:c>
      <x:c r="L7" s="430" t="str">
        <x:v>Pending</x:v>
      </x:c>
      <x:c r="M7" s="175" t="str">
        <x:v>Pending</x:v>
      </x:c>
      <x:c r="N7" s="430" t="str">
        <x:v>Expression of Concern</x:v>
      </x:c>
      <x:c r="O7" s="175" t="str">
        <x:v>Expression of Concern</x:v>
      </x:c>
      <x:c r="P7" s="431" t="str">
        <x:v>Pending</x:v>
      </x:c>
      <x:c r="Q7" s="175" t="str">
        <x:v>3–12 months</x:v>
      </x:c>
      <x:c r="R7" s="430" t="str">
        <x:v>Weak</x:v>
      </x:c>
      <x:c r="S7" s="175" t="str">
        <x:v>Pending</x:v>
      </x:c>
      <x:c r="T7" s="430" t="str">
        <x:v>Unavailable</x:v>
      </x:c>
      <x:c r="U7" s="432" t="str">
        <x:v>Not required</x:v>
      </x:c>
      <x:c r="V7" s="431" t="str">
        <x:v>Resolved</x:v>
      </x:c>
    </x:row>
    <x:row r="8">
      <x:c r="A8" s="175" t="str">
        <x:v>Critical appraisal</x:v>
      </x:c>
      <x:c r="B8" s="431" t="str">
        <x:v>P4 — Low</x:v>
      </x:c>
      <x:c r="C8" s="432" t="str">
        <x:v>Not used</x:v>
      </x:c>
      <x:c r="D8" s="430" t="str">
        <x:v>Implementation</x:v>
      </x:c>
      <x:c r="E8" s="175" t="str">
        <x:v>Regional / Official</x:v>
      </x:c>
      <x:c r="F8" s="430" t="str">
        <x:v>APPRAISED</x:v>
      </x:c>
      <x:c r="G8" s="175" t="str">
        <x:v>Grey literature</x:v>
      </x:c>
      <x:c r="H8" s="431" t="str">
        <x:v>Unknown</x:v>
      </x:c>
      <x:c r="I8" s="175" t="str">
        <x:v>Critical</x:v>
      </x:c>
      <x:c r="J8" s="430" t="str">
        <x:v>Critical</x:v>
      </x:c>
      <x:c r="K8" s="432" t="str">
        <x:v>Not applicable</x:v>
      </x:c>
      <x:c r="L8" s="431" t="str">
        <x:v>Not applicable</x:v>
      </x:c>
      <x:c r="M8" s="432" t="str">
        <x:v>Not applicable</x:v>
      </x:c>
      <x:c r="N8" s="430" t="str">
        <x:v>Retracted</x:v>
      </x:c>
      <x:c r="O8" s="175" t="str">
        <x:v>Retracted</x:v>
      </x:c>
      <x:c r="P8" s="370"/>
      <x:c r="Q8" s="175" t="str">
        <x:v>&gt;12 months</x:v>
      </x:c>
      <x:c r="R8" s="430" t="str">
        <x:v>Contextual</x:v>
      </x:c>
      <x:c r="S8" s="432" t="str">
        <x:v>Not required</x:v>
      </x:c>
      <x:c r="T8" s="431" t="str">
        <x:v>Not required</x:v>
      </x:c>
      <x:c r="U8" s="370"/>
      <x:c r="V8" s="370"/>
    </x:row>
    <x:row r="9">
      <x:c r="A9" s="175" t="str">
        <x:v>Transferability</x:v>
      </x:c>
      <x:c r="B9" s="370"/>
      <x:c r="C9" s="370"/>
      <x:c r="D9" s="430" t="str">
        <x:v>Brazil context</x:v>
      </x:c>
      <x:c r="E9" s="175" t="str">
        <x:v>Citation Chasing</x:v>
      </x:c>
      <x:c r="F9" s="431" t="str">
        <x:v>CLAIM-READY</x:v>
      </x:c>
      <x:c r="G9" s="432" t="str">
        <x:v>Unclear</x:v>
      </x:c>
      <x:c r="H9" s="370"/>
      <x:c r="I9" s="432" t="str">
        <x:v>Pending</x:v>
      </x:c>
      <x:c r="J9" s="430" t="str">
        <x:v>Not applicable</x:v>
      </x:c>
      <x:c r="K9" s="370"/>
      <x:c r="L9" s="370"/>
      <x:c r="M9" s="370"/>
      <x:c r="N9" s="431" t="str">
        <x:v>Pending</x:v>
      </x:c>
      <x:c r="O9" s="432" t="str">
        <x:v>Pending</x:v>
      </x:c>
      <x:c r="P9" s="370"/>
      <x:c r="Q9" s="432" t="str">
        <x:v>Not applicable</x:v>
      </x:c>
      <x:c r="R9" s="430" t="str">
        <x:v>Not usable</x:v>
      </x:c>
      <x:c r="S9" s="370"/>
      <x:c r="T9" s="370"/>
      <x:c r="U9" s="370"/>
      <x:c r="V9" s="370"/>
    </x:row>
    <x:row r="10">
      <x:c r="A10" s="175" t="str">
        <x:v>Claim mapping</x:v>
      </x:c>
      <x:c r="B10" s="370"/>
      <x:c r="C10" s="370"/>
      <x:c r="D10" s="430" t="str">
        <x:v>Paradigm shift</x:v>
      </x:c>
      <x:c r="E10" s="432" t="str">
        <x:v>Seed / Pilot</x:v>
      </x:c>
      <x:c r="F10" s="370"/>
      <x:c r="G10" s="370"/>
      <x:c r="H10" s="370"/>
      <x:c r="I10" s="370"/>
      <x:c r="J10" s="431" t="str">
        <x:v>Pending</x:v>
      </x:c>
      <x:c r="K10" s="370"/>
      <x:c r="L10" s="370"/>
      <x:c r="M10" s="370"/>
      <x:c r="N10" s="370"/>
      <x:c r="O10" s="370"/>
      <x:c r="P10" s="370"/>
      <x:c r="Q10" s="370"/>
      <x:c r="R10" s="431" t="str">
        <x:v>Pending</x:v>
      </x:c>
      <x:c r="S10" s="370"/>
      <x:c r="T10" s="370"/>
      <x:c r="U10" s="370"/>
      <x:c r="V10" s="370"/>
    </x:row>
    <x:row r="11">
      <x:c r="A11" s="175" t="str">
        <x:v>Claim-ready</x:v>
      </x:c>
      <x:c r="B11" s="370"/>
      <x:c r="C11" s="370"/>
      <x:c r="D11" s="430" t="str">
        <x:v>Empirical evidence</x:v>
      </x:c>
      <x:c r="E11" s="370"/>
      <x:c r="F11" s="370"/>
      <x:c r="G11" s="370"/>
      <x:c r="H11" s="370"/>
      <x:c r="I11" s="370"/>
      <x:c r="J11" s="370"/>
      <x:c r="K11" s="370"/>
      <x:c r="L11" s="370"/>
      <x:c r="M11" s="370"/>
      <x:c r="N11" s="370"/>
      <x:c r="O11" s="370"/>
      <x:c r="P11" s="370"/>
      <x:c r="Q11" s="370"/>
      <x:c r="R11" s="370"/>
      <x:c r="S11" s="370"/>
      <x:c r="T11" s="370"/>
      <x:c r="U11" s="370"/>
      <x:c r="V11" s="370"/>
    </x:row>
    <x:row r="12">
      <x:c r="A12" s="175" t="str">
        <x:v>Contextual</x:v>
      </x:c>
      <x:c r="B12" s="370"/>
      <x:c r="C12" s="370"/>
      <x:c r="D12" s="431" t="str">
        <x:v>Official / contextual</x:v>
      </x:c>
      <x:c r="E12" s="370"/>
      <x:c r="F12" s="370"/>
      <x:c r="G12" s="370"/>
      <x:c r="H12" s="370"/>
      <x:c r="I12" s="370"/>
      <x:c r="J12" s="370"/>
      <x:c r="K12" s="370"/>
      <x:c r="L12" s="370"/>
      <x:c r="M12" s="370"/>
      <x:c r="N12" s="370"/>
      <x:c r="O12" s="370"/>
      <x:c r="P12" s="370"/>
      <x:c r="Q12" s="370"/>
      <x:c r="R12" s="370"/>
      <x:c r="S12" s="370"/>
      <x:c r="T12" s="370"/>
      <x:c r="U12" s="370"/>
      <x:c r="V12" s="370"/>
    </x:row>
    <x:row r="13">
      <x:c r="A13" s="175" t="str">
        <x:v>Not used</x:v>
      </x:c>
      <x:c r="B13" s="370"/>
      <x:c r="C13" s="370"/>
      <x:c r="D13" s="370"/>
      <x:c r="E13" s="370"/>
      <x:c r="F13" s="370"/>
      <x:c r="G13" s="370"/>
      <x:c r="H13" s="370"/>
      <x:c r="I13" s="370"/>
      <x:c r="J13" s="370"/>
      <x:c r="K13" s="370"/>
      <x:c r="L13" s="370"/>
      <x:c r="M13" s="370"/>
      <x:c r="N13" s="370"/>
      <x:c r="O13" s="370"/>
      <x:c r="P13" s="370"/>
      <x:c r="Q13" s="370"/>
      <x:c r="R13" s="370"/>
      <x:c r="S13" s="370"/>
      <x:c r="T13" s="370"/>
      <x:c r="U13" s="370"/>
      <x:c r="V13" s="370"/>
    </x:row>
    <x:row r="14">
      <x:c r="A14" s="432" t="str">
        <x:v>Locked</x:v>
      </x:c>
      <x:c r="B14" s="370"/>
      <x:c r="C14" s="370"/>
      <x:c r="D14" s="370"/>
      <x:c r="E14" s="370"/>
      <x:c r="F14" s="370"/>
      <x:c r="G14" s="370"/>
      <x:c r="H14" s="370"/>
      <x:c r="I14" s="370"/>
      <x:c r="J14" s="370"/>
      <x:c r="K14" s="370"/>
      <x:c r="L14" s="370"/>
      <x:c r="M14" s="370"/>
      <x:c r="N14" s="370"/>
      <x:c r="O14" s="370"/>
      <x:c r="P14" s="370"/>
      <x:c r="Q14" s="370"/>
      <x:c r="R14" s="370"/>
      <x:c r="S14" s="370"/>
      <x:c r="T14" s="370"/>
      <x:c r="U14" s="370"/>
      <x:c r="V14" s="370"/>
    </x:row>
    <x:row r="15">
      <x:c r="A15" s="370"/>
      <x:c r="B15" s="370"/>
      <x:c r="C15" s="370"/>
      <x:c r="D15" s="370"/>
      <x:c r="E15" s="370"/>
      <x:c r="F15" s="370"/>
      <x:c r="G15" s="370"/>
      <x:c r="H15" s="370"/>
      <x:c r="I15" s="370"/>
      <x:c r="J15" s="370"/>
      <x:c r="K15" s="370"/>
      <x:c r="L15" s="370"/>
      <x:c r="M15" s="370"/>
      <x:c r="N15" s="370"/>
      <x:c r="O15" s="370"/>
      <x:c r="P15" s="370"/>
      <x:c r="Q15" s="370"/>
      <x:c r="R15" s="370"/>
      <x:c r="S15" s="370"/>
      <x:c r="T15" s="370"/>
      <x:c r="U15" s="370"/>
      <x:c r="V15" s="370"/>
    </x:row>
    <x:row r="16">
      <x:c r="A16" s="370"/>
      <x:c r="B16" s="370"/>
      <x:c r="C16" s="370"/>
      <x:c r="D16" s="370"/>
      <x:c r="E16" s="370"/>
      <x:c r="F16" s="370"/>
      <x:c r="G16" s="370"/>
      <x:c r="H16" s="370"/>
      <x:c r="I16" s="370"/>
      <x:c r="J16" s="370"/>
      <x:c r="K16" s="370"/>
      <x:c r="L16" s="370"/>
      <x:c r="M16" s="370"/>
      <x:c r="N16" s="370"/>
      <x:c r="O16" s="370"/>
      <x:c r="P16" s="370"/>
      <x:c r="Q16" s="370"/>
      <x:c r="R16" s="370"/>
      <x:c r="S16" s="370"/>
      <x:c r="T16" s="370"/>
      <x:c r="U16" s="370"/>
      <x:c r="V16" s="370"/>
    </x:row>
    <x:row r="17">
      <x:c r="A17" s="370"/>
      <x:c r="B17" s="370"/>
      <x:c r="C17" s="370"/>
      <x:c r="D17" s="370"/>
      <x:c r="E17" s="370"/>
      <x:c r="F17" s="370"/>
      <x:c r="G17" s="370"/>
      <x:c r="H17" s="370"/>
      <x:c r="I17" s="370"/>
      <x:c r="J17" s="370"/>
      <x:c r="K17" s="370"/>
      <x:c r="L17" s="370"/>
      <x:c r="M17" s="370"/>
      <x:c r="N17" s="370"/>
      <x:c r="O17" s="370"/>
      <x:c r="P17" s="370"/>
      <x:c r="Q17" s="370"/>
      <x:c r="R17" s="370"/>
      <x:c r="S17" s="370"/>
      <x:c r="T17" s="370"/>
      <x:c r="U17" s="370"/>
      <x:c r="V17" s="370"/>
    </x:row>
    <x:row r="18">
      <x:c r="A18" s="370"/>
      <x:c r="B18" s="370"/>
      <x:c r="C18" s="370"/>
      <x:c r="D18" s="370"/>
      <x:c r="E18" s="370"/>
      <x:c r="F18" s="370"/>
      <x:c r="G18" s="370"/>
      <x:c r="H18" s="370"/>
      <x:c r="I18" s="370"/>
      <x:c r="J18" s="370"/>
      <x:c r="K18" s="370"/>
      <x:c r="L18" s="370"/>
      <x:c r="M18" s="370"/>
      <x:c r="N18" s="370"/>
      <x:c r="O18" s="370"/>
      <x:c r="P18" s="370"/>
      <x:c r="Q18" s="370"/>
      <x:c r="R18" s="370"/>
      <x:c r="S18" s="370"/>
      <x:c r="T18" s="370"/>
      <x:c r="U18" s="370"/>
      <x:c r="V18" s="370"/>
    </x:row>
    <x:row r="19">
      <x:c r="A19" s="370"/>
      <x:c r="B19" s="370"/>
      <x:c r="C19" s="370"/>
      <x:c r="D19" s="370"/>
      <x:c r="E19" s="370"/>
      <x:c r="F19" s="370"/>
      <x:c r="G19" s="370"/>
      <x:c r="H19" s="370"/>
      <x:c r="I19" s="370"/>
      <x:c r="J19" s="370"/>
      <x:c r="K19" s="370"/>
      <x:c r="L19" s="370"/>
      <x:c r="M19" s="370"/>
      <x:c r="N19" s="370"/>
      <x:c r="O19" s="370"/>
      <x:c r="P19" s="370"/>
      <x:c r="Q19" s="370"/>
      <x:c r="R19" s="370"/>
      <x:c r="S19" s="370"/>
      <x:c r="T19" s="370"/>
      <x:c r="U19" s="370"/>
      <x:c r="V19" s="370"/>
    </x:row>
    <x:row r="20">
      <x:c r="A20" s="370"/>
      <x:c r="B20" s="370"/>
      <x:c r="C20" s="370"/>
      <x:c r="D20" s="370"/>
      <x:c r="E20" s="370"/>
      <x:c r="F20" s="370"/>
      <x:c r="G20" s="370"/>
      <x:c r="H20" s="370"/>
      <x:c r="I20" s="370"/>
      <x:c r="J20" s="370"/>
      <x:c r="K20" s="370"/>
      <x:c r="L20" s="370"/>
      <x:c r="M20" s="370"/>
      <x:c r="N20" s="370"/>
      <x:c r="O20" s="370"/>
      <x:c r="P20" s="370"/>
      <x:c r="Q20" s="370"/>
      <x:c r="R20" s="370"/>
      <x:c r="S20" s="370"/>
      <x:c r="T20" s="370"/>
      <x:c r="U20" s="370"/>
      <x:c r="V20" s="370"/>
    </x:row>
    <x:row r="21">
      <x:c r="A21" s="370"/>
      <x:c r="B21" s="370"/>
      <x:c r="C21" s="370"/>
      <x:c r="D21" s="370"/>
      <x:c r="E21" s="370"/>
      <x:c r="F21" s="370"/>
      <x:c r="G21" s="370"/>
      <x:c r="H21" s="370"/>
      <x:c r="I21" s="370"/>
      <x:c r="J21" s="370"/>
      <x:c r="K21" s="370"/>
      <x:c r="L21" s="370"/>
      <x:c r="M21" s="370"/>
      <x:c r="N21" s="370"/>
      <x:c r="O21" s="370"/>
      <x:c r="P21" s="370"/>
      <x:c r="Q21" s="370"/>
      <x:c r="R21" s="370"/>
      <x:c r="S21" s="370"/>
      <x:c r="T21" s="370"/>
      <x:c r="U21" s="370"/>
      <x:c r="V21" s="370"/>
    </x:row>
    <x:row r="22">
      <x:c r="A22" s="370"/>
      <x:c r="B22" s="370"/>
      <x:c r="C22" s="370"/>
      <x:c r="D22" s="370"/>
      <x:c r="E22" s="370"/>
      <x:c r="F22" s="370"/>
      <x:c r="G22" s="370"/>
      <x:c r="H22" s="370"/>
      <x:c r="I22" s="370"/>
      <x:c r="J22" s="370"/>
      <x:c r="K22" s="370"/>
      <x:c r="L22" s="370"/>
      <x:c r="M22" s="370"/>
      <x:c r="N22" s="370"/>
      <x:c r="O22" s="370"/>
      <x:c r="P22" s="370"/>
      <x:c r="Q22" s="370"/>
      <x:c r="R22" s="370"/>
      <x:c r="S22" s="370"/>
      <x:c r="T22" s="370"/>
      <x:c r="U22" s="370"/>
      <x:c r="V22" s="370"/>
    </x:row>
    <x:row r="23">
      <x:c r="A23" s="370"/>
      <x:c r="B23" s="370"/>
      <x:c r="C23" s="370"/>
      <x:c r="D23" s="370"/>
      <x:c r="E23" s="370"/>
      <x:c r="F23" s="370"/>
      <x:c r="G23" s="370"/>
      <x:c r="H23" s="370"/>
      <x:c r="I23" s="370"/>
      <x:c r="J23" s="370"/>
      <x:c r="K23" s="370"/>
      <x:c r="L23" s="370"/>
      <x:c r="M23" s="370"/>
      <x:c r="N23" s="370"/>
      <x:c r="O23" s="370"/>
      <x:c r="P23" s="370"/>
      <x:c r="Q23" s="370"/>
      <x:c r="R23" s="370"/>
      <x:c r="S23" s="370"/>
      <x:c r="T23" s="370"/>
      <x:c r="U23" s="370"/>
      <x:c r="V23" s="370"/>
    </x:row>
    <x:row r="24">
      <x:c r="A24" s="370"/>
      <x:c r="B24" s="370"/>
      <x:c r="C24" s="370"/>
      <x:c r="D24" s="370"/>
      <x:c r="E24" s="370"/>
      <x:c r="F24" s="370"/>
      <x:c r="G24" s="370"/>
      <x:c r="H24" s="370"/>
      <x:c r="I24" s="370"/>
      <x:c r="J24" s="370"/>
      <x:c r="K24" s="370"/>
      <x:c r="L24" s="370"/>
      <x:c r="M24" s="370"/>
      <x:c r="N24" s="370"/>
      <x:c r="O24" s="370"/>
      <x:c r="P24" s="370"/>
      <x:c r="Q24" s="370"/>
      <x:c r="R24" s="370"/>
      <x:c r="S24" s="370"/>
      <x:c r="T24" s="370"/>
      <x:c r="U24" s="370"/>
      <x:c r="V24" s="370"/>
    </x:row>
    <x:row r="25">
      <x:c r="A25" s="370"/>
      <x:c r="B25" s="370"/>
      <x:c r="C25" s="370"/>
      <x:c r="D25" s="370"/>
      <x:c r="E25" s="370"/>
      <x:c r="F25" s="370"/>
      <x:c r="G25" s="370"/>
      <x:c r="H25" s="370"/>
      <x:c r="I25" s="370"/>
      <x:c r="J25" s="370"/>
      <x:c r="K25" s="370"/>
      <x:c r="L25" s="370"/>
      <x:c r="M25" s="370"/>
      <x:c r="N25" s="370"/>
      <x:c r="O25" s="370"/>
      <x:c r="P25" s="370"/>
      <x:c r="Q25" s="370"/>
      <x:c r="R25" s="370"/>
      <x:c r="S25" s="370"/>
      <x:c r="T25" s="370"/>
      <x:c r="U25" s="370"/>
      <x:c r="V25" s="370"/>
    </x:row>
    <x:row r="26">
      <x:c r="A26" s="370"/>
      <x:c r="B26" s="370"/>
      <x:c r="C26" s="370"/>
      <x:c r="D26" s="370"/>
      <x:c r="E26" s="370"/>
      <x:c r="F26" s="370"/>
      <x:c r="G26" s="370"/>
      <x:c r="H26" s="370"/>
      <x:c r="I26" s="370"/>
      <x:c r="J26" s="370"/>
      <x:c r="K26" s="370"/>
      <x:c r="L26" s="370"/>
      <x:c r="M26" s="370"/>
      <x:c r="N26" s="370"/>
      <x:c r="O26" s="370"/>
      <x:c r="P26" s="370"/>
      <x:c r="Q26" s="370"/>
      <x:c r="R26" s="370"/>
      <x:c r="S26" s="370"/>
      <x:c r="T26" s="370"/>
      <x:c r="U26" s="370"/>
      <x:c r="V26" s="370"/>
    </x:row>
    <x:row r="27">
      <x:c r="A27" s="370"/>
      <x:c r="B27" s="370"/>
      <x:c r="C27" s="370"/>
      <x:c r="D27" s="370"/>
      <x:c r="E27" s="370"/>
      <x:c r="F27" s="370"/>
      <x:c r="G27" s="370"/>
      <x:c r="H27" s="370"/>
      <x:c r="I27" s="370"/>
      <x:c r="J27" s="370"/>
      <x:c r="K27" s="370"/>
      <x:c r="L27" s="370"/>
      <x:c r="M27" s="370"/>
      <x:c r="N27" s="370"/>
      <x:c r="O27" s="370"/>
      <x:c r="P27" s="370"/>
      <x:c r="Q27" s="370"/>
      <x:c r="R27" s="370"/>
      <x:c r="S27" s="370"/>
      <x:c r="T27" s="370"/>
      <x:c r="U27" s="370"/>
      <x:c r="V27" s="370"/>
    </x:row>
    <x:row r="28">
      <x:c r="A28" s="370"/>
      <x:c r="B28" s="370"/>
      <x:c r="C28" s="370"/>
      <x:c r="D28" s="370"/>
      <x:c r="E28" s="370"/>
      <x:c r="F28" s="370"/>
      <x:c r="G28" s="370"/>
      <x:c r="H28" s="370"/>
      <x:c r="I28" s="370"/>
      <x:c r="J28" s="370"/>
      <x:c r="K28" s="370"/>
      <x:c r="L28" s="370"/>
      <x:c r="M28" s="370"/>
      <x:c r="N28" s="370"/>
      <x:c r="O28" s="370"/>
      <x:c r="P28" s="370"/>
      <x:c r="Q28" s="370"/>
      <x:c r="R28" s="370"/>
      <x:c r="S28" s="370"/>
      <x:c r="T28" s="370"/>
      <x:c r="U28" s="370"/>
      <x:c r="V28" s="370"/>
    </x:row>
    <x:row r="29">
      <x:c r="A29" s="381" t="str">
        <x:v>Rule family</x:v>
      </x:c>
      <x:c r="B29" s="381" t="str">
        <x:v>Rule</x:v>
      </x:c>
      <x:c r="C29" s="381" t="str">
        <x:v>Formula / threshold</x:v>
      </x:c>
      <x:c r="D29" s="381" t="str">
        <x:v>Human control</x:v>
      </x:c>
      <x:c r="E29" s="370"/>
      <x:c r="F29" s="370"/>
      <x:c r="G29" s="370"/>
      <x:c r="H29" s="370"/>
      <x:c r="I29" s="370"/>
      <x:c r="J29" s="370"/>
      <x:c r="K29" s="370"/>
      <x:c r="L29" s="370"/>
      <x:c r="M29" s="370"/>
      <x:c r="N29" s="370"/>
      <x:c r="O29" s="370"/>
      <x:c r="P29" s="370"/>
      <x:c r="Q29" s="370"/>
      <x:c r="R29" s="370"/>
      <x:c r="S29" s="370"/>
      <x:c r="T29" s="370"/>
      <x:c r="U29" s="370"/>
      <x:c r="V29" s="370"/>
    </x:row>
    <x:row r="30">
      <x:c r="A30" s="372" t="str">
        <x:v>DOI normalization</x:v>
      </x:c>
      <x:c r="B30" s="372" t="str">
        <x:v>Lowercase; strip DOI URL/prefix</x:v>
      </x:c>
      <x:c r="C30" s="372" t="str">
        <x:v>Formula in Master Evidence</x:v>
      </x:c>
      <x:c r="D30" s="372" t="str">
        <x:v>Verify DOI resolves to correct source</x:v>
      </x:c>
      <x:c r="E30" s="370"/>
      <x:c r="F30" s="370"/>
      <x:c r="G30" s="370"/>
      <x:c r="H30" s="370"/>
      <x:c r="I30" s="370"/>
      <x:c r="J30" s="370"/>
      <x:c r="K30" s="370"/>
      <x:c r="L30" s="370"/>
      <x:c r="M30" s="370"/>
      <x:c r="N30" s="370"/>
      <x:c r="O30" s="370"/>
      <x:c r="P30" s="370"/>
      <x:c r="Q30" s="370"/>
      <x:c r="R30" s="370"/>
      <x:c r="S30" s="370"/>
      <x:c r="T30" s="370"/>
      <x:c r="U30" s="370"/>
      <x:c r="V30" s="370"/>
    </x:row>
    <x:row r="31">
      <x:c r="A31" s="372" t="str">
        <x:v>Transferability</x:v>
      </x:c>
      <x:c r="B31" s="372" t="str">
        <x:v>Seven criteria scored 0–2</x:v>
      </x:c>
      <x:c r="C31" s="372" t="str">
        <x:v>Raw 0–14; normalized 0–10</x:v>
      </x:c>
      <x:c r="D31" s="372" t="str">
        <x:v>Rationale mandatory</x:v>
      </x:c>
      <x:c r="E31" s="370"/>
      <x:c r="F31" s="370"/>
      <x:c r="G31" s="370"/>
      <x:c r="H31" s="370"/>
      <x:c r="I31" s="370"/>
      <x:c r="J31" s="370"/>
      <x:c r="K31" s="370"/>
      <x:c r="L31" s="370"/>
      <x:c r="M31" s="370"/>
      <x:c r="N31" s="370"/>
      <x:c r="O31" s="370"/>
      <x:c r="P31" s="370"/>
      <x:c r="Q31" s="370"/>
      <x:c r="R31" s="370"/>
      <x:c r="S31" s="370"/>
      <x:c r="T31" s="370"/>
      <x:c r="U31" s="370"/>
      <x:c r="V31" s="370"/>
    </x:row>
    <x:row r="32">
      <x:c r="A32" s="372" t="str">
        <x:v>HIGH</x:v>
      </x:c>
      <x:c r="B32" s="372" t="str">
        <x:v>Normalized 8–10</x:v>
      </x:c>
      <x:c r="C32" s="372" t="str">
        <x:v>&gt;=8</x:v>
      </x:c>
      <x:c r="D32" s="372" t="str">
        <x:v>Safety override may downgrade</x:v>
      </x:c>
      <x:c r="E32" s="370"/>
      <x:c r="F32" s="370"/>
      <x:c r="G32" s="370"/>
      <x:c r="H32" s="370"/>
      <x:c r="I32" s="370"/>
      <x:c r="J32" s="370"/>
      <x:c r="K32" s="370"/>
      <x:c r="L32" s="370"/>
      <x:c r="M32" s="370"/>
      <x:c r="N32" s="370"/>
      <x:c r="O32" s="370"/>
      <x:c r="P32" s="370"/>
      <x:c r="Q32" s="370"/>
      <x:c r="R32" s="370"/>
      <x:c r="S32" s="370"/>
      <x:c r="T32" s="370"/>
      <x:c r="U32" s="370"/>
      <x:c r="V32" s="370"/>
    </x:row>
    <x:row r="33">
      <x:c r="A33" s="372" t="str">
        <x:v>CONDITIONAL</x:v>
      </x:c>
      <x:c r="B33" s="372" t="str">
        <x:v>Normalized 5–7.9</x:v>
      </x:c>
      <x:c r="C33" s="372" t="str">
        <x:v>&gt;=5 and &lt;8</x:v>
      </x:c>
      <x:c r="D33" s="372" t="str">
        <x:v>Adaptation required</x:v>
      </x:c>
      <x:c r="E33" s="370"/>
      <x:c r="F33" s="370"/>
      <x:c r="G33" s="370"/>
      <x:c r="H33" s="370"/>
      <x:c r="I33" s="370"/>
      <x:c r="J33" s="370"/>
      <x:c r="K33" s="370"/>
      <x:c r="L33" s="370"/>
      <x:c r="M33" s="370"/>
      <x:c r="N33" s="370"/>
      <x:c r="O33" s="370"/>
      <x:c r="P33" s="370"/>
      <x:c r="Q33" s="370"/>
      <x:c r="R33" s="370"/>
      <x:c r="S33" s="370"/>
      <x:c r="T33" s="370"/>
      <x:c r="U33" s="370"/>
      <x:c r="V33" s="370"/>
    </x:row>
    <x:row r="34">
      <x:c r="A34" s="372" t="str">
        <x:v>LOW</x:v>
      </x:c>
      <x:c r="B34" s="372" t="str">
        <x:v>Normalized 0–4.9</x:v>
      </x:c>
      <x:c r="C34" s="372" t="str">
        <x:v>&lt;5</x:v>
      </x:c>
      <x:c r="D34" s="372" t="str">
        <x:v>Do not generalize</x:v>
      </x:c>
      <x:c r="E34" s="370"/>
      <x:c r="F34" s="370"/>
      <x:c r="G34" s="370"/>
      <x:c r="H34" s="370"/>
      <x:c r="I34" s="370"/>
      <x:c r="J34" s="370"/>
      <x:c r="K34" s="370"/>
      <x:c r="L34" s="370"/>
      <x:c r="M34" s="370"/>
      <x:c r="N34" s="370"/>
      <x:c r="O34" s="370"/>
      <x:c r="P34" s="370"/>
      <x:c r="Q34" s="370"/>
      <x:c r="R34" s="370"/>
      <x:c r="S34" s="370"/>
      <x:c r="T34" s="370"/>
      <x:c r="U34" s="370"/>
      <x:c r="V34" s="370"/>
    </x:row>
    <x:row r="35">
      <x:c r="A35" s="372" t="str">
        <x:v>Claim-ready</x:v>
      </x:c>
      <x:c r="B35" s="372" t="str">
        <x:v>Metadata + integrity + appraisal + limitation boundary</x:v>
      </x:c>
      <x:c r="C35" s="372" t="str">
        <x:v>Formula gives operational flag</x:v>
      </x:c>
      <x:c r="D35" s="372" t="str">
        <x:v>Final judgment remains human</x:v>
      </x:c>
      <x:c r="E35" s="370"/>
      <x:c r="F35" s="370"/>
      <x:c r="G35" s="370"/>
      <x:c r="H35" s="370"/>
      <x:c r="I35" s="370"/>
      <x:c r="J35" s="370"/>
      <x:c r="K35" s="370"/>
      <x:c r="L35" s="370"/>
      <x:c r="M35" s="370"/>
      <x:c r="N35" s="370"/>
      <x:c r="O35" s="370"/>
      <x:c r="P35" s="370"/>
      <x:c r="Q35" s="370"/>
      <x:c r="R35" s="370"/>
      <x:c r="S35" s="370"/>
      <x:c r="T35" s="370"/>
      <x:c r="U35" s="370"/>
      <x:c r="V35" s="370"/>
    </x:row>
    <x:row r="36">
      <x:c r="A36" s="372" t="str">
        <x:v>Red override</x:v>
      </x:c>
      <x:c r="B36" s="372" t="str">
        <x:v>Retracted / not used / critically unreliable</x:v>
      </x:c>
      <x:c r="C36" s="372" t="str">
        <x:v>Traffic-light formula</x:v>
      </x:c>
      <x:c r="D36" s="372" t="str">
        <x:v>No conclusion may depend on source</x:v>
      </x:c>
      <x:c r="E36" s="370"/>
      <x:c r="F36" s="370"/>
      <x:c r="G36" s="370"/>
      <x:c r="H36" s="370"/>
      <x:c r="I36" s="370"/>
      <x:c r="J36" s="370"/>
      <x:c r="K36" s="370"/>
      <x:c r="L36" s="370"/>
      <x:c r="M36" s="370"/>
      <x:c r="N36" s="370"/>
      <x:c r="O36" s="370"/>
      <x:c r="P36" s="370"/>
      <x:c r="Q36" s="370"/>
      <x:c r="R36" s="370"/>
      <x:c r="S36" s="370"/>
      <x:c r="T36" s="370"/>
      <x:c r="U36" s="370"/>
      <x:c r="V36" s="370"/>
    </x:row>
    <x:row r="37">
      <x:c r="A37" s="372" t="str">
        <x:v>Evidence ID</x:v>
      </x:c>
      <x:c r="B37" s="372" t="str">
        <x:v>One source per row</x:v>
      </x:c>
      <x:c r="C37" s="372" t="str">
        <x:v>EV-####</x:v>
      </x:c>
      <x:c r="D37" s="372" t="str">
        <x:v>Never reuse IDs</x:v>
      </x:c>
      <x:c r="E37" s="370"/>
      <x:c r="F37" s="370"/>
      <x:c r="G37" s="370"/>
      <x:c r="H37" s="370"/>
      <x:c r="I37" s="370"/>
      <x:c r="J37" s="370"/>
      <x:c r="K37" s="370"/>
      <x:c r="L37" s="370"/>
      <x:c r="M37" s="370"/>
      <x:c r="N37" s="370"/>
      <x:c r="O37" s="370"/>
      <x:c r="P37" s="370"/>
      <x:c r="Q37" s="370"/>
      <x:c r="R37" s="370"/>
      <x:c r="S37" s="370"/>
      <x:c r="T37" s="370"/>
      <x:c r="U37" s="370"/>
      <x:c r="V37" s="370"/>
    </x:row>
    <x:row r="38">
      <x:c r="A38" s="372" t="str">
        <x:v>No evidence before gate</x:v>
      </x:c>
      <x:c r="B38" s="372" t="str">
        <x:v>Definitive identification locked</x:v>
      </x:c>
      <x:c r="C38" s="372" t="str">
        <x:v>ZOTERO PASS required</x:v>
      </x:c>
      <x:c r="D38" s="372" t="str">
        <x:v>Release Gate sheet is authoritative</x:v>
      </x:c>
      <x:c r="E38" s="370"/>
      <x:c r="F38" s="370"/>
      <x:c r="G38" s="370"/>
      <x:c r="H38" s="370"/>
      <x:c r="I38" s="370"/>
      <x:c r="J38" s="370"/>
      <x:c r="K38" s="370"/>
      <x:c r="L38" s="370"/>
      <x:c r="M38" s="370"/>
      <x:c r="N38" s="370"/>
      <x:c r="O38" s="370"/>
      <x:c r="P38" s="370"/>
      <x:c r="Q38" s="370"/>
      <x:c r="R38" s="370"/>
      <x:c r="S38" s="370"/>
      <x:c r="T38" s="370"/>
      <x:c r="U38" s="370"/>
      <x:c r="V38" s="370"/>
    </x:row>
  </x:sheetData>
  <x:mergeCells>
    <x:mergeCell ref="A1:P1"/>
    <x:mergeCell ref="A2:P2"/>
  </x:mergeCells>
  <x:pageMargins left="0.7" right="0.7" top="0.75" bottom="0.75" header="0.3" footer="0.3"/>
</x:worksheet>
</file>